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nma\Documents\GitHub\SBA_FOR_BASIC_SCH_TEACHERS\"/>
    </mc:Choice>
  </mc:AlternateContent>
  <xr:revisionPtr revIDLastSave="0" documentId="13_ncr:1_{F1BCC3DD-3AE5-4B8F-BB42-5BBEC298279A}" xr6:coauthVersionLast="36" xr6:coauthVersionMax="36" xr10:uidLastSave="{00000000-0000-0000-0000-000000000000}"/>
  <bookViews>
    <workbookView xWindow="0" yWindow="0" windowWidth="19200" windowHeight="6930" activeTab="1" xr2:uid="{E97B3CA2-1801-49F1-9A90-43E7F465B610}"/>
  </bookViews>
  <sheets>
    <sheet name="ASSESSMENT" sheetId="2" r:id="rId1"/>
    <sheet name="PRIMARY_DATA" sheetId="1" r:id="rId2"/>
  </sheets>
  <externalReferences>
    <externalReference r:id="rId3"/>
  </externalReferences>
  <definedNames>
    <definedName name="pos">IF([1]ASSESSMENT_!$DF1="","",RANK([1]ASSESSMENT_!$DF1,[1]ASSESSMENT_!$DF$12:$DF$76))</definedName>
    <definedName name="position_two">IF([1]POS!$C1="","",RANK([1]POS!$C1,[1]POS!$C$4:$C$231))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A78" i="2" l="1"/>
  <c r="CX78" i="2"/>
  <c r="CW78" i="2"/>
  <c r="CV78" i="2"/>
  <c r="CU78" i="2"/>
  <c r="CO78" i="2"/>
  <c r="CL78" i="2"/>
  <c r="CK78" i="2"/>
  <c r="CJ78" i="2"/>
  <c r="CI78" i="2"/>
  <c r="CC78" i="2"/>
  <c r="BZ78" i="2"/>
  <c r="BY78" i="2"/>
  <c r="BX78" i="2"/>
  <c r="BW78" i="2"/>
  <c r="BQ78" i="2"/>
  <c r="BN78" i="2"/>
  <c r="BM78" i="2"/>
  <c r="BL78" i="2"/>
  <c r="BK78" i="2"/>
  <c r="BE78" i="2"/>
  <c r="BB78" i="2"/>
  <c r="BA78" i="2"/>
  <c r="AZ78" i="2"/>
  <c r="AY78" i="2"/>
  <c r="AS78" i="2"/>
  <c r="AP78" i="2"/>
  <c r="AO78" i="2"/>
  <c r="AN78" i="2"/>
  <c r="AM78" i="2"/>
  <c r="AG78" i="2"/>
  <c r="AD78" i="2"/>
  <c r="AC78" i="2"/>
  <c r="AB78" i="2"/>
  <c r="AA78" i="2"/>
  <c r="U78" i="2"/>
  <c r="R78" i="2"/>
  <c r="Q78" i="2"/>
  <c r="P78" i="2"/>
  <c r="O78" i="2"/>
  <c r="I78" i="2"/>
  <c r="F78" i="2"/>
  <c r="E78" i="2"/>
  <c r="D78" i="2"/>
  <c r="C78" i="2"/>
  <c r="DA77" i="2"/>
  <c r="CX77" i="2"/>
  <c r="CW77" i="2"/>
  <c r="CV77" i="2"/>
  <c r="CU77" i="2"/>
  <c r="CO77" i="2"/>
  <c r="CL77" i="2"/>
  <c r="CK77" i="2"/>
  <c r="CJ77" i="2"/>
  <c r="CI77" i="2"/>
  <c r="CC77" i="2"/>
  <c r="BZ77" i="2"/>
  <c r="BY77" i="2"/>
  <c r="BX77" i="2"/>
  <c r="BW77" i="2"/>
  <c r="BQ77" i="2"/>
  <c r="BN77" i="2"/>
  <c r="BM77" i="2"/>
  <c r="BL77" i="2"/>
  <c r="BK77" i="2"/>
  <c r="BE77" i="2"/>
  <c r="BB77" i="2"/>
  <c r="BA77" i="2"/>
  <c r="AZ77" i="2"/>
  <c r="AY77" i="2"/>
  <c r="AS77" i="2"/>
  <c r="AP77" i="2"/>
  <c r="AO77" i="2"/>
  <c r="AN77" i="2"/>
  <c r="AM77" i="2"/>
  <c r="AG77" i="2"/>
  <c r="AD77" i="2"/>
  <c r="AC77" i="2"/>
  <c r="AB77" i="2"/>
  <c r="AA77" i="2"/>
  <c r="U77" i="2"/>
  <c r="R77" i="2"/>
  <c r="Q77" i="2"/>
  <c r="P77" i="2"/>
  <c r="O77" i="2"/>
  <c r="I77" i="2"/>
  <c r="F77" i="2"/>
  <c r="E77" i="2"/>
  <c r="D77" i="2"/>
  <c r="C77" i="2"/>
  <c r="DJ76" i="2"/>
  <c r="DC76" i="2"/>
  <c r="DE76" i="2" s="1"/>
  <c r="DB76" i="2"/>
  <c r="CY76" i="2"/>
  <c r="CZ76" i="2" s="1"/>
  <c r="CP76" i="2"/>
  <c r="CN76" i="2"/>
  <c r="CM76" i="2"/>
  <c r="CD76" i="2"/>
  <c r="CE76" i="2" s="1"/>
  <c r="CA76" i="2"/>
  <c r="CB76" i="2" s="1"/>
  <c r="BR76" i="2"/>
  <c r="BP76" i="2"/>
  <c r="BO76" i="2"/>
  <c r="BF76" i="2"/>
  <c r="BC76" i="2"/>
  <c r="BD76" i="2" s="1"/>
  <c r="BG76" i="2" s="1"/>
  <c r="AT76" i="2"/>
  <c r="AR76" i="2"/>
  <c r="AQ76" i="2"/>
  <c r="AJ76" i="2"/>
  <c r="AH76" i="2"/>
  <c r="AE76" i="2"/>
  <c r="AF76" i="2" s="1"/>
  <c r="AI76" i="2" s="1"/>
  <c r="AK76" i="2" s="1"/>
  <c r="V76" i="2"/>
  <c r="T76" i="2"/>
  <c r="S76" i="2"/>
  <c r="K76" i="2"/>
  <c r="L76" i="2" s="1"/>
  <c r="J76" i="2"/>
  <c r="G76" i="2"/>
  <c r="H76" i="2" s="1"/>
  <c r="B76" i="2"/>
  <c r="DK76" i="2" s="1"/>
  <c r="A76" i="2"/>
  <c r="DJ75" i="2"/>
  <c r="DB75" i="2"/>
  <c r="CY75" i="2"/>
  <c r="CZ75" i="2" s="1"/>
  <c r="CP75" i="2"/>
  <c r="CN75" i="2"/>
  <c r="CQ75" i="2" s="1"/>
  <c r="CM75" i="2"/>
  <c r="CD75" i="2"/>
  <c r="CA75" i="2"/>
  <c r="CB75" i="2" s="1"/>
  <c r="BR75" i="2"/>
  <c r="BP75" i="2"/>
  <c r="BS75" i="2" s="1"/>
  <c r="BO75" i="2"/>
  <c r="BF75" i="2"/>
  <c r="BC75" i="2"/>
  <c r="BD75" i="2" s="1"/>
  <c r="BG75" i="2" s="1"/>
  <c r="AT75" i="2"/>
  <c r="AR75" i="2"/>
  <c r="AU75" i="2" s="1"/>
  <c r="AQ75" i="2"/>
  <c r="AH75" i="2"/>
  <c r="AE75" i="2"/>
  <c r="AF75" i="2" s="1"/>
  <c r="V75" i="2"/>
  <c r="T75" i="2"/>
  <c r="S75" i="2"/>
  <c r="J75" i="2"/>
  <c r="G75" i="2"/>
  <c r="H75" i="2" s="1"/>
  <c r="B75" i="2"/>
  <c r="DK75" i="2" s="1"/>
  <c r="A75" i="2"/>
  <c r="DJ74" i="2"/>
  <c r="DB74" i="2"/>
  <c r="CZ74" i="2"/>
  <c r="DC74" i="2" s="1"/>
  <c r="CY74" i="2"/>
  <c r="CQ74" i="2"/>
  <c r="CP74" i="2"/>
  <c r="CM74" i="2"/>
  <c r="CN74" i="2" s="1"/>
  <c r="CD74" i="2"/>
  <c r="CB74" i="2"/>
  <c r="CA74" i="2"/>
  <c r="BR74" i="2"/>
  <c r="BO74" i="2"/>
  <c r="BP74" i="2" s="1"/>
  <c r="BF74" i="2"/>
  <c r="BD74" i="2"/>
  <c r="BG74" i="2" s="1"/>
  <c r="BC74" i="2"/>
  <c r="AU74" i="2"/>
  <c r="AT74" i="2"/>
  <c r="AQ74" i="2"/>
  <c r="AR74" i="2" s="1"/>
  <c r="AH74" i="2"/>
  <c r="AF74" i="2"/>
  <c r="AE74" i="2"/>
  <c r="V74" i="2"/>
  <c r="S74" i="2"/>
  <c r="T74" i="2" s="1"/>
  <c r="W74" i="2" s="1"/>
  <c r="J74" i="2"/>
  <c r="H74" i="2"/>
  <c r="K74" i="2" s="1"/>
  <c r="G74" i="2"/>
  <c r="B74" i="2"/>
  <c r="A74" i="2"/>
  <c r="DJ73" i="2"/>
  <c r="DB73" i="2"/>
  <c r="CY73" i="2"/>
  <c r="CZ73" i="2" s="1"/>
  <c r="CP73" i="2"/>
  <c r="CM73" i="2"/>
  <c r="CN73" i="2" s="1"/>
  <c r="CQ73" i="2" s="1"/>
  <c r="CD73" i="2"/>
  <c r="CB73" i="2"/>
  <c r="CA73" i="2"/>
  <c r="BR73" i="2"/>
  <c r="BO73" i="2"/>
  <c r="BP73" i="2" s="1"/>
  <c r="BS73" i="2" s="1"/>
  <c r="BF73" i="2"/>
  <c r="BC73" i="2"/>
  <c r="BD73" i="2" s="1"/>
  <c r="BG73" i="2" s="1"/>
  <c r="AT73" i="2"/>
  <c r="AQ73" i="2"/>
  <c r="AR73" i="2" s="1"/>
  <c r="AH73" i="2"/>
  <c r="AF73" i="2"/>
  <c r="AI73" i="2" s="1"/>
  <c r="AE73" i="2"/>
  <c r="V73" i="2"/>
  <c r="S73" i="2"/>
  <c r="T73" i="2" s="1"/>
  <c r="W73" i="2" s="1"/>
  <c r="J73" i="2"/>
  <c r="G73" i="2"/>
  <c r="H73" i="2" s="1"/>
  <c r="K73" i="2" s="1"/>
  <c r="B73" i="2"/>
  <c r="DK73" i="2" s="1"/>
  <c r="A73" i="2"/>
  <c r="DK72" i="2"/>
  <c r="DJ72" i="2"/>
  <c r="DB72" i="2"/>
  <c r="CY72" i="2"/>
  <c r="CZ72" i="2" s="1"/>
  <c r="DC72" i="2" s="1"/>
  <c r="CP72" i="2"/>
  <c r="CN72" i="2"/>
  <c r="CM72" i="2"/>
  <c r="CD72" i="2"/>
  <c r="CA72" i="2"/>
  <c r="CB72" i="2" s="1"/>
  <c r="CE72" i="2" s="1"/>
  <c r="BR72" i="2"/>
  <c r="BP72" i="2"/>
  <c r="BS72" i="2" s="1"/>
  <c r="BO72" i="2"/>
  <c r="BF72" i="2"/>
  <c r="BC72" i="2"/>
  <c r="BD72" i="2" s="1"/>
  <c r="AT72" i="2"/>
  <c r="AR72" i="2"/>
  <c r="AU72" i="2" s="1"/>
  <c r="AQ72" i="2"/>
  <c r="AH72" i="2"/>
  <c r="AE72" i="2"/>
  <c r="AF72" i="2" s="1"/>
  <c r="AI72" i="2" s="1"/>
  <c r="V72" i="2"/>
  <c r="T72" i="2"/>
  <c r="W72" i="2" s="1"/>
  <c r="S72" i="2"/>
  <c r="J72" i="2"/>
  <c r="G72" i="2"/>
  <c r="H72" i="2" s="1"/>
  <c r="K72" i="2" s="1"/>
  <c r="B72" i="2"/>
  <c r="A72" i="2"/>
  <c r="DK71" i="2"/>
  <c r="DJ71" i="2"/>
  <c r="DB71" i="2"/>
  <c r="CZ71" i="2"/>
  <c r="DC71" i="2" s="1"/>
  <c r="CY71" i="2"/>
  <c r="CP71" i="2"/>
  <c r="CN71" i="2"/>
  <c r="CQ71" i="2" s="1"/>
  <c r="CM71" i="2"/>
  <c r="CD71" i="2"/>
  <c r="CE71" i="2" s="1"/>
  <c r="CB71" i="2"/>
  <c r="CA71" i="2"/>
  <c r="BR71" i="2"/>
  <c r="BP71" i="2"/>
  <c r="BO71" i="2"/>
  <c r="BF71" i="2"/>
  <c r="BG71" i="2" s="1"/>
  <c r="BD71" i="2"/>
  <c r="BC71" i="2"/>
  <c r="AT71" i="2"/>
  <c r="AQ71" i="2"/>
  <c r="AR71" i="2" s="1"/>
  <c r="AH71" i="2"/>
  <c r="AF71" i="2"/>
  <c r="AI71" i="2" s="1"/>
  <c r="AE71" i="2"/>
  <c r="V71" i="2"/>
  <c r="T71" i="2"/>
  <c r="W71" i="2" s="1"/>
  <c r="S71" i="2"/>
  <c r="J71" i="2"/>
  <c r="H71" i="2"/>
  <c r="K71" i="2" s="1"/>
  <c r="G71" i="2"/>
  <c r="B71" i="2"/>
  <c r="A71" i="2"/>
  <c r="DJ70" i="2"/>
  <c r="DB70" i="2"/>
  <c r="CZ70" i="2"/>
  <c r="DC70" i="2" s="1"/>
  <c r="CY70" i="2"/>
  <c r="CQ70" i="2"/>
  <c r="CP70" i="2"/>
  <c r="CM70" i="2"/>
  <c r="CN70" i="2" s="1"/>
  <c r="CD70" i="2"/>
  <c r="CB70" i="2"/>
  <c r="CA70" i="2"/>
  <c r="BR70" i="2"/>
  <c r="BO70" i="2"/>
  <c r="BP70" i="2" s="1"/>
  <c r="BF70" i="2"/>
  <c r="BD70" i="2"/>
  <c r="BG70" i="2" s="1"/>
  <c r="BC70" i="2"/>
  <c r="AU70" i="2"/>
  <c r="AT70" i="2"/>
  <c r="AQ70" i="2"/>
  <c r="AR70" i="2" s="1"/>
  <c r="AH70" i="2"/>
  <c r="AF70" i="2"/>
  <c r="AE70" i="2"/>
  <c r="V70" i="2"/>
  <c r="S70" i="2"/>
  <c r="T70" i="2" s="1"/>
  <c r="W70" i="2" s="1"/>
  <c r="J70" i="2"/>
  <c r="H70" i="2"/>
  <c r="K70" i="2" s="1"/>
  <c r="G70" i="2"/>
  <c r="B70" i="2"/>
  <c r="A70" i="2"/>
  <c r="DK69" i="2"/>
  <c r="DJ69" i="2"/>
  <c r="DB69" i="2"/>
  <c r="CY69" i="2"/>
  <c r="CZ69" i="2" s="1"/>
  <c r="DC69" i="2" s="1"/>
  <c r="CP69" i="2"/>
  <c r="CN69" i="2"/>
  <c r="CQ69" i="2" s="1"/>
  <c r="CM69" i="2"/>
  <c r="CD69" i="2"/>
  <c r="CA69" i="2"/>
  <c r="CB69" i="2" s="1"/>
  <c r="CE69" i="2" s="1"/>
  <c r="BR69" i="2"/>
  <c r="BP69" i="2"/>
  <c r="BO69" i="2"/>
  <c r="BF69" i="2"/>
  <c r="BC69" i="2"/>
  <c r="BD69" i="2" s="1"/>
  <c r="BG69" i="2" s="1"/>
  <c r="AT69" i="2"/>
  <c r="AR69" i="2"/>
  <c r="AU69" i="2" s="1"/>
  <c r="AQ69" i="2"/>
  <c r="AH69" i="2"/>
  <c r="AE69" i="2"/>
  <c r="AF69" i="2" s="1"/>
  <c r="V69" i="2"/>
  <c r="T69" i="2"/>
  <c r="W69" i="2" s="1"/>
  <c r="S69" i="2"/>
  <c r="J69" i="2"/>
  <c r="G69" i="2"/>
  <c r="H69" i="2" s="1"/>
  <c r="K69" i="2" s="1"/>
  <c r="B69" i="2"/>
  <c r="A69" i="2"/>
  <c r="DJ68" i="2"/>
  <c r="DB68" i="2"/>
  <c r="CZ68" i="2"/>
  <c r="DC68" i="2" s="1"/>
  <c r="CY68" i="2"/>
  <c r="CP68" i="2"/>
  <c r="CM68" i="2"/>
  <c r="CN68" i="2" s="1"/>
  <c r="CD68" i="2"/>
  <c r="CB68" i="2"/>
  <c r="CA68" i="2"/>
  <c r="BS68" i="2"/>
  <c r="BR68" i="2"/>
  <c r="BO68" i="2"/>
  <c r="BP68" i="2" s="1"/>
  <c r="BF68" i="2"/>
  <c r="BD68" i="2"/>
  <c r="BC68" i="2"/>
  <c r="AT68" i="2"/>
  <c r="AQ68" i="2"/>
  <c r="AR68" i="2" s="1"/>
  <c r="AH68" i="2"/>
  <c r="AF68" i="2"/>
  <c r="AE68" i="2"/>
  <c r="W68" i="2"/>
  <c r="V68" i="2"/>
  <c r="S68" i="2"/>
  <c r="T68" i="2" s="1"/>
  <c r="J68" i="2"/>
  <c r="H68" i="2"/>
  <c r="G68" i="2"/>
  <c r="B68" i="2"/>
  <c r="A68" i="2"/>
  <c r="DK67" i="2"/>
  <c r="DJ67" i="2"/>
  <c r="DB67" i="2"/>
  <c r="CY67" i="2"/>
  <c r="CZ67" i="2" s="1"/>
  <c r="DC67" i="2" s="1"/>
  <c r="CP67" i="2"/>
  <c r="CN67" i="2"/>
  <c r="CQ67" i="2" s="1"/>
  <c r="CM67" i="2"/>
  <c r="CD67" i="2"/>
  <c r="CA67" i="2"/>
  <c r="CB67" i="2" s="1"/>
  <c r="BR67" i="2"/>
  <c r="BP67" i="2"/>
  <c r="BS67" i="2" s="1"/>
  <c r="BO67" i="2"/>
  <c r="BF67" i="2"/>
  <c r="BC67" i="2"/>
  <c r="BD67" i="2" s="1"/>
  <c r="BG67" i="2" s="1"/>
  <c r="AT67" i="2"/>
  <c r="AR67" i="2"/>
  <c r="AU67" i="2" s="1"/>
  <c r="AQ67" i="2"/>
  <c r="AH67" i="2"/>
  <c r="AE67" i="2"/>
  <c r="AF67" i="2" s="1"/>
  <c r="AI67" i="2" s="1"/>
  <c r="V67" i="2"/>
  <c r="T67" i="2"/>
  <c r="S67" i="2"/>
  <c r="J67" i="2"/>
  <c r="G67" i="2"/>
  <c r="H67" i="2" s="1"/>
  <c r="K67" i="2" s="1"/>
  <c r="B67" i="2"/>
  <c r="A67" i="2"/>
  <c r="DJ66" i="2"/>
  <c r="DB66" i="2"/>
  <c r="CZ66" i="2"/>
  <c r="DC66" i="2" s="1"/>
  <c r="CY66" i="2"/>
  <c r="CQ66" i="2"/>
  <c r="CP66" i="2"/>
  <c r="CM66" i="2"/>
  <c r="CN66" i="2" s="1"/>
  <c r="CD66" i="2"/>
  <c r="CB66" i="2"/>
  <c r="CA66" i="2"/>
  <c r="BR66" i="2"/>
  <c r="BO66" i="2"/>
  <c r="BP66" i="2" s="1"/>
  <c r="BS66" i="2" s="1"/>
  <c r="BF66" i="2"/>
  <c r="BD66" i="2"/>
  <c r="BG66" i="2" s="1"/>
  <c r="BC66" i="2"/>
  <c r="AU66" i="2"/>
  <c r="AT66" i="2"/>
  <c r="AQ66" i="2"/>
  <c r="AR66" i="2" s="1"/>
  <c r="AH66" i="2"/>
  <c r="AF66" i="2"/>
  <c r="AE66" i="2"/>
  <c r="V66" i="2"/>
  <c r="S66" i="2"/>
  <c r="T66" i="2" s="1"/>
  <c r="J66" i="2"/>
  <c r="H66" i="2"/>
  <c r="K66" i="2" s="1"/>
  <c r="G66" i="2"/>
  <c r="B66" i="2"/>
  <c r="A66" i="2"/>
  <c r="DK65" i="2"/>
  <c r="DJ65" i="2"/>
  <c r="DB65" i="2"/>
  <c r="CY65" i="2"/>
  <c r="CZ65" i="2" s="1"/>
  <c r="DC65" i="2" s="1"/>
  <c r="CP65" i="2"/>
  <c r="CN65" i="2"/>
  <c r="CM65" i="2"/>
  <c r="CD65" i="2"/>
  <c r="CA65" i="2"/>
  <c r="CB65" i="2" s="1"/>
  <c r="CE65" i="2" s="1"/>
  <c r="BR65" i="2"/>
  <c r="BP65" i="2"/>
  <c r="BO65" i="2"/>
  <c r="BF65" i="2"/>
  <c r="BC65" i="2"/>
  <c r="BD65" i="2" s="1"/>
  <c r="AT65" i="2"/>
  <c r="AR65" i="2"/>
  <c r="AQ65" i="2"/>
  <c r="AI65" i="2"/>
  <c r="AH65" i="2"/>
  <c r="AE65" i="2"/>
  <c r="AF65" i="2" s="1"/>
  <c r="V65" i="2"/>
  <c r="W65" i="2" s="1"/>
  <c r="S65" i="2"/>
  <c r="T65" i="2" s="1"/>
  <c r="J65" i="2"/>
  <c r="H65" i="2"/>
  <c r="K65" i="2" s="1"/>
  <c r="G65" i="2"/>
  <c r="B65" i="2"/>
  <c r="A65" i="2"/>
  <c r="DK64" i="2"/>
  <c r="DJ64" i="2"/>
  <c r="DB64" i="2"/>
  <c r="CY64" i="2"/>
  <c r="CZ64" i="2" s="1"/>
  <c r="DC64" i="2" s="1"/>
  <c r="CP64" i="2"/>
  <c r="CN64" i="2"/>
  <c r="CM64" i="2"/>
  <c r="CD64" i="2"/>
  <c r="CA64" i="2"/>
  <c r="CB64" i="2" s="1"/>
  <c r="BR64" i="2"/>
  <c r="BP64" i="2"/>
  <c r="BS64" i="2" s="1"/>
  <c r="BO64" i="2"/>
  <c r="BF64" i="2"/>
  <c r="BC64" i="2"/>
  <c r="BD64" i="2" s="1"/>
  <c r="AT64" i="2"/>
  <c r="AR64" i="2"/>
  <c r="AU64" i="2" s="1"/>
  <c r="AQ64" i="2"/>
  <c r="AH64" i="2"/>
  <c r="AE64" i="2"/>
  <c r="AF64" i="2" s="1"/>
  <c r="AI64" i="2" s="1"/>
  <c r="V64" i="2"/>
  <c r="T64" i="2"/>
  <c r="S64" i="2"/>
  <c r="J64" i="2"/>
  <c r="G64" i="2"/>
  <c r="H64" i="2" s="1"/>
  <c r="K64" i="2" s="1"/>
  <c r="B64" i="2"/>
  <c r="A64" i="2"/>
  <c r="DJ63" i="2"/>
  <c r="DB63" i="2"/>
  <c r="CZ63" i="2"/>
  <c r="CY63" i="2"/>
  <c r="CQ63" i="2"/>
  <c r="CP63" i="2"/>
  <c r="CM63" i="2"/>
  <c r="CN63" i="2" s="1"/>
  <c r="CD63" i="2"/>
  <c r="CB63" i="2"/>
  <c r="CA63" i="2"/>
  <c r="BR63" i="2"/>
  <c r="BO63" i="2"/>
  <c r="BP63" i="2" s="1"/>
  <c r="BS63" i="2" s="1"/>
  <c r="BF63" i="2"/>
  <c r="BD63" i="2"/>
  <c r="BC63" i="2"/>
  <c r="AT63" i="2"/>
  <c r="AU63" i="2" s="1"/>
  <c r="AQ63" i="2"/>
  <c r="AR63" i="2" s="1"/>
  <c r="AH63" i="2"/>
  <c r="AF63" i="2"/>
  <c r="AE63" i="2"/>
  <c r="V63" i="2"/>
  <c r="S63" i="2"/>
  <c r="T63" i="2" s="1"/>
  <c r="W63" i="2" s="1"/>
  <c r="J63" i="2"/>
  <c r="H63" i="2"/>
  <c r="G63" i="2"/>
  <c r="B63" i="2"/>
  <c r="A63" i="2"/>
  <c r="DK62" i="2"/>
  <c r="DJ62" i="2"/>
  <c r="DB62" i="2"/>
  <c r="CY62" i="2"/>
  <c r="CZ62" i="2" s="1"/>
  <c r="CP62" i="2"/>
  <c r="CN62" i="2"/>
  <c r="CQ62" i="2" s="1"/>
  <c r="CM62" i="2"/>
  <c r="CD62" i="2"/>
  <c r="CA62" i="2"/>
  <c r="CB62" i="2" s="1"/>
  <c r="CE62" i="2" s="1"/>
  <c r="BR62" i="2"/>
  <c r="BP62" i="2"/>
  <c r="BS62" i="2" s="1"/>
  <c r="BO62" i="2"/>
  <c r="BF62" i="2"/>
  <c r="BC62" i="2"/>
  <c r="BD62" i="2" s="1"/>
  <c r="BG62" i="2" s="1"/>
  <c r="AT62" i="2"/>
  <c r="AR62" i="2"/>
  <c r="AQ62" i="2"/>
  <c r="AH62" i="2"/>
  <c r="AE62" i="2"/>
  <c r="AF62" i="2" s="1"/>
  <c r="V62" i="2"/>
  <c r="T62" i="2"/>
  <c r="S62" i="2"/>
  <c r="K62" i="2"/>
  <c r="J62" i="2"/>
  <c r="G62" i="2"/>
  <c r="H62" i="2" s="1"/>
  <c r="B62" i="2"/>
  <c r="A62" i="2"/>
  <c r="DJ61" i="2"/>
  <c r="DB61" i="2"/>
  <c r="CZ61" i="2"/>
  <c r="CY61" i="2"/>
  <c r="CP61" i="2"/>
  <c r="CM61" i="2"/>
  <c r="CN61" i="2" s="1"/>
  <c r="CD61" i="2"/>
  <c r="CB61" i="2"/>
  <c r="CA61" i="2"/>
  <c r="BR61" i="2"/>
  <c r="BS61" i="2" s="1"/>
  <c r="BO61" i="2"/>
  <c r="BP61" i="2" s="1"/>
  <c r="BF61" i="2"/>
  <c r="BC61" i="2"/>
  <c r="BD61" i="2" s="1"/>
  <c r="BG61" i="2" s="1"/>
  <c r="BI61" i="2" s="1"/>
  <c r="AT61" i="2"/>
  <c r="AQ61" i="2"/>
  <c r="AR61" i="2" s="1"/>
  <c r="AH61" i="2"/>
  <c r="AE61" i="2"/>
  <c r="AF61" i="2" s="1"/>
  <c r="AI61" i="2" s="1"/>
  <c r="V61" i="2"/>
  <c r="S61" i="2"/>
  <c r="T61" i="2" s="1"/>
  <c r="J61" i="2"/>
  <c r="H61" i="2"/>
  <c r="K61" i="2" s="1"/>
  <c r="G61" i="2"/>
  <c r="B61" i="2"/>
  <c r="DK61" i="2" s="1"/>
  <c r="A61" i="2"/>
  <c r="DK60" i="2"/>
  <c r="DJ60" i="2"/>
  <c r="DB60" i="2"/>
  <c r="CY60" i="2"/>
  <c r="CZ60" i="2" s="1"/>
  <c r="DC60" i="2" s="1"/>
  <c r="CP60" i="2"/>
  <c r="CN60" i="2"/>
  <c r="CM60" i="2"/>
  <c r="CE60" i="2"/>
  <c r="CG60" i="2" s="1"/>
  <c r="CD60" i="2"/>
  <c r="CA60" i="2"/>
  <c r="CB60" i="2" s="1"/>
  <c r="BR60" i="2"/>
  <c r="BO60" i="2"/>
  <c r="BP60" i="2" s="1"/>
  <c r="BF60" i="2"/>
  <c r="BC60" i="2"/>
  <c r="BD60" i="2" s="1"/>
  <c r="BG60" i="2" s="1"/>
  <c r="BI60" i="2" s="1"/>
  <c r="AW60" i="2"/>
  <c r="AT60" i="2"/>
  <c r="AR60" i="2"/>
  <c r="AU60" i="2" s="1"/>
  <c r="AQ60" i="2"/>
  <c r="AH60" i="2"/>
  <c r="AE60" i="2"/>
  <c r="AF60" i="2" s="1"/>
  <c r="V60" i="2"/>
  <c r="T60" i="2"/>
  <c r="S60" i="2"/>
  <c r="J60" i="2"/>
  <c r="G60" i="2"/>
  <c r="H60" i="2" s="1"/>
  <c r="K60" i="2" s="1"/>
  <c r="B60" i="2"/>
  <c r="A60" i="2"/>
  <c r="DJ59" i="2"/>
  <c r="DB59" i="2"/>
  <c r="CY59" i="2"/>
  <c r="CZ59" i="2" s="1"/>
  <c r="CP59" i="2"/>
  <c r="CM59" i="2"/>
  <c r="CN59" i="2" s="1"/>
  <c r="CD59" i="2"/>
  <c r="CB59" i="2"/>
  <c r="CA59" i="2"/>
  <c r="BR59" i="2"/>
  <c r="BS59" i="2" s="1"/>
  <c r="BO59" i="2"/>
  <c r="BP59" i="2" s="1"/>
  <c r="BF59" i="2"/>
  <c r="BD59" i="2"/>
  <c r="BC59" i="2"/>
  <c r="AT59" i="2"/>
  <c r="AQ59" i="2"/>
  <c r="AR59" i="2" s="1"/>
  <c r="AU59" i="2" s="1"/>
  <c r="AW59" i="2" s="1"/>
  <c r="AH59" i="2"/>
  <c r="AE59" i="2"/>
  <c r="AF59" i="2" s="1"/>
  <c r="V59" i="2"/>
  <c r="S59" i="2"/>
  <c r="T59" i="2" s="1"/>
  <c r="W59" i="2" s="1"/>
  <c r="Y59" i="2" s="1"/>
  <c r="M59" i="2"/>
  <c r="J59" i="2"/>
  <c r="H59" i="2"/>
  <c r="K59" i="2" s="1"/>
  <c r="G59" i="2"/>
  <c r="B59" i="2"/>
  <c r="A59" i="2"/>
  <c r="DJ58" i="2"/>
  <c r="DB58" i="2"/>
  <c r="CY58" i="2"/>
  <c r="CZ58" i="2" s="1"/>
  <c r="CP58" i="2"/>
  <c r="CN58" i="2"/>
  <c r="CM58" i="2"/>
  <c r="CD58" i="2"/>
  <c r="CA58" i="2"/>
  <c r="CB58" i="2" s="1"/>
  <c r="CE58" i="2" s="1"/>
  <c r="BR58" i="2"/>
  <c r="BP58" i="2"/>
  <c r="BO58" i="2"/>
  <c r="BG58" i="2"/>
  <c r="BF58" i="2"/>
  <c r="BC58" i="2"/>
  <c r="BD58" i="2" s="1"/>
  <c r="AT58" i="2"/>
  <c r="AQ58" i="2"/>
  <c r="AR58" i="2" s="1"/>
  <c r="AU58" i="2" s="1"/>
  <c r="AW58" i="2" s="1"/>
  <c r="AH58" i="2"/>
  <c r="AE58" i="2"/>
  <c r="AF58" i="2" s="1"/>
  <c r="V58" i="2"/>
  <c r="T58" i="2"/>
  <c r="W58" i="2" s="1"/>
  <c r="S58" i="2"/>
  <c r="J58" i="2"/>
  <c r="H58" i="2"/>
  <c r="K58" i="2" s="1"/>
  <c r="G58" i="2"/>
  <c r="B58" i="2"/>
  <c r="DK58" i="2" s="1"/>
  <c r="A58" i="2"/>
  <c r="DJ57" i="2"/>
  <c r="DB57" i="2"/>
  <c r="CZ57" i="2"/>
  <c r="DC57" i="2" s="1"/>
  <c r="DE57" i="2" s="1"/>
  <c r="CY57" i="2"/>
  <c r="CP57" i="2"/>
  <c r="CQ57" i="2" s="1"/>
  <c r="CN57" i="2"/>
  <c r="CM57" i="2"/>
  <c r="CD57" i="2"/>
  <c r="CA57" i="2"/>
  <c r="CB57" i="2" s="1"/>
  <c r="CE57" i="2" s="1"/>
  <c r="CG57" i="2" s="1"/>
  <c r="BR57" i="2"/>
  <c r="BP57" i="2"/>
  <c r="BS57" i="2" s="1"/>
  <c r="BO57" i="2"/>
  <c r="BF57" i="2"/>
  <c r="BD57" i="2"/>
  <c r="BG57" i="2" s="1"/>
  <c r="BC57" i="2"/>
  <c r="AU57" i="2"/>
  <c r="AT57" i="2"/>
  <c r="AR57" i="2"/>
  <c r="AQ57" i="2"/>
  <c r="AH57" i="2"/>
  <c r="AF57" i="2"/>
  <c r="AE57" i="2"/>
  <c r="V57" i="2"/>
  <c r="T57" i="2"/>
  <c r="S57" i="2"/>
  <c r="J57" i="2"/>
  <c r="H57" i="2"/>
  <c r="K57" i="2" s="1"/>
  <c r="M57" i="2" s="1"/>
  <c r="G57" i="2"/>
  <c r="B57" i="2"/>
  <c r="DK57" i="2" s="1"/>
  <c r="A57" i="2"/>
  <c r="DK56" i="2"/>
  <c r="DJ56" i="2"/>
  <c r="DB56" i="2"/>
  <c r="CZ56" i="2"/>
  <c r="CY56" i="2"/>
  <c r="CP56" i="2"/>
  <c r="CN56" i="2"/>
  <c r="CQ56" i="2" s="1"/>
  <c r="CS56" i="2" s="1"/>
  <c r="CM56" i="2"/>
  <c r="CE56" i="2"/>
  <c r="CD56" i="2"/>
  <c r="CB56" i="2"/>
  <c r="CA56" i="2"/>
  <c r="BR56" i="2"/>
  <c r="BO56" i="2"/>
  <c r="BP56" i="2" s="1"/>
  <c r="BF56" i="2"/>
  <c r="BD56" i="2"/>
  <c r="BC56" i="2"/>
  <c r="AT56" i="2"/>
  <c r="AQ56" i="2"/>
  <c r="AR56" i="2" s="1"/>
  <c r="AU56" i="2" s="1"/>
  <c r="AI56" i="2"/>
  <c r="AH56" i="2"/>
  <c r="AF56" i="2"/>
  <c r="AE56" i="2"/>
  <c r="V56" i="2"/>
  <c r="T56" i="2"/>
  <c r="S56" i="2"/>
  <c r="J56" i="2"/>
  <c r="K56" i="2" s="1"/>
  <c r="H56" i="2"/>
  <c r="G56" i="2"/>
  <c r="B56" i="2"/>
  <c r="A56" i="2"/>
  <c r="DJ55" i="2"/>
  <c r="DB55" i="2"/>
  <c r="CY55" i="2"/>
  <c r="CZ55" i="2" s="1"/>
  <c r="DC55" i="2" s="1"/>
  <c r="DE55" i="2" s="1"/>
  <c r="CP55" i="2"/>
  <c r="CN55" i="2"/>
  <c r="CQ55" i="2" s="1"/>
  <c r="CM55" i="2"/>
  <c r="CD55" i="2"/>
  <c r="CB55" i="2"/>
  <c r="CE55" i="2" s="1"/>
  <c r="CG55" i="2" s="1"/>
  <c r="CA55" i="2"/>
  <c r="BR55" i="2"/>
  <c r="BP55" i="2"/>
  <c r="BS55" i="2" s="1"/>
  <c r="BO55" i="2"/>
  <c r="BF55" i="2"/>
  <c r="BD55" i="2"/>
  <c r="BG55" i="2" s="1"/>
  <c r="BC55" i="2"/>
  <c r="AT55" i="2"/>
  <c r="AU55" i="2" s="1"/>
  <c r="AR55" i="2"/>
  <c r="AQ55" i="2"/>
  <c r="AH55" i="2"/>
  <c r="AF55" i="2"/>
  <c r="AI55" i="2" s="1"/>
  <c r="AK55" i="2" s="1"/>
  <c r="AE55" i="2"/>
  <c r="V55" i="2"/>
  <c r="T55" i="2"/>
  <c r="W55" i="2" s="1"/>
  <c r="S55" i="2"/>
  <c r="J55" i="2"/>
  <c r="G55" i="2"/>
  <c r="H55" i="2" s="1"/>
  <c r="K55" i="2" s="1"/>
  <c r="B55" i="2"/>
  <c r="DK55" i="2" s="1"/>
  <c r="A55" i="2"/>
  <c r="DJ54" i="2"/>
  <c r="DC54" i="2"/>
  <c r="DB54" i="2"/>
  <c r="CZ54" i="2"/>
  <c r="CY54" i="2"/>
  <c r="CP54" i="2"/>
  <c r="CM54" i="2"/>
  <c r="CN54" i="2" s="1"/>
  <c r="CD54" i="2"/>
  <c r="CB54" i="2"/>
  <c r="CE54" i="2" s="1"/>
  <c r="CA54" i="2"/>
  <c r="BR54" i="2"/>
  <c r="BO54" i="2"/>
  <c r="BP54" i="2" s="1"/>
  <c r="BS54" i="2" s="1"/>
  <c r="BG54" i="2"/>
  <c r="BF54" i="2"/>
  <c r="BD54" i="2"/>
  <c r="BC54" i="2"/>
  <c r="AT54" i="2"/>
  <c r="AR54" i="2"/>
  <c r="AQ54" i="2"/>
  <c r="AH54" i="2"/>
  <c r="AF54" i="2"/>
  <c r="AE54" i="2"/>
  <c r="V54" i="2"/>
  <c r="T54" i="2"/>
  <c r="W54" i="2" s="1"/>
  <c r="Y54" i="2" s="1"/>
  <c r="S54" i="2"/>
  <c r="J54" i="2"/>
  <c r="H54" i="2"/>
  <c r="G54" i="2"/>
  <c r="B54" i="2"/>
  <c r="DK54" i="2" s="1"/>
  <c r="A54" i="2"/>
  <c r="DJ53" i="2"/>
  <c r="DB53" i="2"/>
  <c r="CY53" i="2"/>
  <c r="CZ53" i="2" s="1"/>
  <c r="CP53" i="2"/>
  <c r="CN53" i="2"/>
  <c r="CM53" i="2"/>
  <c r="CD53" i="2"/>
  <c r="CB53" i="2"/>
  <c r="CE53" i="2" s="1"/>
  <c r="CA53" i="2"/>
  <c r="BR53" i="2"/>
  <c r="BP53" i="2"/>
  <c r="BO53" i="2"/>
  <c r="BF53" i="2"/>
  <c r="BD53" i="2"/>
  <c r="BC53" i="2"/>
  <c r="AT53" i="2"/>
  <c r="AU53" i="2" s="1"/>
  <c r="AR53" i="2"/>
  <c r="AQ53" i="2"/>
  <c r="AH53" i="2"/>
  <c r="AE53" i="2"/>
  <c r="AF53" i="2" s="1"/>
  <c r="AI53" i="2" s="1"/>
  <c r="AK53" i="2" s="1"/>
  <c r="W53" i="2"/>
  <c r="V53" i="2"/>
  <c r="T53" i="2"/>
  <c r="S53" i="2"/>
  <c r="J53" i="2"/>
  <c r="H53" i="2"/>
  <c r="G53" i="2"/>
  <c r="B53" i="2"/>
  <c r="DK53" i="2" s="1"/>
  <c r="A53" i="2"/>
  <c r="DK52" i="2"/>
  <c r="DJ52" i="2"/>
  <c r="DC52" i="2"/>
  <c r="DB52" i="2"/>
  <c r="CZ52" i="2"/>
  <c r="CY52" i="2"/>
  <c r="CS52" i="2"/>
  <c r="CP52" i="2"/>
  <c r="CM52" i="2"/>
  <c r="CN52" i="2" s="1"/>
  <c r="CQ52" i="2" s="1"/>
  <c r="CE52" i="2"/>
  <c r="CD52" i="2"/>
  <c r="CB52" i="2"/>
  <c r="CA52" i="2"/>
  <c r="BR52" i="2"/>
  <c r="BP52" i="2"/>
  <c r="BO52" i="2"/>
  <c r="BF52" i="2"/>
  <c r="BD52" i="2"/>
  <c r="BC52" i="2"/>
  <c r="AT52" i="2"/>
  <c r="AR52" i="2"/>
  <c r="AU52" i="2" s="1"/>
  <c r="AW52" i="2" s="1"/>
  <c r="AQ52" i="2"/>
  <c r="AH52" i="2"/>
  <c r="AI52" i="2" s="1"/>
  <c r="AF52" i="2"/>
  <c r="AE52" i="2"/>
  <c r="V52" i="2"/>
  <c r="S52" i="2"/>
  <c r="T52" i="2" s="1"/>
  <c r="J52" i="2"/>
  <c r="H52" i="2"/>
  <c r="K52" i="2" s="1"/>
  <c r="G52" i="2"/>
  <c r="B52" i="2"/>
  <c r="A52" i="2"/>
  <c r="DJ51" i="2"/>
  <c r="DB51" i="2"/>
  <c r="CZ51" i="2"/>
  <c r="DC51" i="2" s="1"/>
  <c r="CY51" i="2"/>
  <c r="CP51" i="2"/>
  <c r="CQ51" i="2" s="1"/>
  <c r="CN51" i="2"/>
  <c r="CM51" i="2"/>
  <c r="CD51" i="2"/>
  <c r="CB51" i="2"/>
  <c r="CE51" i="2" s="1"/>
  <c r="CG51" i="2" s="1"/>
  <c r="CA51" i="2"/>
  <c r="BR51" i="2"/>
  <c r="BP51" i="2"/>
  <c r="BS51" i="2" s="1"/>
  <c r="BO51" i="2"/>
  <c r="BF51" i="2"/>
  <c r="BC51" i="2"/>
  <c r="BD51" i="2" s="1"/>
  <c r="BG51" i="2" s="1"/>
  <c r="AU51" i="2"/>
  <c r="AT51" i="2"/>
  <c r="AR51" i="2"/>
  <c r="AQ51" i="2"/>
  <c r="AH51" i="2"/>
  <c r="AE51" i="2"/>
  <c r="AF51" i="2" s="1"/>
  <c r="V51" i="2"/>
  <c r="T51" i="2"/>
  <c r="S51" i="2"/>
  <c r="J51" i="2"/>
  <c r="H51" i="2"/>
  <c r="K51" i="2" s="1"/>
  <c r="G51" i="2"/>
  <c r="B51" i="2"/>
  <c r="DK51" i="2" s="1"/>
  <c r="A51" i="2"/>
  <c r="DJ50" i="2"/>
  <c r="DB50" i="2"/>
  <c r="CZ50" i="2"/>
  <c r="DC50" i="2" s="1"/>
  <c r="CY50" i="2"/>
  <c r="CP50" i="2"/>
  <c r="CN50" i="2"/>
  <c r="CQ50" i="2" s="1"/>
  <c r="CM50" i="2"/>
  <c r="CD50" i="2"/>
  <c r="CE50" i="2" s="1"/>
  <c r="CB50" i="2"/>
  <c r="CA50" i="2"/>
  <c r="BR50" i="2"/>
  <c r="BP50" i="2"/>
  <c r="BO50" i="2"/>
  <c r="BF50" i="2"/>
  <c r="BD50" i="2"/>
  <c r="BG50" i="2" s="1"/>
  <c r="BC50" i="2"/>
  <c r="AT50" i="2"/>
  <c r="AQ50" i="2"/>
  <c r="AR50" i="2" s="1"/>
  <c r="AU50" i="2" s="1"/>
  <c r="AI50" i="2"/>
  <c r="AH50" i="2"/>
  <c r="AF50" i="2"/>
  <c r="AE50" i="2"/>
  <c r="V50" i="2"/>
  <c r="T50" i="2"/>
  <c r="S50" i="2"/>
  <c r="J50" i="2"/>
  <c r="K50" i="2" s="1"/>
  <c r="H50" i="2"/>
  <c r="G50" i="2"/>
  <c r="B50" i="2"/>
  <c r="DK50" i="2" s="1"/>
  <c r="A50" i="2"/>
  <c r="DJ49" i="2"/>
  <c r="DB49" i="2"/>
  <c r="CZ49" i="2"/>
  <c r="DC49" i="2" s="1"/>
  <c r="DE49" i="2" s="1"/>
  <c r="CY49" i="2"/>
  <c r="CP49" i="2"/>
  <c r="CN49" i="2"/>
  <c r="CM49" i="2"/>
  <c r="CD49" i="2"/>
  <c r="CA49" i="2"/>
  <c r="CB49" i="2" s="1"/>
  <c r="CE49" i="2" s="1"/>
  <c r="CG49" i="2" s="1"/>
  <c r="BR49" i="2"/>
  <c r="BS49" i="2" s="1"/>
  <c r="BP49" i="2"/>
  <c r="BO49" i="2"/>
  <c r="BF49" i="2"/>
  <c r="BC49" i="2"/>
  <c r="BD49" i="2" s="1"/>
  <c r="AT49" i="2"/>
  <c r="AR49" i="2"/>
  <c r="AU49" i="2" s="1"/>
  <c r="AQ49" i="2"/>
  <c r="AH49" i="2"/>
  <c r="AE49" i="2"/>
  <c r="AF49" i="2" s="1"/>
  <c r="AI49" i="2" s="1"/>
  <c r="V49" i="2"/>
  <c r="W49" i="2" s="1"/>
  <c r="T49" i="2"/>
  <c r="S49" i="2"/>
  <c r="J49" i="2"/>
  <c r="H49" i="2"/>
  <c r="K49" i="2" s="1"/>
  <c r="G49" i="2"/>
  <c r="B49" i="2"/>
  <c r="DK49" i="2" s="1"/>
  <c r="A49" i="2"/>
  <c r="DK48" i="2"/>
  <c r="DJ48" i="2"/>
  <c r="DB48" i="2"/>
  <c r="CZ48" i="2"/>
  <c r="CY48" i="2"/>
  <c r="CP48" i="2"/>
  <c r="CN48" i="2"/>
  <c r="CQ48" i="2" s="1"/>
  <c r="CS48" i="2" s="1"/>
  <c r="CM48" i="2"/>
  <c r="CE48" i="2"/>
  <c r="CD48" i="2"/>
  <c r="CB48" i="2"/>
  <c r="CA48" i="2"/>
  <c r="BR48" i="2"/>
  <c r="BO48" i="2"/>
  <c r="BP48" i="2" s="1"/>
  <c r="BF48" i="2"/>
  <c r="BD48" i="2"/>
  <c r="BG48" i="2" s="1"/>
  <c r="BC48" i="2"/>
  <c r="AT48" i="2"/>
  <c r="AR48" i="2"/>
  <c r="AU48" i="2" s="1"/>
  <c r="AQ48" i="2"/>
  <c r="AH48" i="2"/>
  <c r="AF48" i="2"/>
  <c r="AE48" i="2"/>
  <c r="V48" i="2"/>
  <c r="T48" i="2"/>
  <c r="W48" i="2" s="1"/>
  <c r="S48" i="2"/>
  <c r="J48" i="2"/>
  <c r="K48" i="2" s="1"/>
  <c r="H48" i="2"/>
  <c r="G48" i="2"/>
  <c r="B48" i="2"/>
  <c r="A48" i="2"/>
  <c r="DJ47" i="2"/>
  <c r="DB47" i="2"/>
  <c r="CY47" i="2"/>
  <c r="CZ47" i="2" s="1"/>
  <c r="CP47" i="2"/>
  <c r="CN47" i="2"/>
  <c r="CQ47" i="2" s="1"/>
  <c r="CM47" i="2"/>
  <c r="CD47" i="2"/>
  <c r="CB47" i="2"/>
  <c r="CE47" i="2" s="1"/>
  <c r="CA47" i="2"/>
  <c r="BS47" i="2"/>
  <c r="BR47" i="2"/>
  <c r="BP47" i="2"/>
  <c r="BO47" i="2"/>
  <c r="BF47" i="2"/>
  <c r="BD47" i="2"/>
  <c r="BC47" i="2"/>
  <c r="AT47" i="2"/>
  <c r="AU47" i="2" s="1"/>
  <c r="AR47" i="2"/>
  <c r="AQ47" i="2"/>
  <c r="AH47" i="2"/>
  <c r="AF47" i="2"/>
  <c r="AI47" i="2" s="1"/>
  <c r="AK47" i="2" s="1"/>
  <c r="AE47" i="2"/>
  <c r="V47" i="2"/>
  <c r="T47" i="2"/>
  <c r="W47" i="2" s="1"/>
  <c r="S47" i="2"/>
  <c r="J47" i="2"/>
  <c r="G47" i="2"/>
  <c r="H47" i="2" s="1"/>
  <c r="K47" i="2" s="1"/>
  <c r="B47" i="2"/>
  <c r="DK47" i="2" s="1"/>
  <c r="A47" i="2"/>
  <c r="DJ46" i="2"/>
  <c r="DB46" i="2"/>
  <c r="CZ46" i="2"/>
  <c r="DC46" i="2" s="1"/>
  <c r="CY46" i="2"/>
  <c r="CP46" i="2"/>
  <c r="CM46" i="2"/>
  <c r="CN46" i="2" s="1"/>
  <c r="CQ46" i="2" s="1"/>
  <c r="CD46" i="2"/>
  <c r="CB46" i="2"/>
  <c r="CA46" i="2"/>
  <c r="BR46" i="2"/>
  <c r="BO46" i="2"/>
  <c r="BP46" i="2" s="1"/>
  <c r="BS46" i="2" s="1"/>
  <c r="BU46" i="2" s="1"/>
  <c r="BF46" i="2"/>
  <c r="BD46" i="2"/>
  <c r="BC46" i="2"/>
  <c r="AT46" i="2"/>
  <c r="AR46" i="2"/>
  <c r="AU46" i="2" s="1"/>
  <c r="AQ46" i="2"/>
  <c r="AH46" i="2"/>
  <c r="AI46" i="2" s="1"/>
  <c r="AF46" i="2"/>
  <c r="AE46" i="2"/>
  <c r="V46" i="2"/>
  <c r="S46" i="2"/>
  <c r="T46" i="2" s="1"/>
  <c r="W46" i="2" s="1"/>
  <c r="Y46" i="2" s="1"/>
  <c r="J46" i="2"/>
  <c r="H46" i="2"/>
  <c r="G46" i="2"/>
  <c r="B46" i="2"/>
  <c r="DK46" i="2" s="1"/>
  <c r="A46" i="2"/>
  <c r="DJ45" i="2"/>
  <c r="DB45" i="2"/>
  <c r="CY45" i="2"/>
  <c r="CZ45" i="2" s="1"/>
  <c r="DC45" i="2" s="1"/>
  <c r="CP45" i="2"/>
  <c r="CN45" i="2"/>
  <c r="CQ45" i="2" s="1"/>
  <c r="CM45" i="2"/>
  <c r="CD45" i="2"/>
  <c r="CB45" i="2"/>
  <c r="CE45" i="2" s="1"/>
  <c r="CG45" i="2" s="1"/>
  <c r="CA45" i="2"/>
  <c r="BR45" i="2"/>
  <c r="BS45" i="2" s="1"/>
  <c r="BP45" i="2"/>
  <c r="BO45" i="2"/>
  <c r="BF45" i="2"/>
  <c r="BD45" i="2"/>
  <c r="BC45" i="2"/>
  <c r="AT45" i="2"/>
  <c r="AR45" i="2"/>
  <c r="AQ45" i="2"/>
  <c r="AH45" i="2"/>
  <c r="AE45" i="2"/>
  <c r="AF45" i="2" s="1"/>
  <c r="AI45" i="2" s="1"/>
  <c r="AK45" i="2" s="1"/>
  <c r="V45" i="2"/>
  <c r="T45" i="2"/>
  <c r="S45" i="2"/>
  <c r="J45" i="2"/>
  <c r="G45" i="2"/>
  <c r="H45" i="2" s="1"/>
  <c r="K45" i="2" s="1"/>
  <c r="B45" i="2"/>
  <c r="DK45" i="2" s="1"/>
  <c r="A45" i="2"/>
  <c r="DJ44" i="2"/>
  <c r="DB44" i="2"/>
  <c r="DC44" i="2" s="1"/>
  <c r="CY44" i="2"/>
  <c r="CZ44" i="2" s="1"/>
  <c r="CP44" i="2"/>
  <c r="CN44" i="2"/>
  <c r="CM44" i="2"/>
  <c r="CD44" i="2"/>
  <c r="CA44" i="2"/>
  <c r="CB44" i="2" s="1"/>
  <c r="CE44" i="2" s="1"/>
  <c r="BR44" i="2"/>
  <c r="BO44" i="2"/>
  <c r="BP44" i="2" s="1"/>
  <c r="BF44" i="2"/>
  <c r="BC44" i="2"/>
  <c r="BD44" i="2" s="1"/>
  <c r="BG44" i="2" s="1"/>
  <c r="BI44" i="2" s="1"/>
  <c r="AT44" i="2"/>
  <c r="AQ44" i="2"/>
  <c r="AR44" i="2" s="1"/>
  <c r="AH44" i="2"/>
  <c r="AE44" i="2"/>
  <c r="AF44" i="2" s="1"/>
  <c r="AI44" i="2" s="1"/>
  <c r="V44" i="2"/>
  <c r="T44" i="2"/>
  <c r="S44" i="2"/>
  <c r="J44" i="2"/>
  <c r="G44" i="2"/>
  <c r="H44" i="2" s="1"/>
  <c r="B44" i="2"/>
  <c r="A44" i="2"/>
  <c r="DJ43" i="2"/>
  <c r="DB43" i="2"/>
  <c r="CY43" i="2"/>
  <c r="CZ43" i="2" s="1"/>
  <c r="CP43" i="2"/>
  <c r="CM43" i="2"/>
  <c r="CN43" i="2" s="1"/>
  <c r="CD43" i="2"/>
  <c r="CB43" i="2"/>
  <c r="CA43" i="2"/>
  <c r="BR43" i="2"/>
  <c r="BO43" i="2"/>
  <c r="BP43" i="2" s="1"/>
  <c r="BF43" i="2"/>
  <c r="BD43" i="2"/>
  <c r="BC43" i="2"/>
  <c r="AT43" i="2"/>
  <c r="AQ43" i="2"/>
  <c r="AR43" i="2" s="1"/>
  <c r="AU43" i="2" s="1"/>
  <c r="AH43" i="2"/>
  <c r="AE43" i="2"/>
  <c r="AF43" i="2" s="1"/>
  <c r="AI43" i="2" s="1"/>
  <c r="AK43" i="2" s="1"/>
  <c r="V43" i="2"/>
  <c r="S43" i="2"/>
  <c r="T43" i="2" s="1"/>
  <c r="W43" i="2" s="1"/>
  <c r="Y43" i="2" s="1"/>
  <c r="J43" i="2"/>
  <c r="G43" i="2"/>
  <c r="H43" i="2" s="1"/>
  <c r="K43" i="2" s="1"/>
  <c r="B43" i="2"/>
  <c r="A43" i="2"/>
  <c r="DJ42" i="2"/>
  <c r="DK42" i="2" s="1"/>
  <c r="DB42" i="2"/>
  <c r="CY42" i="2"/>
  <c r="CZ42" i="2" s="1"/>
  <c r="DC42" i="2" s="1"/>
  <c r="CP42" i="2"/>
  <c r="CN42" i="2"/>
  <c r="CQ42" i="2" s="1"/>
  <c r="CM42" i="2"/>
  <c r="CD42" i="2"/>
  <c r="CE42" i="2" s="1"/>
  <c r="CA42" i="2"/>
  <c r="CB42" i="2" s="1"/>
  <c r="BR42" i="2"/>
  <c r="BP42" i="2"/>
  <c r="BO42" i="2"/>
  <c r="BF42" i="2"/>
  <c r="BC42" i="2"/>
  <c r="BD42" i="2" s="1"/>
  <c r="AT42" i="2"/>
  <c r="AQ42" i="2"/>
  <c r="AR42" i="2" s="1"/>
  <c r="AH42" i="2"/>
  <c r="AE42" i="2"/>
  <c r="AF42" i="2" s="1"/>
  <c r="V42" i="2"/>
  <c r="S42" i="2"/>
  <c r="T42" i="2" s="1"/>
  <c r="J42" i="2"/>
  <c r="G42" i="2"/>
  <c r="H42" i="2" s="1"/>
  <c r="B42" i="2"/>
  <c r="A42" i="2"/>
  <c r="DJ41" i="2"/>
  <c r="DB41" i="2"/>
  <c r="CY41" i="2"/>
  <c r="CZ41" i="2" s="1"/>
  <c r="CP41" i="2"/>
  <c r="CM41" i="2"/>
  <c r="CN41" i="2" s="1"/>
  <c r="CD41" i="2"/>
  <c r="CA41" i="2"/>
  <c r="CB41" i="2" s="1"/>
  <c r="CE41" i="2" s="1"/>
  <c r="CG41" i="2" s="1"/>
  <c r="BR41" i="2"/>
  <c r="BO41" i="2"/>
  <c r="BP41" i="2" s="1"/>
  <c r="BF41" i="2"/>
  <c r="BD41" i="2"/>
  <c r="BG41" i="2" s="1"/>
  <c r="BC41" i="2"/>
  <c r="AT41" i="2"/>
  <c r="AU41" i="2" s="1"/>
  <c r="AQ41" i="2"/>
  <c r="AR41" i="2" s="1"/>
  <c r="AH41" i="2"/>
  <c r="AF41" i="2"/>
  <c r="AE41" i="2"/>
  <c r="V41" i="2"/>
  <c r="S41" i="2"/>
  <c r="T41" i="2" s="1"/>
  <c r="W41" i="2" s="1"/>
  <c r="J41" i="2"/>
  <c r="G41" i="2"/>
  <c r="H41" i="2" s="1"/>
  <c r="B41" i="2"/>
  <c r="DK41" i="2" s="1"/>
  <c r="A41" i="2"/>
  <c r="DJ40" i="2"/>
  <c r="DB40" i="2"/>
  <c r="CY40" i="2"/>
  <c r="CZ40" i="2" s="1"/>
  <c r="DC40" i="2" s="1"/>
  <c r="DE40" i="2" s="1"/>
  <c r="CP40" i="2"/>
  <c r="CM40" i="2"/>
  <c r="CN40" i="2" s="1"/>
  <c r="CD40" i="2"/>
  <c r="CA40" i="2"/>
  <c r="CB40" i="2" s="1"/>
  <c r="CE40" i="2" s="1"/>
  <c r="BR40" i="2"/>
  <c r="BP40" i="2"/>
  <c r="BO40" i="2"/>
  <c r="BF40" i="2"/>
  <c r="BG40" i="2" s="1"/>
  <c r="BC40" i="2"/>
  <c r="BD40" i="2" s="1"/>
  <c r="AT40" i="2"/>
  <c r="AR40" i="2"/>
  <c r="AQ40" i="2"/>
  <c r="AI40" i="2"/>
  <c r="AH40" i="2"/>
  <c r="AE40" i="2"/>
  <c r="AF40" i="2" s="1"/>
  <c r="V40" i="2"/>
  <c r="S40" i="2"/>
  <c r="T40" i="2" s="1"/>
  <c r="J40" i="2"/>
  <c r="G40" i="2"/>
  <c r="H40" i="2" s="1"/>
  <c r="K40" i="2" s="1"/>
  <c r="B40" i="2"/>
  <c r="DK40" i="2" s="1"/>
  <c r="A40" i="2"/>
  <c r="DJ39" i="2"/>
  <c r="DB39" i="2"/>
  <c r="CZ39" i="2"/>
  <c r="CY39" i="2"/>
  <c r="CP39" i="2"/>
  <c r="CM39" i="2"/>
  <c r="CN39" i="2" s="1"/>
  <c r="CQ39" i="2" s="1"/>
  <c r="CD39" i="2"/>
  <c r="CA39" i="2"/>
  <c r="CB39" i="2" s="1"/>
  <c r="CE39" i="2" s="1"/>
  <c r="CG39" i="2" s="1"/>
  <c r="BR39" i="2"/>
  <c r="BO39" i="2"/>
  <c r="BP39" i="2" s="1"/>
  <c r="BF39" i="2"/>
  <c r="BC39" i="2"/>
  <c r="BD39" i="2" s="1"/>
  <c r="BG39" i="2" s="1"/>
  <c r="AT39" i="2"/>
  <c r="AQ39" i="2"/>
  <c r="AR39" i="2" s="1"/>
  <c r="AH39" i="2"/>
  <c r="AF39" i="2"/>
  <c r="AI39" i="2" s="1"/>
  <c r="AE39" i="2"/>
  <c r="V39" i="2"/>
  <c r="W39" i="2" s="1"/>
  <c r="S39" i="2"/>
  <c r="T39" i="2" s="1"/>
  <c r="J39" i="2"/>
  <c r="H39" i="2"/>
  <c r="G39" i="2"/>
  <c r="B39" i="2"/>
  <c r="DK39" i="2" s="1"/>
  <c r="A39" i="2"/>
  <c r="DJ38" i="2"/>
  <c r="DB38" i="2"/>
  <c r="CY38" i="2"/>
  <c r="CZ38" i="2" s="1"/>
  <c r="DC38" i="2" s="1"/>
  <c r="CP38" i="2"/>
  <c r="CM38" i="2"/>
  <c r="CN38" i="2" s="1"/>
  <c r="CD38" i="2"/>
  <c r="CA38" i="2"/>
  <c r="CB38" i="2" s="1"/>
  <c r="CE38" i="2" s="1"/>
  <c r="CG38" i="2" s="1"/>
  <c r="BU38" i="2"/>
  <c r="BR38" i="2"/>
  <c r="BO38" i="2"/>
  <c r="BP38" i="2" s="1"/>
  <c r="BS38" i="2" s="1"/>
  <c r="BF38" i="2"/>
  <c r="BC38" i="2"/>
  <c r="BD38" i="2" s="1"/>
  <c r="AT38" i="2"/>
  <c r="AR38" i="2"/>
  <c r="AU38" i="2" s="1"/>
  <c r="AQ38" i="2"/>
  <c r="AH38" i="2"/>
  <c r="AI38" i="2" s="1"/>
  <c r="AE38" i="2"/>
  <c r="AF38" i="2" s="1"/>
  <c r="V38" i="2"/>
  <c r="T38" i="2"/>
  <c r="S38" i="2"/>
  <c r="J38" i="2"/>
  <c r="G38" i="2"/>
  <c r="H38" i="2" s="1"/>
  <c r="K38" i="2" s="1"/>
  <c r="B38" i="2"/>
  <c r="DK38" i="2" s="1"/>
  <c r="A38" i="2"/>
  <c r="DJ37" i="2"/>
  <c r="DB37" i="2"/>
  <c r="CZ37" i="2"/>
  <c r="CY37" i="2"/>
  <c r="CP37" i="2"/>
  <c r="CQ37" i="2" s="1"/>
  <c r="CM37" i="2"/>
  <c r="CN37" i="2" s="1"/>
  <c r="CD37" i="2"/>
  <c r="CB37" i="2"/>
  <c r="CA37" i="2"/>
  <c r="BS37" i="2"/>
  <c r="BR37" i="2"/>
  <c r="BO37" i="2"/>
  <c r="BP37" i="2" s="1"/>
  <c r="BF37" i="2"/>
  <c r="BC37" i="2"/>
  <c r="BD37" i="2" s="1"/>
  <c r="AT37" i="2"/>
  <c r="AQ37" i="2"/>
  <c r="AR37" i="2" s="1"/>
  <c r="AU37" i="2" s="1"/>
  <c r="AW37" i="2" s="1"/>
  <c r="AH37" i="2"/>
  <c r="AE37" i="2"/>
  <c r="AF37" i="2" s="1"/>
  <c r="V37" i="2"/>
  <c r="S37" i="2"/>
  <c r="T37" i="2" s="1"/>
  <c r="W37" i="2" s="1"/>
  <c r="J37" i="2"/>
  <c r="H37" i="2"/>
  <c r="G37" i="2"/>
  <c r="B37" i="2"/>
  <c r="DK37" i="2" s="1"/>
  <c r="A37" i="2"/>
  <c r="DK36" i="2"/>
  <c r="DJ36" i="2"/>
  <c r="DB36" i="2"/>
  <c r="DC36" i="2" s="1"/>
  <c r="CY36" i="2"/>
  <c r="CZ36" i="2" s="1"/>
  <c r="CP36" i="2"/>
  <c r="CN36" i="2"/>
  <c r="CM36" i="2"/>
  <c r="CE36" i="2"/>
  <c r="CD36" i="2"/>
  <c r="CA36" i="2"/>
  <c r="CB36" i="2" s="1"/>
  <c r="BR36" i="2"/>
  <c r="BO36" i="2"/>
  <c r="BP36" i="2" s="1"/>
  <c r="BF36" i="2"/>
  <c r="BC36" i="2"/>
  <c r="BD36" i="2" s="1"/>
  <c r="BG36" i="2" s="1"/>
  <c r="BI36" i="2" s="1"/>
  <c r="AT36" i="2"/>
  <c r="AQ36" i="2"/>
  <c r="AR36" i="2" s="1"/>
  <c r="AH36" i="2"/>
  <c r="AE36" i="2"/>
  <c r="AF36" i="2" s="1"/>
  <c r="AI36" i="2" s="1"/>
  <c r="V36" i="2"/>
  <c r="T36" i="2"/>
  <c r="S36" i="2"/>
  <c r="J36" i="2"/>
  <c r="G36" i="2"/>
  <c r="H36" i="2" s="1"/>
  <c r="B36" i="2"/>
  <c r="A36" i="2"/>
  <c r="DJ35" i="2"/>
  <c r="DE35" i="2"/>
  <c r="DB35" i="2"/>
  <c r="CY35" i="2"/>
  <c r="CZ35" i="2" s="1"/>
  <c r="DC35" i="2" s="1"/>
  <c r="CP35" i="2"/>
  <c r="CM35" i="2"/>
  <c r="CN35" i="2" s="1"/>
  <c r="CD35" i="2"/>
  <c r="CB35" i="2"/>
  <c r="CE35" i="2" s="1"/>
  <c r="CA35" i="2"/>
  <c r="BR35" i="2"/>
  <c r="BS35" i="2" s="1"/>
  <c r="BO35" i="2"/>
  <c r="BP35" i="2" s="1"/>
  <c r="BF35" i="2"/>
  <c r="BD35" i="2"/>
  <c r="BC35" i="2"/>
  <c r="AT35" i="2"/>
  <c r="AQ35" i="2"/>
  <c r="AR35" i="2" s="1"/>
  <c r="AU35" i="2" s="1"/>
  <c r="AH35" i="2"/>
  <c r="AE35" i="2"/>
  <c r="AF35" i="2" s="1"/>
  <c r="AI35" i="2" s="1"/>
  <c r="AK35" i="2" s="1"/>
  <c r="V35" i="2"/>
  <c r="S35" i="2"/>
  <c r="T35" i="2" s="1"/>
  <c r="W35" i="2" s="1"/>
  <c r="Y35" i="2" s="1"/>
  <c r="J35" i="2"/>
  <c r="G35" i="2"/>
  <c r="H35" i="2" s="1"/>
  <c r="K35" i="2" s="1"/>
  <c r="B35" i="2"/>
  <c r="A35" i="2"/>
  <c r="DJ34" i="2"/>
  <c r="DK34" i="2" s="1"/>
  <c r="DB34" i="2"/>
  <c r="CY34" i="2"/>
  <c r="CZ34" i="2" s="1"/>
  <c r="DC34" i="2" s="1"/>
  <c r="CP34" i="2"/>
  <c r="CN34" i="2"/>
  <c r="CQ34" i="2" s="1"/>
  <c r="CM34" i="2"/>
  <c r="CD34" i="2"/>
  <c r="CE34" i="2" s="1"/>
  <c r="CA34" i="2"/>
  <c r="CB34" i="2" s="1"/>
  <c r="BR34" i="2"/>
  <c r="BP34" i="2"/>
  <c r="BO34" i="2"/>
  <c r="BF34" i="2"/>
  <c r="BG34" i="2" s="1"/>
  <c r="BC34" i="2"/>
  <c r="BD34" i="2" s="1"/>
  <c r="AT34" i="2"/>
  <c r="AQ34" i="2"/>
  <c r="AR34" i="2" s="1"/>
  <c r="AH34" i="2"/>
  <c r="AE34" i="2"/>
  <c r="AF34" i="2" s="1"/>
  <c r="V34" i="2"/>
  <c r="S34" i="2"/>
  <c r="T34" i="2" s="1"/>
  <c r="J34" i="2"/>
  <c r="G34" i="2"/>
  <c r="H34" i="2" s="1"/>
  <c r="B34" i="2"/>
  <c r="A34" i="2"/>
  <c r="DJ33" i="2"/>
  <c r="DB33" i="2"/>
  <c r="CY33" i="2"/>
  <c r="CZ33" i="2" s="1"/>
  <c r="CP33" i="2"/>
  <c r="CM33" i="2"/>
  <c r="CN33" i="2" s="1"/>
  <c r="CG33" i="2"/>
  <c r="CD33" i="2"/>
  <c r="CA33" i="2"/>
  <c r="CB33" i="2" s="1"/>
  <c r="CE33" i="2" s="1"/>
  <c r="BR33" i="2"/>
  <c r="BO33" i="2"/>
  <c r="BP33" i="2" s="1"/>
  <c r="BS33" i="2" s="1"/>
  <c r="BF33" i="2"/>
  <c r="BD33" i="2"/>
  <c r="BG33" i="2" s="1"/>
  <c r="BC33" i="2"/>
  <c r="AT33" i="2"/>
  <c r="AU33" i="2" s="1"/>
  <c r="AQ33" i="2"/>
  <c r="AR33" i="2" s="1"/>
  <c r="AH33" i="2"/>
  <c r="AE33" i="2"/>
  <c r="AF33" i="2" s="1"/>
  <c r="W33" i="2"/>
  <c r="V33" i="2"/>
  <c r="S33" i="2"/>
  <c r="T33" i="2" s="1"/>
  <c r="J33" i="2"/>
  <c r="G33" i="2"/>
  <c r="H33" i="2" s="1"/>
  <c r="K33" i="2" s="1"/>
  <c r="B33" i="2"/>
  <c r="DK33" i="2" s="1"/>
  <c r="A33" i="2"/>
  <c r="DJ32" i="2"/>
  <c r="DB32" i="2"/>
  <c r="CY32" i="2"/>
  <c r="CZ32" i="2" s="1"/>
  <c r="DC32" i="2" s="1"/>
  <c r="DE32" i="2" s="1"/>
  <c r="CP32" i="2"/>
  <c r="CM32" i="2"/>
  <c r="CN32" i="2" s="1"/>
  <c r="CQ32" i="2" s="1"/>
  <c r="CD32" i="2"/>
  <c r="CA32" i="2"/>
  <c r="CB32" i="2" s="1"/>
  <c r="CE32" i="2" s="1"/>
  <c r="BR32" i="2"/>
  <c r="BP32" i="2"/>
  <c r="BS32" i="2" s="1"/>
  <c r="BO32" i="2"/>
  <c r="BF32" i="2"/>
  <c r="BG32" i="2" s="1"/>
  <c r="BC32" i="2"/>
  <c r="BD32" i="2" s="1"/>
  <c r="AT32" i="2"/>
  <c r="AR32" i="2"/>
  <c r="AQ32" i="2"/>
  <c r="AH32" i="2"/>
  <c r="AE32" i="2"/>
  <c r="AF32" i="2" s="1"/>
  <c r="AI32" i="2" s="1"/>
  <c r="V32" i="2"/>
  <c r="S32" i="2"/>
  <c r="T32" i="2" s="1"/>
  <c r="J32" i="2"/>
  <c r="G32" i="2"/>
  <c r="H32" i="2" s="1"/>
  <c r="B32" i="2"/>
  <c r="DK32" i="2" s="1"/>
  <c r="A32" i="2"/>
  <c r="DJ31" i="2"/>
  <c r="DB31" i="2"/>
  <c r="CZ31" i="2"/>
  <c r="CY31" i="2"/>
  <c r="CP31" i="2"/>
  <c r="CM31" i="2"/>
  <c r="CN31" i="2" s="1"/>
  <c r="CQ31" i="2" s="1"/>
  <c r="CD31" i="2"/>
  <c r="CA31" i="2"/>
  <c r="CB31" i="2" s="1"/>
  <c r="BR31" i="2"/>
  <c r="BO31" i="2"/>
  <c r="BP31" i="2" s="1"/>
  <c r="BI31" i="2"/>
  <c r="BF31" i="2"/>
  <c r="BC31" i="2"/>
  <c r="BD31" i="2" s="1"/>
  <c r="BG31" i="2" s="1"/>
  <c r="AT31" i="2"/>
  <c r="AQ31" i="2"/>
  <c r="AR31" i="2" s="1"/>
  <c r="AU31" i="2" s="1"/>
  <c r="AH31" i="2"/>
  <c r="AF31" i="2"/>
  <c r="AI31" i="2" s="1"/>
  <c r="AE31" i="2"/>
  <c r="V31" i="2"/>
  <c r="W31" i="2" s="1"/>
  <c r="S31" i="2"/>
  <c r="T31" i="2" s="1"/>
  <c r="J31" i="2"/>
  <c r="H31" i="2"/>
  <c r="G31" i="2"/>
  <c r="B31" i="2"/>
  <c r="DK31" i="2" s="1"/>
  <c r="A31" i="2"/>
  <c r="DJ30" i="2"/>
  <c r="DB30" i="2"/>
  <c r="CY30" i="2"/>
  <c r="CZ30" i="2" s="1"/>
  <c r="DC30" i="2" s="1"/>
  <c r="CP30" i="2"/>
  <c r="CM30" i="2"/>
  <c r="CN30" i="2" s="1"/>
  <c r="CD30" i="2"/>
  <c r="CA30" i="2"/>
  <c r="CB30" i="2" s="1"/>
  <c r="BU30" i="2"/>
  <c r="BR30" i="2"/>
  <c r="BO30" i="2"/>
  <c r="BP30" i="2" s="1"/>
  <c r="BS30" i="2" s="1"/>
  <c r="BF30" i="2"/>
  <c r="BC30" i="2"/>
  <c r="BD30" i="2" s="1"/>
  <c r="BG30" i="2" s="1"/>
  <c r="AT30" i="2"/>
  <c r="AR30" i="2"/>
  <c r="AU30" i="2" s="1"/>
  <c r="AQ30" i="2"/>
  <c r="AH30" i="2"/>
  <c r="AI30" i="2" s="1"/>
  <c r="AE30" i="2"/>
  <c r="AF30" i="2" s="1"/>
  <c r="V30" i="2"/>
  <c r="S30" i="2"/>
  <c r="T30" i="2" s="1"/>
  <c r="K30" i="2"/>
  <c r="J30" i="2"/>
  <c r="G30" i="2"/>
  <c r="H30" i="2" s="1"/>
  <c r="B30" i="2"/>
  <c r="DK30" i="2" s="1"/>
  <c r="A30" i="2"/>
  <c r="DJ29" i="2"/>
  <c r="DB29" i="2"/>
  <c r="CZ29" i="2"/>
  <c r="DC29" i="2" s="1"/>
  <c r="CY29" i="2"/>
  <c r="CP29" i="2"/>
  <c r="CQ29" i="2" s="1"/>
  <c r="CM29" i="2"/>
  <c r="CN29" i="2" s="1"/>
  <c r="CD29" i="2"/>
  <c r="CA29" i="2"/>
  <c r="CB29" i="2" s="1"/>
  <c r="BR29" i="2"/>
  <c r="BO29" i="2"/>
  <c r="BP29" i="2" s="1"/>
  <c r="BS29" i="2" s="1"/>
  <c r="BF29" i="2"/>
  <c r="BC29" i="2"/>
  <c r="BD29" i="2" s="1"/>
  <c r="BG29" i="2" s="1"/>
  <c r="BI29" i="2" s="1"/>
  <c r="AT29" i="2"/>
  <c r="AQ29" i="2"/>
  <c r="AR29" i="2" s="1"/>
  <c r="AU29" i="2" s="1"/>
  <c r="AW29" i="2" s="1"/>
  <c r="AH29" i="2"/>
  <c r="AE29" i="2"/>
  <c r="AF29" i="2" s="1"/>
  <c r="V29" i="2"/>
  <c r="S29" i="2"/>
  <c r="T29" i="2" s="1"/>
  <c r="J29" i="2"/>
  <c r="H29" i="2"/>
  <c r="G29" i="2"/>
  <c r="B29" i="2"/>
  <c r="DK29" i="2" s="1"/>
  <c r="A29" i="2"/>
  <c r="DJ28" i="2"/>
  <c r="DB28" i="2"/>
  <c r="CY28" i="2"/>
  <c r="CZ28" i="2" s="1"/>
  <c r="CP28" i="2"/>
  <c r="CM28" i="2"/>
  <c r="CN28" i="2" s="1"/>
  <c r="CQ28" i="2" s="1"/>
  <c r="CD28" i="2"/>
  <c r="CA28" i="2"/>
  <c r="CB28" i="2" s="1"/>
  <c r="CE28" i="2" s="1"/>
  <c r="BR28" i="2"/>
  <c r="BO28" i="2"/>
  <c r="BP28" i="2" s="1"/>
  <c r="BF28" i="2"/>
  <c r="BC28" i="2"/>
  <c r="BD28" i="2" s="1"/>
  <c r="AT28" i="2"/>
  <c r="AQ28" i="2"/>
  <c r="AR28" i="2" s="1"/>
  <c r="AH28" i="2"/>
  <c r="AE28" i="2"/>
  <c r="AF28" i="2" s="1"/>
  <c r="V28" i="2"/>
  <c r="T28" i="2"/>
  <c r="S28" i="2"/>
  <c r="J28" i="2"/>
  <c r="G28" i="2"/>
  <c r="H28" i="2" s="1"/>
  <c r="K28" i="2" s="1"/>
  <c r="B28" i="2"/>
  <c r="DK28" i="2" s="1"/>
  <c r="A28" i="2"/>
  <c r="DJ27" i="2"/>
  <c r="DB27" i="2"/>
  <c r="CZ27" i="2"/>
  <c r="DC27" i="2" s="1"/>
  <c r="CY27" i="2"/>
  <c r="CP27" i="2"/>
  <c r="CM27" i="2"/>
  <c r="CN27" i="2" s="1"/>
  <c r="CD27" i="2"/>
  <c r="CB27" i="2"/>
  <c r="CE27" i="2" s="1"/>
  <c r="CG27" i="2" s="1"/>
  <c r="CA27" i="2"/>
  <c r="BR27" i="2"/>
  <c r="BO27" i="2"/>
  <c r="BP27" i="2" s="1"/>
  <c r="BS27" i="2" s="1"/>
  <c r="BF27" i="2"/>
  <c r="BD27" i="2"/>
  <c r="BC27" i="2"/>
  <c r="AT27" i="2"/>
  <c r="AQ27" i="2"/>
  <c r="AR27" i="2" s="1"/>
  <c r="AU27" i="2" s="1"/>
  <c r="AH27" i="2"/>
  <c r="AF27" i="2"/>
  <c r="AE27" i="2"/>
  <c r="V27" i="2"/>
  <c r="S27" i="2"/>
  <c r="T27" i="2" s="1"/>
  <c r="W27" i="2" s="1"/>
  <c r="J27" i="2"/>
  <c r="H27" i="2"/>
  <c r="K27" i="2" s="1"/>
  <c r="G27" i="2"/>
  <c r="B27" i="2"/>
  <c r="DK27" i="2" s="1"/>
  <c r="A27" i="2"/>
  <c r="DK26" i="2"/>
  <c r="DJ26" i="2"/>
  <c r="DB26" i="2"/>
  <c r="CY26" i="2"/>
  <c r="CZ26" i="2" s="1"/>
  <c r="DC26" i="2" s="1"/>
  <c r="CP26" i="2"/>
  <c r="CN26" i="2"/>
  <c r="CM26" i="2"/>
  <c r="CD26" i="2"/>
  <c r="CA26" i="2"/>
  <c r="CB26" i="2" s="1"/>
  <c r="CE26" i="2" s="1"/>
  <c r="BR26" i="2"/>
  <c r="BP26" i="2"/>
  <c r="BS26" i="2" s="1"/>
  <c r="BO26" i="2"/>
  <c r="BF26" i="2"/>
  <c r="BC26" i="2"/>
  <c r="BD26" i="2" s="1"/>
  <c r="AT26" i="2"/>
  <c r="AR26" i="2"/>
  <c r="AU26" i="2" s="1"/>
  <c r="AW26" i="2" s="1"/>
  <c r="AQ26" i="2"/>
  <c r="AH26" i="2"/>
  <c r="AE26" i="2"/>
  <c r="AF26" i="2" s="1"/>
  <c r="AI26" i="2" s="1"/>
  <c r="V26" i="2"/>
  <c r="T26" i="2"/>
  <c r="S26" i="2"/>
  <c r="J26" i="2"/>
  <c r="G26" i="2"/>
  <c r="H26" i="2" s="1"/>
  <c r="K26" i="2" s="1"/>
  <c r="B26" i="2"/>
  <c r="A26" i="2"/>
  <c r="DJ25" i="2"/>
  <c r="DB25" i="2"/>
  <c r="CZ25" i="2"/>
  <c r="CY25" i="2"/>
  <c r="CP25" i="2"/>
  <c r="CM25" i="2"/>
  <c r="CN25" i="2" s="1"/>
  <c r="CQ25" i="2" s="1"/>
  <c r="CD25" i="2"/>
  <c r="CB25" i="2"/>
  <c r="CE25" i="2" s="1"/>
  <c r="CA25" i="2"/>
  <c r="BR25" i="2"/>
  <c r="BO25" i="2"/>
  <c r="BP25" i="2" s="1"/>
  <c r="BF25" i="2"/>
  <c r="BD25" i="2"/>
  <c r="BG25" i="2" s="1"/>
  <c r="BI25" i="2" s="1"/>
  <c r="BC25" i="2"/>
  <c r="AT25" i="2"/>
  <c r="AQ25" i="2"/>
  <c r="AR25" i="2" s="1"/>
  <c r="AU25" i="2" s="1"/>
  <c r="AH25" i="2"/>
  <c r="AF25" i="2"/>
  <c r="AE25" i="2"/>
  <c r="V25" i="2"/>
  <c r="S25" i="2"/>
  <c r="T25" i="2" s="1"/>
  <c r="W25" i="2" s="1"/>
  <c r="J25" i="2"/>
  <c r="H25" i="2"/>
  <c r="G25" i="2"/>
  <c r="B25" i="2"/>
  <c r="DK25" i="2" s="1"/>
  <c r="A25" i="2"/>
  <c r="DK24" i="2"/>
  <c r="DJ24" i="2"/>
  <c r="DC24" i="2"/>
  <c r="DB24" i="2"/>
  <c r="CY24" i="2"/>
  <c r="CZ24" i="2" s="1"/>
  <c r="CP24" i="2"/>
  <c r="CN24" i="2"/>
  <c r="CM24" i="2"/>
  <c r="CD24" i="2"/>
  <c r="CA24" i="2"/>
  <c r="CB24" i="2" s="1"/>
  <c r="CE24" i="2" s="1"/>
  <c r="BR24" i="2"/>
  <c r="BP24" i="2"/>
  <c r="BO24" i="2"/>
  <c r="BF24" i="2"/>
  <c r="BC24" i="2"/>
  <c r="BD24" i="2" s="1"/>
  <c r="BG24" i="2" s="1"/>
  <c r="AT24" i="2"/>
  <c r="AR24" i="2"/>
  <c r="AU24" i="2" s="1"/>
  <c r="AQ24" i="2"/>
  <c r="AH24" i="2"/>
  <c r="AE24" i="2"/>
  <c r="AF24" i="2" s="1"/>
  <c r="Y24" i="2"/>
  <c r="V24" i="2"/>
  <c r="T24" i="2"/>
  <c r="W24" i="2" s="1"/>
  <c r="S24" i="2"/>
  <c r="K24" i="2"/>
  <c r="J24" i="2"/>
  <c r="G24" i="2"/>
  <c r="H24" i="2" s="1"/>
  <c r="B24" i="2"/>
  <c r="A24" i="2"/>
  <c r="DJ23" i="2"/>
  <c r="DB23" i="2"/>
  <c r="CZ23" i="2"/>
  <c r="CY23" i="2"/>
  <c r="CP23" i="2"/>
  <c r="CM23" i="2"/>
  <c r="CN23" i="2" s="1"/>
  <c r="CQ23" i="2" s="1"/>
  <c r="CD23" i="2"/>
  <c r="CB23" i="2"/>
  <c r="CA23" i="2"/>
  <c r="BR23" i="2"/>
  <c r="BO23" i="2"/>
  <c r="BP23" i="2" s="1"/>
  <c r="BS23" i="2" s="1"/>
  <c r="BF23" i="2"/>
  <c r="BD23" i="2"/>
  <c r="BG23" i="2" s="1"/>
  <c r="BC23" i="2"/>
  <c r="AT23" i="2"/>
  <c r="AQ23" i="2"/>
  <c r="AR23" i="2" s="1"/>
  <c r="AK23" i="2"/>
  <c r="AH23" i="2"/>
  <c r="AF23" i="2"/>
  <c r="AI23" i="2" s="1"/>
  <c r="AE23" i="2"/>
  <c r="V23" i="2"/>
  <c r="S23" i="2"/>
  <c r="T23" i="2" s="1"/>
  <c r="J23" i="2"/>
  <c r="H23" i="2"/>
  <c r="K23" i="2" s="1"/>
  <c r="M23" i="2" s="1"/>
  <c r="G23" i="2"/>
  <c r="B23" i="2"/>
  <c r="DK23" i="2" s="1"/>
  <c r="A23" i="2"/>
  <c r="DJ22" i="2"/>
  <c r="DB22" i="2"/>
  <c r="CY22" i="2"/>
  <c r="CZ22" i="2" s="1"/>
  <c r="DC22" i="2" s="1"/>
  <c r="DE22" i="2" s="1"/>
  <c r="CP22" i="2"/>
  <c r="CN22" i="2"/>
  <c r="CM22" i="2"/>
  <c r="CE22" i="2"/>
  <c r="CG22" i="2" s="1"/>
  <c r="CD22" i="2"/>
  <c r="CA22" i="2"/>
  <c r="CB22" i="2" s="1"/>
  <c r="BR22" i="2"/>
  <c r="BP22" i="2"/>
  <c r="BO22" i="2"/>
  <c r="BF22" i="2"/>
  <c r="BC22" i="2"/>
  <c r="BD22" i="2" s="1"/>
  <c r="BG22" i="2" s="1"/>
  <c r="BI22" i="2" s="1"/>
  <c r="AT22" i="2"/>
  <c r="AR22" i="2"/>
  <c r="AQ22" i="2"/>
  <c r="AI22" i="2"/>
  <c r="AK22" i="2" s="1"/>
  <c r="AH22" i="2"/>
  <c r="AE22" i="2"/>
  <c r="AF22" i="2" s="1"/>
  <c r="V22" i="2"/>
  <c r="T22" i="2"/>
  <c r="S22" i="2"/>
  <c r="J22" i="2"/>
  <c r="G22" i="2"/>
  <c r="H22" i="2" s="1"/>
  <c r="K22" i="2" s="1"/>
  <c r="B22" i="2"/>
  <c r="DK22" i="2" s="1"/>
  <c r="A22" i="2"/>
  <c r="DJ21" i="2"/>
  <c r="DB21" i="2"/>
  <c r="CZ21" i="2"/>
  <c r="CY21" i="2"/>
  <c r="CP21" i="2"/>
  <c r="CM21" i="2"/>
  <c r="CN21" i="2" s="1"/>
  <c r="CQ21" i="2" s="1"/>
  <c r="CD21" i="2"/>
  <c r="CB21" i="2"/>
  <c r="CA21" i="2"/>
  <c r="BR21" i="2"/>
  <c r="BO21" i="2"/>
  <c r="BP21" i="2" s="1"/>
  <c r="BS21" i="2" s="1"/>
  <c r="BF21" i="2"/>
  <c r="BD21" i="2"/>
  <c r="BC21" i="2"/>
  <c r="AT21" i="2"/>
  <c r="AQ21" i="2"/>
  <c r="AR21" i="2" s="1"/>
  <c r="AU21" i="2" s="1"/>
  <c r="AH21" i="2"/>
  <c r="AF21" i="2"/>
  <c r="AE21" i="2"/>
  <c r="V21" i="2"/>
  <c r="S21" i="2"/>
  <c r="T21" i="2" s="1"/>
  <c r="W21" i="2" s="1"/>
  <c r="J21" i="2"/>
  <c r="H21" i="2"/>
  <c r="G21" i="2"/>
  <c r="B21" i="2"/>
  <c r="DK21" i="2" s="1"/>
  <c r="A21" i="2"/>
  <c r="DJ20" i="2"/>
  <c r="DB20" i="2"/>
  <c r="CY20" i="2"/>
  <c r="CZ20" i="2" s="1"/>
  <c r="DC20" i="2" s="1"/>
  <c r="DE20" i="2" s="1"/>
  <c r="CP20" i="2"/>
  <c r="CN20" i="2"/>
  <c r="CM20" i="2"/>
  <c r="CD20" i="2"/>
  <c r="CE20" i="2" s="1"/>
  <c r="CG20" i="2" s="1"/>
  <c r="CA20" i="2"/>
  <c r="CB20" i="2" s="1"/>
  <c r="BR20" i="2"/>
  <c r="BP20" i="2"/>
  <c r="BO20" i="2"/>
  <c r="BF20" i="2"/>
  <c r="BC20" i="2"/>
  <c r="BD20" i="2" s="1"/>
  <c r="BG20" i="2" s="1"/>
  <c r="BI20" i="2" s="1"/>
  <c r="AT20" i="2"/>
  <c r="AR20" i="2"/>
  <c r="AQ20" i="2"/>
  <c r="AH20" i="2"/>
  <c r="AI20" i="2" s="1"/>
  <c r="AK20" i="2" s="1"/>
  <c r="AE20" i="2"/>
  <c r="AF20" i="2" s="1"/>
  <c r="V20" i="2"/>
  <c r="T20" i="2"/>
  <c r="S20" i="2"/>
  <c r="J20" i="2"/>
  <c r="G20" i="2"/>
  <c r="H20" i="2" s="1"/>
  <c r="K20" i="2" s="1"/>
  <c r="B20" i="2"/>
  <c r="DK20" i="2" s="1"/>
  <c r="A20" i="2"/>
  <c r="DJ19" i="2"/>
  <c r="DE19" i="2"/>
  <c r="DB19" i="2"/>
  <c r="CZ19" i="2"/>
  <c r="DC19" i="2" s="1"/>
  <c r="CY19" i="2"/>
  <c r="CP19" i="2"/>
  <c r="CM19" i="2"/>
  <c r="CN19" i="2" s="1"/>
  <c r="CD19" i="2"/>
  <c r="CB19" i="2"/>
  <c r="CE19" i="2" s="1"/>
  <c r="CG19" i="2" s="1"/>
  <c r="CA19" i="2"/>
  <c r="BR19" i="2"/>
  <c r="BO19" i="2"/>
  <c r="BP19" i="2" s="1"/>
  <c r="BI19" i="2"/>
  <c r="BF19" i="2"/>
  <c r="BD19" i="2"/>
  <c r="BG19" i="2" s="1"/>
  <c r="BC19" i="2"/>
  <c r="AT19" i="2"/>
  <c r="AQ19" i="2"/>
  <c r="AR19" i="2" s="1"/>
  <c r="AH19" i="2"/>
  <c r="AF19" i="2"/>
  <c r="AI19" i="2" s="1"/>
  <c r="AK19" i="2" s="1"/>
  <c r="AE19" i="2"/>
  <c r="V19" i="2"/>
  <c r="S19" i="2"/>
  <c r="T19" i="2" s="1"/>
  <c r="M19" i="2"/>
  <c r="J19" i="2"/>
  <c r="H19" i="2"/>
  <c r="K19" i="2" s="1"/>
  <c r="G19" i="2"/>
  <c r="B19" i="2"/>
  <c r="DK19" i="2" s="1"/>
  <c r="A19" i="2"/>
  <c r="DJ18" i="2"/>
  <c r="DC18" i="2"/>
  <c r="DE18" i="2" s="1"/>
  <c r="DB18" i="2"/>
  <c r="CY18" i="2"/>
  <c r="CZ18" i="2" s="1"/>
  <c r="CP18" i="2"/>
  <c r="CN18" i="2"/>
  <c r="CM18" i="2"/>
  <c r="CD18" i="2"/>
  <c r="CA18" i="2"/>
  <c r="CB18" i="2" s="1"/>
  <c r="CE18" i="2" s="1"/>
  <c r="CG18" i="2" s="1"/>
  <c r="BR18" i="2"/>
  <c r="BP18" i="2"/>
  <c r="BO18" i="2"/>
  <c r="BG18" i="2"/>
  <c r="BI18" i="2" s="1"/>
  <c r="BF18" i="2"/>
  <c r="BC18" i="2"/>
  <c r="BD18" i="2" s="1"/>
  <c r="AT18" i="2"/>
  <c r="AR18" i="2"/>
  <c r="AQ18" i="2"/>
  <c r="AH18" i="2"/>
  <c r="AE18" i="2"/>
  <c r="AF18" i="2" s="1"/>
  <c r="AI18" i="2" s="1"/>
  <c r="AK18" i="2" s="1"/>
  <c r="V18" i="2"/>
  <c r="T18" i="2"/>
  <c r="S18" i="2"/>
  <c r="K18" i="2"/>
  <c r="J18" i="2"/>
  <c r="G18" i="2"/>
  <c r="H18" i="2" s="1"/>
  <c r="B18" i="2"/>
  <c r="DK18" i="2" s="1"/>
  <c r="A18" i="2"/>
  <c r="DJ17" i="2"/>
  <c r="DB17" i="2"/>
  <c r="CZ17" i="2"/>
  <c r="CY17" i="2"/>
  <c r="CP17" i="2"/>
  <c r="CM17" i="2"/>
  <c r="CN17" i="2" s="1"/>
  <c r="CQ17" i="2" s="1"/>
  <c r="CD17" i="2"/>
  <c r="CB17" i="2"/>
  <c r="CA17" i="2"/>
  <c r="BR17" i="2"/>
  <c r="BO17" i="2"/>
  <c r="BP17" i="2" s="1"/>
  <c r="BS17" i="2" s="1"/>
  <c r="BF17" i="2"/>
  <c r="BD17" i="2"/>
  <c r="BC17" i="2"/>
  <c r="AT17" i="2"/>
  <c r="AQ17" i="2"/>
  <c r="AR17" i="2" s="1"/>
  <c r="AU17" i="2" s="1"/>
  <c r="AH17" i="2"/>
  <c r="AF17" i="2"/>
  <c r="AE17" i="2"/>
  <c r="V17" i="2"/>
  <c r="S17" i="2"/>
  <c r="T17" i="2" s="1"/>
  <c r="W17" i="2" s="1"/>
  <c r="J17" i="2"/>
  <c r="H17" i="2"/>
  <c r="G17" i="2"/>
  <c r="B17" i="2"/>
  <c r="DK17" i="2" s="1"/>
  <c r="A17" i="2"/>
  <c r="DJ16" i="2"/>
  <c r="DB16" i="2"/>
  <c r="CY16" i="2"/>
  <c r="CZ16" i="2" s="1"/>
  <c r="DC16" i="2" s="1"/>
  <c r="DE16" i="2" s="1"/>
  <c r="CP16" i="2"/>
  <c r="CN16" i="2"/>
  <c r="CM16" i="2"/>
  <c r="CD16" i="2"/>
  <c r="CA16" i="2"/>
  <c r="CB16" i="2" s="1"/>
  <c r="CE16" i="2" s="1"/>
  <c r="CG16" i="2" s="1"/>
  <c r="BR16" i="2"/>
  <c r="BP16" i="2"/>
  <c r="BO16" i="2"/>
  <c r="BF16" i="2"/>
  <c r="BC16" i="2"/>
  <c r="BD16" i="2" s="1"/>
  <c r="BG16" i="2" s="1"/>
  <c r="BI16" i="2" s="1"/>
  <c r="AT16" i="2"/>
  <c r="AR16" i="2"/>
  <c r="AQ16" i="2"/>
  <c r="AH16" i="2"/>
  <c r="AE16" i="2"/>
  <c r="AF16" i="2" s="1"/>
  <c r="AI16" i="2" s="1"/>
  <c r="AK16" i="2" s="1"/>
  <c r="V16" i="2"/>
  <c r="T16" i="2"/>
  <c r="S16" i="2"/>
  <c r="J16" i="2"/>
  <c r="G16" i="2"/>
  <c r="H16" i="2" s="1"/>
  <c r="K16" i="2" s="1"/>
  <c r="B16" i="2"/>
  <c r="DK16" i="2" s="1"/>
  <c r="A16" i="2"/>
  <c r="DJ15" i="2"/>
  <c r="DB15" i="2"/>
  <c r="CZ15" i="2"/>
  <c r="DC15" i="2" s="1"/>
  <c r="DE15" i="2" s="1"/>
  <c r="CY15" i="2"/>
  <c r="CP15" i="2"/>
  <c r="CM15" i="2"/>
  <c r="CN15" i="2" s="1"/>
  <c r="CG15" i="2"/>
  <c r="CD15" i="2"/>
  <c r="CB15" i="2"/>
  <c r="CE15" i="2" s="1"/>
  <c r="CA15" i="2"/>
  <c r="BR15" i="2"/>
  <c r="BO15" i="2"/>
  <c r="BP15" i="2" s="1"/>
  <c r="BF15" i="2"/>
  <c r="BD15" i="2"/>
  <c r="BG15" i="2" s="1"/>
  <c r="BI15" i="2" s="1"/>
  <c r="BC15" i="2"/>
  <c r="AT15" i="2"/>
  <c r="AQ15" i="2"/>
  <c r="AR15" i="2" s="1"/>
  <c r="AK15" i="2"/>
  <c r="AH15" i="2"/>
  <c r="AF15" i="2"/>
  <c r="AI15" i="2" s="1"/>
  <c r="AE15" i="2"/>
  <c r="V15" i="2"/>
  <c r="S15" i="2"/>
  <c r="T15" i="2" s="1"/>
  <c r="J15" i="2"/>
  <c r="H15" i="2"/>
  <c r="K15" i="2" s="1"/>
  <c r="M15" i="2" s="1"/>
  <c r="G15" i="2"/>
  <c r="B15" i="2"/>
  <c r="DK15" i="2" s="1"/>
  <c r="A15" i="2"/>
  <c r="DJ14" i="2"/>
  <c r="DB14" i="2"/>
  <c r="CY14" i="2"/>
  <c r="CZ14" i="2" s="1"/>
  <c r="DC14" i="2" s="1"/>
  <c r="DE14" i="2" s="1"/>
  <c r="CP14" i="2"/>
  <c r="CN14" i="2"/>
  <c r="CM14" i="2"/>
  <c r="CE14" i="2"/>
  <c r="CG14" i="2" s="1"/>
  <c r="CD14" i="2"/>
  <c r="CA14" i="2"/>
  <c r="CB14" i="2" s="1"/>
  <c r="BR14" i="2"/>
  <c r="BP14" i="2"/>
  <c r="BO14" i="2"/>
  <c r="BF14" i="2"/>
  <c r="BC14" i="2"/>
  <c r="BD14" i="2" s="1"/>
  <c r="BG14" i="2" s="1"/>
  <c r="BI14" i="2" s="1"/>
  <c r="AT14" i="2"/>
  <c r="AR14" i="2"/>
  <c r="AQ14" i="2"/>
  <c r="AI14" i="2"/>
  <c r="AK14" i="2" s="1"/>
  <c r="AH14" i="2"/>
  <c r="AE14" i="2"/>
  <c r="AF14" i="2" s="1"/>
  <c r="V14" i="2"/>
  <c r="T14" i="2"/>
  <c r="S14" i="2"/>
  <c r="J14" i="2"/>
  <c r="G14" i="2"/>
  <c r="H14" i="2" s="1"/>
  <c r="K14" i="2" s="1"/>
  <c r="B14" i="2"/>
  <c r="DK14" i="2" s="1"/>
  <c r="A14" i="2"/>
  <c r="DJ13" i="2"/>
  <c r="DB13" i="2"/>
  <c r="CZ13" i="2"/>
  <c r="CY13" i="2"/>
  <c r="CP13" i="2"/>
  <c r="CM13" i="2"/>
  <c r="CN13" i="2" s="1"/>
  <c r="CQ13" i="2" s="1"/>
  <c r="CD13" i="2"/>
  <c r="CB13" i="2"/>
  <c r="CA13" i="2"/>
  <c r="BR13" i="2"/>
  <c r="BO13" i="2"/>
  <c r="BP13" i="2" s="1"/>
  <c r="BS13" i="2" s="1"/>
  <c r="BF13" i="2"/>
  <c r="BD13" i="2"/>
  <c r="BC13" i="2"/>
  <c r="AT13" i="2"/>
  <c r="AQ13" i="2"/>
  <c r="AR13" i="2" s="1"/>
  <c r="AU13" i="2" s="1"/>
  <c r="AH13" i="2"/>
  <c r="AF13" i="2"/>
  <c r="AE13" i="2"/>
  <c r="V13" i="2"/>
  <c r="S13" i="2"/>
  <c r="T13" i="2" s="1"/>
  <c r="W13" i="2" s="1"/>
  <c r="J13" i="2"/>
  <c r="H13" i="2"/>
  <c r="G13" i="2"/>
  <c r="B13" i="2"/>
  <c r="DK13" i="2" s="1"/>
  <c r="A13" i="2"/>
  <c r="DJ12" i="2"/>
  <c r="DB12" i="2"/>
  <c r="CY12" i="2"/>
  <c r="CP12" i="2"/>
  <c r="CM12" i="2"/>
  <c r="CD12" i="2"/>
  <c r="CA12" i="2"/>
  <c r="BR12" i="2"/>
  <c r="BO12" i="2"/>
  <c r="BF12" i="2"/>
  <c r="BC12" i="2"/>
  <c r="AT12" i="2"/>
  <c r="AQ12" i="2"/>
  <c r="AH12" i="2"/>
  <c r="AE12" i="2"/>
  <c r="V12" i="2"/>
  <c r="S12" i="2"/>
  <c r="J12" i="2"/>
  <c r="G12" i="2"/>
  <c r="B12" i="2"/>
  <c r="DK12" i="2" s="1"/>
  <c r="A12" i="2"/>
  <c r="DC8" i="2"/>
  <c r="DB8" i="2"/>
  <c r="DA8" i="2"/>
  <c r="CZ8" i="2"/>
  <c r="CY8" i="2"/>
  <c r="CX8" i="2"/>
  <c r="CW8" i="2"/>
  <c r="CV8" i="2"/>
  <c r="CU8" i="2"/>
  <c r="CQ8" i="2"/>
  <c r="CP8" i="2"/>
  <c r="CO8" i="2"/>
  <c r="CN8" i="2"/>
  <c r="CM8" i="2"/>
  <c r="CL8" i="2"/>
  <c r="CK8" i="2"/>
  <c r="CJ8" i="2"/>
  <c r="CI8" i="2"/>
  <c r="CE8" i="2"/>
  <c r="CD8" i="2"/>
  <c r="CC8" i="2"/>
  <c r="CB8" i="2"/>
  <c r="CA8" i="2"/>
  <c r="BZ8" i="2"/>
  <c r="BY8" i="2"/>
  <c r="BX8" i="2"/>
  <c r="BW8" i="2"/>
  <c r="BS8" i="2"/>
  <c r="BR8" i="2"/>
  <c r="BQ8" i="2"/>
  <c r="BP8" i="2"/>
  <c r="BO8" i="2"/>
  <c r="BN8" i="2"/>
  <c r="BM8" i="2"/>
  <c r="BL8" i="2"/>
  <c r="BK8" i="2"/>
  <c r="BG8" i="2"/>
  <c r="BF8" i="2"/>
  <c r="BE8" i="2"/>
  <c r="BD8" i="2"/>
  <c r="BC8" i="2"/>
  <c r="BB8" i="2"/>
  <c r="BA8" i="2"/>
  <c r="AZ8" i="2"/>
  <c r="AY8" i="2"/>
  <c r="AU8" i="2"/>
  <c r="AT8" i="2"/>
  <c r="AS8" i="2"/>
  <c r="AR8" i="2"/>
  <c r="AQ8" i="2"/>
  <c r="AP8" i="2"/>
  <c r="AO8" i="2"/>
  <c r="AN8" i="2"/>
  <c r="AM8" i="2"/>
  <c r="AI8" i="2"/>
  <c r="AH8" i="2"/>
  <c r="AG8" i="2"/>
  <c r="AF8" i="2"/>
  <c r="AE8" i="2"/>
  <c r="AD8" i="2"/>
  <c r="AC8" i="2"/>
  <c r="AB8" i="2"/>
  <c r="AA8" i="2"/>
  <c r="W8" i="2"/>
  <c r="V8" i="2"/>
  <c r="U8" i="2"/>
  <c r="T8" i="2"/>
  <c r="S8" i="2"/>
  <c r="R8" i="2"/>
  <c r="Q8" i="2"/>
  <c r="P8" i="2"/>
  <c r="O8" i="2"/>
  <c r="K8" i="2"/>
  <c r="J8" i="2"/>
  <c r="I8" i="2"/>
  <c r="H8" i="2"/>
  <c r="G8" i="2"/>
  <c r="F8" i="2"/>
  <c r="E8" i="2"/>
  <c r="D8" i="2"/>
  <c r="C8" i="2"/>
  <c r="BB6" i="2"/>
  <c r="CX5" i="2"/>
  <c r="CL5" i="2"/>
  <c r="BZ5" i="2"/>
  <c r="BN5" i="2"/>
  <c r="BB5" i="2"/>
  <c r="AP5" i="2"/>
  <c r="AD5" i="2"/>
  <c r="R5" i="2"/>
  <c r="F5" i="2"/>
  <c r="DD4" i="2"/>
  <c r="CX4" i="2"/>
  <c r="CR4" i="2"/>
  <c r="CL4" i="2"/>
  <c r="CF4" i="2"/>
  <c r="BZ4" i="2"/>
  <c r="BT4" i="2"/>
  <c r="BN4" i="2"/>
  <c r="BH4" i="2"/>
  <c r="BB4" i="2"/>
  <c r="AV4" i="2"/>
  <c r="AP4" i="2"/>
  <c r="AJ4" i="2"/>
  <c r="AD4" i="2"/>
  <c r="X4" i="2"/>
  <c r="R4" i="2"/>
  <c r="L4" i="2"/>
  <c r="F4" i="2"/>
  <c r="DD3" i="2"/>
  <c r="CX3" i="2"/>
  <c r="CR3" i="2"/>
  <c r="CL3" i="2"/>
  <c r="CF3" i="2"/>
  <c r="BZ3" i="2"/>
  <c r="BT3" i="2"/>
  <c r="BN3" i="2"/>
  <c r="BH3" i="2"/>
  <c r="BB3" i="2"/>
  <c r="AV3" i="2"/>
  <c r="AP3" i="2"/>
  <c r="AJ3" i="2"/>
  <c r="AD3" i="2"/>
  <c r="X3" i="2"/>
  <c r="R3" i="2"/>
  <c r="L3" i="2"/>
  <c r="F3" i="2"/>
  <c r="CG76" i="2" l="1"/>
  <c r="CF76" i="2"/>
  <c r="BI76" i="2"/>
  <c r="BH76" i="2"/>
  <c r="K13" i="2"/>
  <c r="M13" i="2" s="1"/>
  <c r="BG13" i="2"/>
  <c r="BI13" i="2" s="1"/>
  <c r="DC13" i="2"/>
  <c r="DE13" i="2" s="1"/>
  <c r="AU15" i="2"/>
  <c r="DG15" i="2" s="1"/>
  <c r="CQ15" i="2"/>
  <c r="AI17" i="2"/>
  <c r="AK17" i="2" s="1"/>
  <c r="CE17" i="2"/>
  <c r="CG17" i="2" s="1"/>
  <c r="W19" i="2"/>
  <c r="Y19" i="2" s="1"/>
  <c r="DH19" i="2" s="1"/>
  <c r="BS19" i="2"/>
  <c r="K21" i="2"/>
  <c r="M21" i="2" s="1"/>
  <c r="BG21" i="2"/>
  <c r="BI21" i="2" s="1"/>
  <c r="DC21" i="2"/>
  <c r="DE21" i="2" s="1"/>
  <c r="AU23" i="2"/>
  <c r="CE23" i="2"/>
  <c r="AI24" i="2"/>
  <c r="AK24" i="2" s="1"/>
  <c r="BS24" i="2"/>
  <c r="BU24" i="2" s="1"/>
  <c r="AI25" i="2"/>
  <c r="AK25" i="2" s="1"/>
  <c r="W26" i="2"/>
  <c r="Y26" i="2" s="1"/>
  <c r="BG27" i="2"/>
  <c r="BI27" i="2" s="1"/>
  <c r="AI28" i="2"/>
  <c r="DG28" i="2" s="1"/>
  <c r="BG28" i="2"/>
  <c r="BI28" i="2" s="1"/>
  <c r="K29" i="2"/>
  <c r="AI29" i="2"/>
  <c r="AK29" i="2" s="1"/>
  <c r="W30" i="2"/>
  <c r="Y30" i="2" s="1"/>
  <c r="CE30" i="2"/>
  <c r="CG30" i="2" s="1"/>
  <c r="BS31" i="2"/>
  <c r="BU31" i="2" s="1"/>
  <c r="W32" i="2"/>
  <c r="Y32" i="2" s="1"/>
  <c r="AI33" i="2"/>
  <c r="DG33" i="2" s="1"/>
  <c r="CQ33" i="2"/>
  <c r="CS33" i="2" s="1"/>
  <c r="K34" i="2"/>
  <c r="AI34" i="2"/>
  <c r="AK34" i="2" s="1"/>
  <c r="K36" i="2"/>
  <c r="M36" i="2" s="1"/>
  <c r="K44" i="2"/>
  <c r="AU45" i="2"/>
  <c r="DC37" i="2"/>
  <c r="CQ38" i="2"/>
  <c r="CS38" i="2" s="1"/>
  <c r="BS40" i="2"/>
  <c r="CQ40" i="2"/>
  <c r="K41" i="2"/>
  <c r="BS41" i="2"/>
  <c r="CE43" i="2"/>
  <c r="DC43" i="2"/>
  <c r="DE43" i="2" s="1"/>
  <c r="BG46" i="2"/>
  <c r="BI46" i="2" s="1"/>
  <c r="DC47" i="2"/>
  <c r="DG47" i="2" s="1"/>
  <c r="BG49" i="2"/>
  <c r="BI49" i="2" s="1"/>
  <c r="W51" i="2"/>
  <c r="W57" i="2"/>
  <c r="AI62" i="2"/>
  <c r="AK62" i="2" s="1"/>
  <c r="BG65" i="2"/>
  <c r="CQ65" i="2"/>
  <c r="W66" i="2"/>
  <c r="BG68" i="2"/>
  <c r="BI68" i="2" s="1"/>
  <c r="CQ68" i="2"/>
  <c r="BH73" i="2"/>
  <c r="BI73" i="2"/>
  <c r="DD76" i="2"/>
  <c r="AI13" i="2"/>
  <c r="AK13" i="2" s="1"/>
  <c r="CE13" i="2"/>
  <c r="CG13" i="2" s="1"/>
  <c r="W15" i="2"/>
  <c r="Y15" i="2" s="1"/>
  <c r="BS15" i="2"/>
  <c r="BU15" i="2" s="1"/>
  <c r="K17" i="2"/>
  <c r="M17" i="2" s="1"/>
  <c r="BG17" i="2"/>
  <c r="BI17" i="2" s="1"/>
  <c r="DC17" i="2"/>
  <c r="DE17" i="2" s="1"/>
  <c r="AU19" i="2"/>
  <c r="CQ19" i="2"/>
  <c r="AI21" i="2"/>
  <c r="AK21" i="2" s="1"/>
  <c r="CE21" i="2"/>
  <c r="CG21" i="2" s="1"/>
  <c r="W23" i="2"/>
  <c r="Y23" i="2" s="1"/>
  <c r="DC23" i="2"/>
  <c r="DE23" i="2" s="1"/>
  <c r="CQ24" i="2"/>
  <c r="CS24" i="2" s="1"/>
  <c r="K25" i="2"/>
  <c r="DF25" i="2" s="1"/>
  <c r="BS25" i="2"/>
  <c r="BU25" i="2" s="1"/>
  <c r="DC25" i="2"/>
  <c r="DE25" i="2" s="1"/>
  <c r="BG26" i="2"/>
  <c r="CQ26" i="2"/>
  <c r="DF26" i="2" s="1"/>
  <c r="AI27" i="2"/>
  <c r="AK27" i="2" s="1"/>
  <c r="CQ27" i="2"/>
  <c r="W28" i="2"/>
  <c r="AU28" i="2"/>
  <c r="AW28" i="2" s="1"/>
  <c r="BS28" i="2"/>
  <c r="BU28" i="2" s="1"/>
  <c r="DC28" i="2"/>
  <c r="W29" i="2"/>
  <c r="CQ30" i="2"/>
  <c r="CS30" i="2" s="1"/>
  <c r="CE31" i="2"/>
  <c r="CG31" i="2" s="1"/>
  <c r="K32" i="2"/>
  <c r="DC33" i="2"/>
  <c r="DE33" i="2" s="1"/>
  <c r="W34" i="2"/>
  <c r="AU34" i="2"/>
  <c r="AW34" i="2" s="1"/>
  <c r="CQ35" i="2"/>
  <c r="W36" i="2"/>
  <c r="AU36" i="2"/>
  <c r="BS36" i="2"/>
  <c r="BU36" i="2" s="1"/>
  <c r="K37" i="2"/>
  <c r="AI37" i="2"/>
  <c r="BG37" i="2"/>
  <c r="BI37" i="2" s="1"/>
  <c r="BG38" i="2"/>
  <c r="BI38" i="2" s="1"/>
  <c r="AU39" i="2"/>
  <c r="BS39" i="2"/>
  <c r="BU39" i="2" s="1"/>
  <c r="W40" i="2"/>
  <c r="Y40" i="2" s="1"/>
  <c r="CQ41" i="2"/>
  <c r="CS41" i="2" s="1"/>
  <c r="K42" i="2"/>
  <c r="AI42" i="2"/>
  <c r="AK42" i="2" s="1"/>
  <c r="BG42" i="2"/>
  <c r="W45" i="2"/>
  <c r="DF45" i="2" s="1"/>
  <c r="BG45" i="2"/>
  <c r="BI45" i="2" s="1"/>
  <c r="K46" i="2"/>
  <c r="AI48" i="2"/>
  <c r="BS50" i="2"/>
  <c r="BU50" i="2" s="1"/>
  <c r="W52" i="2"/>
  <c r="Y52" i="2" s="1"/>
  <c r="BS52" i="2"/>
  <c r="CQ53" i="2"/>
  <c r="AI54" i="2"/>
  <c r="DF54" i="2" s="1"/>
  <c r="BG56" i="2"/>
  <c r="W64" i="2"/>
  <c r="CE64" i="2"/>
  <c r="K68" i="2"/>
  <c r="M68" i="2" s="1"/>
  <c r="AU68" i="2"/>
  <c r="BS70" i="2"/>
  <c r="BS74" i="2"/>
  <c r="DC48" i="2"/>
  <c r="DF48" i="2" s="1"/>
  <c r="CQ49" i="2"/>
  <c r="BG52" i="2"/>
  <c r="DC56" i="2"/>
  <c r="CQ61" i="2"/>
  <c r="CS61" i="2" s="1"/>
  <c r="DC41" i="2"/>
  <c r="DE41" i="2" s="1"/>
  <c r="W42" i="2"/>
  <c r="AU42" i="2"/>
  <c r="AW42" i="2" s="1"/>
  <c r="BS43" i="2"/>
  <c r="BU43" i="2" s="1"/>
  <c r="CQ43" i="2"/>
  <c r="W44" i="2"/>
  <c r="AU44" i="2"/>
  <c r="AW44" i="2" s="1"/>
  <c r="BS44" i="2"/>
  <c r="BU44" i="2" s="1"/>
  <c r="BG47" i="2"/>
  <c r="BS48" i="2"/>
  <c r="W50" i="2"/>
  <c r="AI51" i="2"/>
  <c r="AK51" i="2" s="1"/>
  <c r="K53" i="2"/>
  <c r="BG53" i="2"/>
  <c r="BI53" i="2" s="1"/>
  <c r="BS53" i="2"/>
  <c r="DG53" i="2" s="1"/>
  <c r="DC53" i="2"/>
  <c r="DE53" i="2" s="1"/>
  <c r="K54" i="2"/>
  <c r="AU54" i="2"/>
  <c r="CQ54" i="2"/>
  <c r="CS54" i="2" s="1"/>
  <c r="W56" i="2"/>
  <c r="DF56" i="2" s="1"/>
  <c r="BS56" i="2"/>
  <c r="AI57" i="2"/>
  <c r="AI58" i="2"/>
  <c r="DC58" i="2"/>
  <c r="DE58" i="2" s="1"/>
  <c r="AI59" i="2"/>
  <c r="CE59" i="2"/>
  <c r="DC59" i="2"/>
  <c r="DE59" i="2" s="1"/>
  <c r="AI60" i="2"/>
  <c r="AK60" i="2" s="1"/>
  <c r="BS60" i="2"/>
  <c r="BU60" i="2" s="1"/>
  <c r="AU61" i="2"/>
  <c r="DC62" i="2"/>
  <c r="K63" i="2"/>
  <c r="BG63" i="2"/>
  <c r="DC63" i="2"/>
  <c r="BG64" i="2"/>
  <c r="DG64" i="2" s="1"/>
  <c r="CQ64" i="2"/>
  <c r="CS64" i="2" s="1"/>
  <c r="BS65" i="2"/>
  <c r="W67" i="2"/>
  <c r="CE67" i="2"/>
  <c r="AI69" i="2"/>
  <c r="DF69" i="2" s="1"/>
  <c r="BS69" i="2"/>
  <c r="AU71" i="2"/>
  <c r="BS71" i="2"/>
  <c r="BG72" i="2"/>
  <c r="DF72" i="2" s="1"/>
  <c r="DM72" i="2" s="1"/>
  <c r="CQ72" i="2"/>
  <c r="AU73" i="2"/>
  <c r="CE73" i="2"/>
  <c r="DG73" i="2" s="1"/>
  <c r="DC73" i="2"/>
  <c r="DE73" i="2" s="1"/>
  <c r="W75" i="2"/>
  <c r="CE75" i="2"/>
  <c r="CS15" i="2"/>
  <c r="BU19" i="2"/>
  <c r="AW23" i="2"/>
  <c r="AW13" i="2"/>
  <c r="CS13" i="2"/>
  <c r="Y17" i="2"/>
  <c r="DH17" i="2" s="1"/>
  <c r="BU17" i="2"/>
  <c r="AW21" i="2"/>
  <c r="DH21" i="2" s="1"/>
  <c r="CS21" i="2"/>
  <c r="BU23" i="2"/>
  <c r="BI24" i="2"/>
  <c r="AW19" i="2"/>
  <c r="CS19" i="2"/>
  <c r="BI26" i="2"/>
  <c r="CS27" i="2"/>
  <c r="Y13" i="2"/>
  <c r="DH13" i="2" s="1"/>
  <c r="BU13" i="2"/>
  <c r="AW17" i="2"/>
  <c r="CS17" i="2"/>
  <c r="Y21" i="2"/>
  <c r="BU21" i="2"/>
  <c r="CS25" i="2"/>
  <c r="CG26" i="2"/>
  <c r="Y27" i="2"/>
  <c r="M28" i="2"/>
  <c r="CS46" i="2"/>
  <c r="V78" i="2"/>
  <c r="V77" i="2"/>
  <c r="AT77" i="2"/>
  <c r="AT78" i="2"/>
  <c r="CP77" i="2"/>
  <c r="CP78" i="2"/>
  <c r="M14" i="2"/>
  <c r="M20" i="2"/>
  <c r="M22" i="2"/>
  <c r="M24" i="2"/>
  <c r="AK26" i="2"/>
  <c r="Y31" i="2"/>
  <c r="CS35" i="2"/>
  <c r="BU40" i="2"/>
  <c r="Y44" i="2"/>
  <c r="M46" i="2"/>
  <c r="BU64" i="2"/>
  <c r="BR78" i="2"/>
  <c r="BR77" i="2"/>
  <c r="DE24" i="2"/>
  <c r="AW25" i="2"/>
  <c r="DE29" i="2"/>
  <c r="AW31" i="2"/>
  <c r="Y33" i="2"/>
  <c r="BU35" i="2"/>
  <c r="BU41" i="2"/>
  <c r="AW46" i="2"/>
  <c r="BU48" i="2"/>
  <c r="Y50" i="2"/>
  <c r="M53" i="2"/>
  <c r="M56" i="2"/>
  <c r="CS57" i="2"/>
  <c r="CG59" i="2"/>
  <c r="CS23" i="2"/>
  <c r="CG24" i="2"/>
  <c r="DG24" i="2"/>
  <c r="Y25" i="2"/>
  <c r="M26" i="2"/>
  <c r="DE26" i="2"/>
  <c r="AW27" i="2"/>
  <c r="Y29" i="2"/>
  <c r="M30" i="2"/>
  <c r="AK30" i="2"/>
  <c r="BI30" i="2"/>
  <c r="CS31" i="2"/>
  <c r="BU32" i="2"/>
  <c r="AK33" i="2"/>
  <c r="CG34" i="2"/>
  <c r="DE34" i="2"/>
  <c r="DE38" i="2"/>
  <c r="AK39" i="2"/>
  <c r="M40" i="2"/>
  <c r="AK40" i="2"/>
  <c r="CG42" i="2"/>
  <c r="DE42" i="2"/>
  <c r="M45" i="2"/>
  <c r="BU45" i="2"/>
  <c r="CS45" i="2"/>
  <c r="DE46" i="2"/>
  <c r="AK52" i="2"/>
  <c r="DF52" i="2"/>
  <c r="DE52" i="2"/>
  <c r="M54" i="2"/>
  <c r="DG54" i="2"/>
  <c r="Y58" i="2"/>
  <c r="CS28" i="2"/>
  <c r="BU33" i="2"/>
  <c r="M37" i="2"/>
  <c r="CS39" i="2"/>
  <c r="CS43" i="2"/>
  <c r="AW61" i="2"/>
  <c r="AK64" i="2"/>
  <c r="BN6" i="2"/>
  <c r="F6" i="2"/>
  <c r="CA77" i="2"/>
  <c r="CA78" i="2"/>
  <c r="DG17" i="2"/>
  <c r="DG19" i="2"/>
  <c r="CG23" i="2"/>
  <c r="CS26" i="2"/>
  <c r="DG26" i="2"/>
  <c r="BU29" i="2"/>
  <c r="CS29" i="2"/>
  <c r="DE30" i="2"/>
  <c r="AK31" i="2"/>
  <c r="M32" i="2"/>
  <c r="AK32" i="2"/>
  <c r="BI33" i="2"/>
  <c r="M35" i="2"/>
  <c r="CG35" i="2"/>
  <c r="AK36" i="2"/>
  <c r="AW36" i="2"/>
  <c r="Y37" i="2"/>
  <c r="AK37" i="2"/>
  <c r="DE37" i="2"/>
  <c r="AW38" i="2"/>
  <c r="BI40" i="2"/>
  <c r="CG40" i="2"/>
  <c r="CS40" i="2"/>
  <c r="M41" i="2"/>
  <c r="BI41" i="2"/>
  <c r="M43" i="2"/>
  <c r="CG43" i="2"/>
  <c r="M44" i="2"/>
  <c r="AK44" i="2"/>
  <c r="AK46" i="2"/>
  <c r="AW48" i="2"/>
  <c r="AK49" i="2"/>
  <c r="AW49" i="2"/>
  <c r="AW50" i="2"/>
  <c r="BI51" i="2"/>
  <c r="AW53" i="2"/>
  <c r="BU56" i="2"/>
  <c r="BI57" i="2"/>
  <c r="AK61" i="2"/>
  <c r="M62" i="2"/>
  <c r="L73" i="2"/>
  <c r="M73" i="2"/>
  <c r="BU73" i="2"/>
  <c r="BT73" i="2"/>
  <c r="M16" i="2"/>
  <c r="M18" i="2"/>
  <c r="BU27" i="2"/>
  <c r="Y28" i="2"/>
  <c r="AW33" i="2"/>
  <c r="BI34" i="2"/>
  <c r="Y36" i="2"/>
  <c r="DE36" i="2"/>
  <c r="CS37" i="2"/>
  <c r="AK38" i="2"/>
  <c r="AW41" i="2"/>
  <c r="BI42" i="2"/>
  <c r="DE44" i="2"/>
  <c r="DE45" i="2"/>
  <c r="BI47" i="2"/>
  <c r="BU49" i="2"/>
  <c r="BI55" i="2"/>
  <c r="AW56" i="2"/>
  <c r="CL6" i="2"/>
  <c r="AP6" i="2"/>
  <c r="BZ6" i="2"/>
  <c r="AD6" i="2"/>
  <c r="CX6" i="2"/>
  <c r="G78" i="2"/>
  <c r="G77" i="2"/>
  <c r="AE77" i="2"/>
  <c r="AE78" i="2"/>
  <c r="BC78" i="2"/>
  <c r="BC77" i="2"/>
  <c r="CY78" i="2"/>
  <c r="CY77" i="2"/>
  <c r="DG13" i="2"/>
  <c r="R6" i="2"/>
  <c r="H12" i="2"/>
  <c r="AF12" i="2"/>
  <c r="BD12" i="2"/>
  <c r="CB12" i="2"/>
  <c r="CZ12" i="2"/>
  <c r="W14" i="2"/>
  <c r="AU14" i="2"/>
  <c r="BS14" i="2"/>
  <c r="CQ14" i="2"/>
  <c r="W16" i="2"/>
  <c r="AU16" i="2"/>
  <c r="BS16" i="2"/>
  <c r="CQ16" i="2"/>
  <c r="W18" i="2"/>
  <c r="AU18" i="2"/>
  <c r="BS18" i="2"/>
  <c r="CQ18" i="2"/>
  <c r="W20" i="2"/>
  <c r="AU20" i="2"/>
  <c r="BS20" i="2"/>
  <c r="CQ20" i="2"/>
  <c r="W22" i="2"/>
  <c r="AU22" i="2"/>
  <c r="BS22" i="2"/>
  <c r="CQ22" i="2"/>
  <c r="BI23" i="2"/>
  <c r="AW24" i="2"/>
  <c r="CG25" i="2"/>
  <c r="BU26" i="2"/>
  <c r="M27" i="2"/>
  <c r="DE27" i="2"/>
  <c r="CG28" i="2"/>
  <c r="DE28" i="2"/>
  <c r="M29" i="2"/>
  <c r="CE29" i="2"/>
  <c r="AW30" i="2"/>
  <c r="BI32" i="2"/>
  <c r="CG32" i="2"/>
  <c r="CS32" i="2"/>
  <c r="M33" i="2"/>
  <c r="DF33" i="2"/>
  <c r="M34" i="2"/>
  <c r="Y34" i="2"/>
  <c r="CS34" i="2"/>
  <c r="AW35" i="2"/>
  <c r="CG36" i="2"/>
  <c r="BU37" i="2"/>
  <c r="M38" i="2"/>
  <c r="Y39" i="2"/>
  <c r="AW39" i="2"/>
  <c r="BI39" i="2"/>
  <c r="Y41" i="2"/>
  <c r="M42" i="2"/>
  <c r="Y42" i="2"/>
  <c r="CS42" i="2"/>
  <c r="AW43" i="2"/>
  <c r="CG44" i="2"/>
  <c r="AW45" i="2"/>
  <c r="M47" i="2"/>
  <c r="CG47" i="2"/>
  <c r="Y48" i="2"/>
  <c r="Y49" i="2"/>
  <c r="CS49" i="2"/>
  <c r="CS50" i="2"/>
  <c r="DE51" i="2"/>
  <c r="AK54" i="2"/>
  <c r="BU54" i="2"/>
  <c r="DG55" i="2"/>
  <c r="DF55" i="2"/>
  <c r="M55" i="2"/>
  <c r="M65" i="2"/>
  <c r="Y65" i="2"/>
  <c r="BI52" i="2"/>
  <c r="BU53" i="2"/>
  <c r="M61" i="2"/>
  <c r="BU62" i="2"/>
  <c r="M63" i="2"/>
  <c r="Y63" i="2"/>
  <c r="BI63" i="2"/>
  <c r="BU63" i="2"/>
  <c r="DE63" i="2"/>
  <c r="BI64" i="2"/>
  <c r="X71" i="2"/>
  <c r="DG71" i="2"/>
  <c r="Y71" i="2"/>
  <c r="DF71" i="2"/>
  <c r="DM71" i="2" s="1"/>
  <c r="BI71" i="2"/>
  <c r="BH71" i="2"/>
  <c r="CS55" i="2"/>
  <c r="AK57" i="2"/>
  <c r="J78" i="2"/>
  <c r="J77" i="2"/>
  <c r="S77" i="2"/>
  <c r="S78" i="2"/>
  <c r="AH77" i="2"/>
  <c r="AH78" i="2"/>
  <c r="AQ78" i="2"/>
  <c r="AQ77" i="2"/>
  <c r="BF78" i="2"/>
  <c r="BF77" i="2"/>
  <c r="BO77" i="2"/>
  <c r="BO78" i="2"/>
  <c r="CD77" i="2"/>
  <c r="CD78" i="2"/>
  <c r="CM78" i="2"/>
  <c r="CM77" i="2"/>
  <c r="DB78" i="2"/>
  <c r="DB77" i="2"/>
  <c r="DK44" i="2"/>
  <c r="CE46" i="2"/>
  <c r="AW47" i="2"/>
  <c r="BU47" i="2"/>
  <c r="M48" i="2"/>
  <c r="AK48" i="2"/>
  <c r="M50" i="2"/>
  <c r="CG50" i="2"/>
  <c r="DF51" i="2"/>
  <c r="M51" i="2"/>
  <c r="CS51" i="2"/>
  <c r="M52" i="2"/>
  <c r="DG52" i="2"/>
  <c r="Y53" i="2"/>
  <c r="AW54" i="2"/>
  <c r="AW55" i="2"/>
  <c r="Y56" i="2"/>
  <c r="DE56" i="2"/>
  <c r="BU57" i="2"/>
  <c r="AK58" i="2"/>
  <c r="M60" i="2"/>
  <c r="BI62" i="2"/>
  <c r="CS62" i="2"/>
  <c r="L70" i="2"/>
  <c r="M70" i="2"/>
  <c r="Y70" i="2"/>
  <c r="X70" i="2"/>
  <c r="BH70" i="2"/>
  <c r="BI70" i="2"/>
  <c r="BU70" i="2"/>
  <c r="BT70" i="2"/>
  <c r="DD70" i="2"/>
  <c r="DE70" i="2"/>
  <c r="BI58" i="2"/>
  <c r="T12" i="2"/>
  <c r="AR12" i="2"/>
  <c r="BP12" i="2"/>
  <c r="CN12" i="2"/>
  <c r="K31" i="2"/>
  <c r="DC31" i="2"/>
  <c r="AU32" i="2"/>
  <c r="BS34" i="2"/>
  <c r="DK35" i="2"/>
  <c r="BG35" i="2"/>
  <c r="CQ36" i="2"/>
  <c r="CE37" i="2"/>
  <c r="W38" i="2"/>
  <c r="K39" i="2"/>
  <c r="DC39" i="2"/>
  <c r="AU40" i="2"/>
  <c r="AI41" i="2"/>
  <c r="BS42" i="2"/>
  <c r="DK43" i="2"/>
  <c r="BG43" i="2"/>
  <c r="CQ44" i="2"/>
  <c r="Y45" i="2"/>
  <c r="Y47" i="2"/>
  <c r="CS47" i="2"/>
  <c r="BI48" i="2"/>
  <c r="CG48" i="2"/>
  <c r="DG49" i="2"/>
  <c r="DF49" i="2"/>
  <c r="M49" i="2"/>
  <c r="AK50" i="2"/>
  <c r="BI50" i="2"/>
  <c r="AW51" i="2"/>
  <c r="BU51" i="2"/>
  <c r="BU52" i="2"/>
  <c r="CG53" i="2"/>
  <c r="CG54" i="2"/>
  <c r="DE54" i="2"/>
  <c r="Y55" i="2"/>
  <c r="BI56" i="2"/>
  <c r="CG56" i="2"/>
  <c r="Y57" i="2"/>
  <c r="DH57" i="2" s="1"/>
  <c r="CG58" i="2"/>
  <c r="AK59" i="2"/>
  <c r="BU61" i="2"/>
  <c r="AK65" i="2"/>
  <c r="BI65" i="2"/>
  <c r="CS65" i="2"/>
  <c r="DG69" i="2"/>
  <c r="BU69" i="2"/>
  <c r="W60" i="2"/>
  <c r="W61" i="2"/>
  <c r="CG62" i="2"/>
  <c r="Y64" i="2"/>
  <c r="CG64" i="2"/>
  <c r="AK67" i="2"/>
  <c r="BU67" i="2"/>
  <c r="Y68" i="2"/>
  <c r="BU68" i="2"/>
  <c r="DE68" i="2"/>
  <c r="BI69" i="2"/>
  <c r="CS69" i="2"/>
  <c r="AK72" i="2"/>
  <c r="AJ72" i="2"/>
  <c r="BT72" i="2"/>
  <c r="BU72" i="2"/>
  <c r="DE50" i="2"/>
  <c r="Y51" i="2"/>
  <c r="CG52" i="2"/>
  <c r="CS53" i="2"/>
  <c r="BI54" i="2"/>
  <c r="BU55" i="2"/>
  <c r="AK56" i="2"/>
  <c r="DG57" i="2"/>
  <c r="DF57" i="2"/>
  <c r="AW57" i="2"/>
  <c r="M58" i="2"/>
  <c r="CQ58" i="2"/>
  <c r="BU59" i="2"/>
  <c r="CQ59" i="2"/>
  <c r="DE60" i="2"/>
  <c r="DC61" i="2"/>
  <c r="AU62" i="2"/>
  <c r="DE62" i="2"/>
  <c r="AI63" i="2"/>
  <c r="AW63" i="2"/>
  <c r="CE63" i="2"/>
  <c r="CS63" i="2"/>
  <c r="M64" i="2"/>
  <c r="AW64" i="2"/>
  <c r="DE64" i="2"/>
  <c r="BU65" i="2"/>
  <c r="M66" i="2"/>
  <c r="Y66" i="2"/>
  <c r="BI66" i="2"/>
  <c r="BU66" i="2"/>
  <c r="DE66" i="2"/>
  <c r="BI67" i="2"/>
  <c r="CS67" i="2"/>
  <c r="DG67" i="2"/>
  <c r="CG71" i="2"/>
  <c r="CF71" i="2"/>
  <c r="CF73" i="2"/>
  <c r="CG73" i="2"/>
  <c r="DD73" i="2"/>
  <c r="DK63" i="2"/>
  <c r="CG65" i="2"/>
  <c r="Y67" i="2"/>
  <c r="CG67" i="2"/>
  <c r="Y69" i="2"/>
  <c r="CG69" i="2"/>
  <c r="AK71" i="2"/>
  <c r="AJ71" i="2"/>
  <c r="CR72" i="2"/>
  <c r="CS72" i="2"/>
  <c r="AJ73" i="2"/>
  <c r="AK73" i="2"/>
  <c r="L74" i="2"/>
  <c r="M74" i="2"/>
  <c r="Y74" i="2"/>
  <c r="X74" i="2"/>
  <c r="BH74" i="2"/>
  <c r="BI74" i="2"/>
  <c r="BU74" i="2"/>
  <c r="BT74" i="2"/>
  <c r="DD74" i="2"/>
  <c r="DE74" i="2"/>
  <c r="BI75" i="2"/>
  <c r="BH75" i="2"/>
  <c r="CS75" i="2"/>
  <c r="CR75" i="2"/>
  <c r="BS58" i="2"/>
  <c r="DK59" i="2"/>
  <c r="BG59" i="2"/>
  <c r="DG59" i="2" s="1"/>
  <c r="CQ60" i="2"/>
  <c r="CE61" i="2"/>
  <c r="W62" i="2"/>
  <c r="AU65" i="2"/>
  <c r="DG65" i="2" s="1"/>
  <c r="DE65" i="2"/>
  <c r="AI66" i="2"/>
  <c r="AW66" i="2"/>
  <c r="CE66" i="2"/>
  <c r="CS66" i="2"/>
  <c r="DF67" i="2"/>
  <c r="M67" i="2"/>
  <c r="AW67" i="2"/>
  <c r="DE67" i="2"/>
  <c r="AI68" i="2"/>
  <c r="AW68" i="2"/>
  <c r="CE68" i="2"/>
  <c r="CS68" i="2"/>
  <c r="M69" i="2"/>
  <c r="AW69" i="2"/>
  <c r="DE69" i="2"/>
  <c r="AI70" i="2"/>
  <c r="AW70" i="2"/>
  <c r="AV70" i="2"/>
  <c r="CE70" i="2"/>
  <c r="CS70" i="2"/>
  <c r="CR70" i="2"/>
  <c r="CS71" i="2"/>
  <c r="CR71" i="2"/>
  <c r="Y73" i="2"/>
  <c r="X73" i="2"/>
  <c r="Y75" i="2"/>
  <c r="X75" i="2"/>
  <c r="CG75" i="2"/>
  <c r="CF75" i="2"/>
  <c r="DK66" i="2"/>
  <c r="DK68" i="2"/>
  <c r="DK70" i="2"/>
  <c r="X72" i="2"/>
  <c r="Y72" i="2"/>
  <c r="CG72" i="2"/>
  <c r="CF72" i="2"/>
  <c r="AI74" i="2"/>
  <c r="DG74" i="2" s="1"/>
  <c r="AW74" i="2"/>
  <c r="AV74" i="2"/>
  <c r="CE74" i="2"/>
  <c r="CS74" i="2"/>
  <c r="CR74" i="2"/>
  <c r="K75" i="2"/>
  <c r="AW75" i="2"/>
  <c r="AV75" i="2"/>
  <c r="DC75" i="2"/>
  <c r="M71" i="2"/>
  <c r="L71" i="2"/>
  <c r="DE71" i="2"/>
  <c r="DD71" i="2"/>
  <c r="M72" i="2"/>
  <c r="L72" i="2"/>
  <c r="AV72" i="2"/>
  <c r="AW72" i="2"/>
  <c r="DE72" i="2"/>
  <c r="DD72" i="2"/>
  <c r="AW73" i="2"/>
  <c r="AV73" i="2"/>
  <c r="CS73" i="2"/>
  <c r="CR73" i="2"/>
  <c r="AI75" i="2"/>
  <c r="BU75" i="2"/>
  <c r="BT75" i="2"/>
  <c r="M76" i="2"/>
  <c r="DK74" i="2"/>
  <c r="W76" i="2"/>
  <c r="AU76" i="2"/>
  <c r="BS76" i="2"/>
  <c r="CQ76" i="2"/>
  <c r="BH72" i="2" l="1"/>
  <c r="DF64" i="2"/>
  <c r="DF63" i="2"/>
  <c r="AK69" i="2"/>
  <c r="DH49" i="2"/>
  <c r="DG51" i="2"/>
  <c r="DE48" i="2"/>
  <c r="DH48" i="2" s="1"/>
  <c r="DF47" i="2"/>
  <c r="DH33" i="2"/>
  <c r="DF73" i="2"/>
  <c r="DM73" i="2" s="1"/>
  <c r="DG23" i="2"/>
  <c r="DE47" i="2"/>
  <c r="DG45" i="2"/>
  <c r="DF30" i="2"/>
  <c r="DG50" i="2"/>
  <c r="DF24" i="2"/>
  <c r="DF28" i="2"/>
  <c r="DF15" i="2"/>
  <c r="AW15" i="2"/>
  <c r="DH15" i="2" s="1"/>
  <c r="BU71" i="2"/>
  <c r="BT71" i="2"/>
  <c r="DG68" i="2"/>
  <c r="BI72" i="2"/>
  <c r="DH72" i="2" s="1"/>
  <c r="DG72" i="2"/>
  <c r="DF60" i="2"/>
  <c r="DF50" i="2"/>
  <c r="M25" i="2"/>
  <c r="DH25" i="2" s="1"/>
  <c r="DF23" i="2"/>
  <c r="DG30" i="2"/>
  <c r="DG27" i="2"/>
  <c r="DG56" i="2"/>
  <c r="DF53" i="2"/>
  <c r="DG25" i="2"/>
  <c r="DF21" i="2"/>
  <c r="DF19" i="2"/>
  <c r="AW71" i="2"/>
  <c r="AV71" i="2"/>
  <c r="DG48" i="2"/>
  <c r="DH23" i="2"/>
  <c r="AK28" i="2"/>
  <c r="DH28" i="2" s="1"/>
  <c r="DG21" i="2"/>
  <c r="DF27" i="2"/>
  <c r="DF13" i="2"/>
  <c r="DF17" i="2"/>
  <c r="AV76" i="2"/>
  <c r="AW76" i="2"/>
  <c r="AK75" i="2"/>
  <c r="AJ75" i="2"/>
  <c r="DE75" i="2"/>
  <c r="DD75" i="2"/>
  <c r="DH69" i="2"/>
  <c r="CG68" i="2"/>
  <c r="AK66" i="2"/>
  <c r="Y62" i="2"/>
  <c r="DG62" i="2"/>
  <c r="DF62" i="2"/>
  <c r="CS58" i="2"/>
  <c r="DH58" i="2" s="1"/>
  <c r="Y61" i="2"/>
  <c r="DF59" i="2"/>
  <c r="BU42" i="2"/>
  <c r="DG39" i="2"/>
  <c r="DF39" i="2"/>
  <c r="M39" i="2"/>
  <c r="BI35" i="2"/>
  <c r="DG35" i="2"/>
  <c r="DF35" i="2"/>
  <c r="DE31" i="2"/>
  <c r="AR78" i="2"/>
  <c r="AR77" i="2"/>
  <c r="AU12" i="2"/>
  <c r="DF65" i="2"/>
  <c r="DH47" i="2"/>
  <c r="DG22" i="2"/>
  <c r="DF20" i="2"/>
  <c r="DG18" i="2"/>
  <c r="DF16" i="2"/>
  <c r="DG14" i="2"/>
  <c r="X76" i="2"/>
  <c r="Y76" i="2"/>
  <c r="DF76" i="2"/>
  <c r="DM76" i="2" s="1"/>
  <c r="AJ74" i="2"/>
  <c r="AK74" i="2"/>
  <c r="DH67" i="2"/>
  <c r="CG66" i="2"/>
  <c r="CG61" i="2"/>
  <c r="BU58" i="2"/>
  <c r="DG58" i="2"/>
  <c r="DF66" i="2"/>
  <c r="AW62" i="2"/>
  <c r="AV62" i="2"/>
  <c r="Y60" i="2"/>
  <c r="DH60" i="2" s="1"/>
  <c r="DG60" i="2"/>
  <c r="CS44" i="2"/>
  <c r="DG44" i="2"/>
  <c r="DF44" i="2"/>
  <c r="AK41" i="2"/>
  <c r="DG41" i="2"/>
  <c r="DF41" i="2"/>
  <c r="Y38" i="2"/>
  <c r="DG38" i="2"/>
  <c r="DF38" i="2"/>
  <c r="DL12" i="2"/>
  <c r="DG31" i="2"/>
  <c r="DF31" i="2"/>
  <c r="M31" i="2"/>
  <c r="T77" i="2"/>
  <c r="T78" i="2"/>
  <c r="W12" i="2"/>
  <c r="CG46" i="2"/>
  <c r="DH46" i="2" s="1"/>
  <c r="DF46" i="2"/>
  <c r="DG46" i="2"/>
  <c r="DG61" i="2"/>
  <c r="DG42" i="2"/>
  <c r="CR76" i="2"/>
  <c r="CS76" i="2"/>
  <c r="CF74" i="2"/>
  <c r="CG74" i="2"/>
  <c r="DH74" i="2" s="1"/>
  <c r="AJ70" i="2"/>
  <c r="AK70" i="2"/>
  <c r="CS60" i="2"/>
  <c r="DG66" i="2"/>
  <c r="AK63" i="2"/>
  <c r="DH63" i="2" s="1"/>
  <c r="DE61" i="2"/>
  <c r="CS59" i="2"/>
  <c r="BI43" i="2"/>
  <c r="DH43" i="2" s="1"/>
  <c r="DG43" i="2"/>
  <c r="DF43" i="2"/>
  <c r="AW40" i="2"/>
  <c r="AV40" i="2"/>
  <c r="DF40" i="2"/>
  <c r="DG40" i="2"/>
  <c r="CG37" i="2"/>
  <c r="DH37" i="2" s="1"/>
  <c r="DF37" i="2"/>
  <c r="DG37" i="2"/>
  <c r="BU34" i="2"/>
  <c r="DH34" i="2" s="1"/>
  <c r="DG34" i="2"/>
  <c r="DF34" i="2"/>
  <c r="CN78" i="2"/>
  <c r="CN77" i="2"/>
  <c r="CQ12" i="2"/>
  <c r="CR58" i="2" s="1"/>
  <c r="DF70" i="2"/>
  <c r="DM70" i="2" s="1"/>
  <c r="DH50" i="2"/>
  <c r="DG63" i="2"/>
  <c r="DF61" i="2"/>
  <c r="DF42" i="2"/>
  <c r="BT76" i="2"/>
  <c r="BU76" i="2"/>
  <c r="DG76" i="2"/>
  <c r="DH71" i="2"/>
  <c r="M75" i="2"/>
  <c r="L75" i="2"/>
  <c r="DF75" i="2"/>
  <c r="DM75" i="2" s="1"/>
  <c r="DG75" i="2"/>
  <c r="CF70" i="2"/>
  <c r="CG70" i="2"/>
  <c r="DH70" i="2" s="1"/>
  <c r="AK68" i="2"/>
  <c r="DH68" i="2" s="1"/>
  <c r="AW65" i="2"/>
  <c r="DH65" i="2" s="1"/>
  <c r="AV65" i="2"/>
  <c r="BI59" i="2"/>
  <c r="DH59" i="2" s="1"/>
  <c r="DF74" i="2"/>
  <c r="DM74" i="2" s="1"/>
  <c r="DH64" i="2"/>
  <c r="CG63" i="2"/>
  <c r="DF58" i="2"/>
  <c r="DF68" i="2"/>
  <c r="DE39" i="2"/>
  <c r="CS36" i="2"/>
  <c r="CR36" i="2"/>
  <c r="DF36" i="2"/>
  <c r="DG36" i="2"/>
  <c r="AW32" i="2"/>
  <c r="AV32" i="2"/>
  <c r="DF32" i="2"/>
  <c r="DG32" i="2"/>
  <c r="BP77" i="2"/>
  <c r="BP78" i="2"/>
  <c r="BS12" i="2"/>
  <c r="BT34" i="2" s="1"/>
  <c r="DG70" i="2"/>
  <c r="DH52" i="2"/>
  <c r="DH51" i="2"/>
  <c r="DH55" i="2"/>
  <c r="DH38" i="2"/>
  <c r="AV22" i="2"/>
  <c r="AW22" i="2"/>
  <c r="AV20" i="2"/>
  <c r="AW20" i="2"/>
  <c r="AV18" i="2"/>
  <c r="AW18" i="2"/>
  <c r="AV16" i="2"/>
  <c r="AW16" i="2"/>
  <c r="AV14" i="2"/>
  <c r="AW14" i="2"/>
  <c r="BD77" i="2"/>
  <c r="BD78" i="2"/>
  <c r="BG12" i="2"/>
  <c r="DH44" i="2"/>
  <c r="DH53" i="2"/>
  <c r="CG29" i="2"/>
  <c r="DH29" i="2"/>
  <c r="DH27" i="2"/>
  <c r="X22" i="2"/>
  <c r="Y22" i="2"/>
  <c r="X20" i="2"/>
  <c r="Y20" i="2"/>
  <c r="DH20" i="2" s="1"/>
  <c r="X18" i="2"/>
  <c r="Y18" i="2"/>
  <c r="X16" i="2"/>
  <c r="Y16" i="2"/>
  <c r="DH16" i="2" s="1"/>
  <c r="X14" i="2"/>
  <c r="Y14" i="2"/>
  <c r="AF78" i="2"/>
  <c r="AF77" i="2"/>
  <c r="AI12" i="2"/>
  <c r="AJ63" i="2" s="1"/>
  <c r="DH62" i="2"/>
  <c r="DH40" i="2"/>
  <c r="DF22" i="2"/>
  <c r="DH42" i="2"/>
  <c r="DG29" i="2"/>
  <c r="CR22" i="2"/>
  <c r="CS22" i="2"/>
  <c r="CR20" i="2"/>
  <c r="CS20" i="2"/>
  <c r="CR18" i="2"/>
  <c r="CS18" i="2"/>
  <c r="CR16" i="2"/>
  <c r="CS16" i="2"/>
  <c r="CR14" i="2"/>
  <c r="CS14" i="2"/>
  <c r="CZ77" i="2"/>
  <c r="CZ78" i="2"/>
  <c r="DC12" i="2"/>
  <c r="H77" i="2"/>
  <c r="H78" i="2"/>
  <c r="K12" i="2"/>
  <c r="L31" i="2" s="1"/>
  <c r="DF18" i="2"/>
  <c r="DH32" i="2"/>
  <c r="DH54" i="2"/>
  <c r="DH45" i="2"/>
  <c r="DH30" i="2"/>
  <c r="DH26" i="2"/>
  <c r="DH24" i="2"/>
  <c r="DG16" i="2"/>
  <c r="BT22" i="2"/>
  <c r="BU22" i="2"/>
  <c r="DH22" i="2" s="1"/>
  <c r="BT20" i="2"/>
  <c r="BU20" i="2"/>
  <c r="BT18" i="2"/>
  <c r="BU18" i="2"/>
  <c r="BT16" i="2"/>
  <c r="BU16" i="2"/>
  <c r="BT14" i="2"/>
  <c r="BU14" i="2"/>
  <c r="DH14" i="2" s="1"/>
  <c r="CB78" i="2"/>
  <c r="CB77" i="2"/>
  <c r="CE12" i="2"/>
  <c r="DH73" i="2"/>
  <c r="DH41" i="2"/>
  <c r="DH36" i="2"/>
  <c r="DH35" i="2"/>
  <c r="DF29" i="2"/>
  <c r="DG20" i="2"/>
  <c r="DH56" i="2"/>
  <c r="DF14" i="2"/>
  <c r="DH66" i="2" l="1"/>
  <c r="DH76" i="2"/>
  <c r="DH18" i="2"/>
  <c r="DH75" i="2"/>
  <c r="DH31" i="2"/>
  <c r="DH61" i="2"/>
  <c r="CE78" i="2"/>
  <c r="CE77" i="2"/>
  <c r="BY81" i="2"/>
  <c r="CA81" i="2" s="1"/>
  <c r="BY82" i="2"/>
  <c r="CA82" i="2" s="1"/>
  <c r="CF51" i="2"/>
  <c r="CF60" i="2"/>
  <c r="CF57" i="2"/>
  <c r="CF49" i="2"/>
  <c r="CG12" i="2"/>
  <c r="CF12" i="2"/>
  <c r="CF30" i="2"/>
  <c r="CF39" i="2"/>
  <c r="CF27" i="2"/>
  <c r="CF31" i="2"/>
  <c r="CF40" i="2"/>
  <c r="CF43" i="2"/>
  <c r="CF13" i="2"/>
  <c r="CF32" i="2"/>
  <c r="CF36" i="2"/>
  <c r="CF23" i="2"/>
  <c r="CF14" i="2"/>
  <c r="CF24" i="2"/>
  <c r="CF42" i="2"/>
  <c r="CF21" i="2"/>
  <c r="CF33" i="2"/>
  <c r="CF20" i="2"/>
  <c r="CF25" i="2"/>
  <c r="CF34" i="2"/>
  <c r="CF18" i="2"/>
  <c r="CF15" i="2"/>
  <c r="CF19" i="2"/>
  <c r="CF35" i="2"/>
  <c r="CF16" i="2"/>
  <c r="CF17" i="2"/>
  <c r="CF28" i="2"/>
  <c r="CF45" i="2"/>
  <c r="CF47" i="2"/>
  <c r="CF26" i="2"/>
  <c r="CF59" i="2"/>
  <c r="CF22" i="2"/>
  <c r="CF41" i="2"/>
  <c r="CF44" i="2"/>
  <c r="CF50" i="2"/>
  <c r="CF48" i="2"/>
  <c r="CF53" i="2"/>
  <c r="CF52" i="2"/>
  <c r="CF38" i="2"/>
  <c r="CF62" i="2"/>
  <c r="CF64" i="2"/>
  <c r="CF65" i="2"/>
  <c r="CF67" i="2"/>
  <c r="CF69" i="2"/>
  <c r="CF54" i="2"/>
  <c r="CF55" i="2"/>
  <c r="CF56" i="2"/>
  <c r="CF58" i="2"/>
  <c r="BG78" i="2"/>
  <c r="BG77" i="2"/>
  <c r="BA82" i="2"/>
  <c r="BC82" i="2" s="1"/>
  <c r="BA81" i="2"/>
  <c r="BC81" i="2" s="1"/>
  <c r="BH60" i="2"/>
  <c r="BH53" i="2"/>
  <c r="BH45" i="2"/>
  <c r="BI12" i="2"/>
  <c r="BH61" i="2"/>
  <c r="BH49" i="2"/>
  <c r="BH44" i="2"/>
  <c r="BH36" i="2"/>
  <c r="BH28" i="2"/>
  <c r="BH12" i="2"/>
  <c r="BH37" i="2"/>
  <c r="BH14" i="2"/>
  <c r="BH30" i="2"/>
  <c r="BH21" i="2"/>
  <c r="BH25" i="2"/>
  <c r="BH33" i="2"/>
  <c r="BH18" i="2"/>
  <c r="BH23" i="2"/>
  <c r="BH39" i="2"/>
  <c r="BH16" i="2"/>
  <c r="BH15" i="2"/>
  <c r="BH19" i="2"/>
  <c r="BH57" i="2"/>
  <c r="BH34" i="2"/>
  <c r="BH42" i="2"/>
  <c r="BH17" i="2"/>
  <c r="BH29" i="2"/>
  <c r="BH24" i="2"/>
  <c r="BH38" i="2"/>
  <c r="BH22" i="2"/>
  <c r="BH40" i="2"/>
  <c r="BH41" i="2"/>
  <c r="BH47" i="2"/>
  <c r="BH20" i="2"/>
  <c r="BH32" i="2"/>
  <c r="BH26" i="2"/>
  <c r="BH31" i="2"/>
  <c r="BH51" i="2"/>
  <c r="BH55" i="2"/>
  <c r="BH46" i="2"/>
  <c r="BH62" i="2"/>
  <c r="BH50" i="2"/>
  <c r="BH68" i="2"/>
  <c r="BH54" i="2"/>
  <c r="BH27" i="2"/>
  <c r="BH64" i="2"/>
  <c r="BH58" i="2"/>
  <c r="BH56" i="2"/>
  <c r="BH67" i="2"/>
  <c r="BH13" i="2"/>
  <c r="BH52" i="2"/>
  <c r="BH63" i="2"/>
  <c r="BH48" i="2"/>
  <c r="BH65" i="2"/>
  <c r="BH66" i="2"/>
  <c r="BH69" i="2"/>
  <c r="CF37" i="2"/>
  <c r="CR59" i="2"/>
  <c r="CR60" i="2"/>
  <c r="BT58" i="2"/>
  <c r="DH39" i="2"/>
  <c r="BT42" i="2"/>
  <c r="AJ66" i="2"/>
  <c r="DC78" i="2"/>
  <c r="DC77" i="2"/>
  <c r="CW82" i="2"/>
  <c r="CY82" i="2" s="1"/>
  <c r="CW81" i="2"/>
  <c r="CY81" i="2" s="1"/>
  <c r="DD57" i="2"/>
  <c r="DD49" i="2"/>
  <c r="DE12" i="2"/>
  <c r="DD55" i="2"/>
  <c r="DD40" i="2"/>
  <c r="DD12" i="2"/>
  <c r="DD53" i="2"/>
  <c r="DD22" i="2"/>
  <c r="DD26" i="2"/>
  <c r="DD34" i="2"/>
  <c r="DD52" i="2"/>
  <c r="DD30" i="2"/>
  <c r="DD41" i="2"/>
  <c r="DD25" i="2"/>
  <c r="DD28" i="2"/>
  <c r="DD29" i="2"/>
  <c r="DD46" i="2"/>
  <c r="DD43" i="2"/>
  <c r="DD36" i="2"/>
  <c r="DD45" i="2"/>
  <c r="DD13" i="2"/>
  <c r="DD51" i="2"/>
  <c r="DD14" i="2"/>
  <c r="DD27" i="2"/>
  <c r="DD38" i="2"/>
  <c r="DD21" i="2"/>
  <c r="DD32" i="2"/>
  <c r="DD33" i="2"/>
  <c r="DD37" i="2"/>
  <c r="DD44" i="2"/>
  <c r="DD59" i="2"/>
  <c r="DD24" i="2"/>
  <c r="DD20" i="2"/>
  <c r="DD42" i="2"/>
  <c r="DD47" i="2"/>
  <c r="DD18" i="2"/>
  <c r="DD15" i="2"/>
  <c r="DD19" i="2"/>
  <c r="DD35" i="2"/>
  <c r="DD16" i="2"/>
  <c r="DD17" i="2"/>
  <c r="DD23" i="2"/>
  <c r="DD48" i="2"/>
  <c r="DD56" i="2"/>
  <c r="DD54" i="2"/>
  <c r="DD68" i="2"/>
  <c r="DD50" i="2"/>
  <c r="DD60" i="2"/>
  <c r="DD62" i="2"/>
  <c r="DD69" i="2"/>
  <c r="DD58" i="2"/>
  <c r="DD64" i="2"/>
  <c r="DD63" i="2"/>
  <c r="DD66" i="2"/>
  <c r="DD65" i="2"/>
  <c r="DD67" i="2"/>
  <c r="DD39" i="2"/>
  <c r="BH59" i="2"/>
  <c r="BH43" i="2"/>
  <c r="W77" i="2"/>
  <c r="Q82" i="2"/>
  <c r="S82" i="2" s="1"/>
  <c r="Q81" i="2"/>
  <c r="S81" i="2" s="1"/>
  <c r="W78" i="2"/>
  <c r="Y12" i="2"/>
  <c r="X54" i="2"/>
  <c r="X12" i="2"/>
  <c r="X52" i="2"/>
  <c r="X59" i="2"/>
  <c r="X43" i="2"/>
  <c r="X35" i="2"/>
  <c r="X19" i="2"/>
  <c r="X17" i="2"/>
  <c r="X13" i="2"/>
  <c r="X25" i="2"/>
  <c r="X29" i="2"/>
  <c r="X34" i="2"/>
  <c r="X40" i="2"/>
  <c r="X26" i="2"/>
  <c r="X32" i="2"/>
  <c r="X15" i="2"/>
  <c r="X21" i="2"/>
  <c r="X33" i="2"/>
  <c r="X24" i="2"/>
  <c r="X30" i="2"/>
  <c r="X28" i="2"/>
  <c r="X39" i="2"/>
  <c r="X27" i="2"/>
  <c r="X31" i="2"/>
  <c r="X23" i="2"/>
  <c r="X44" i="2"/>
  <c r="X50" i="2"/>
  <c r="X42" i="2"/>
  <c r="X58" i="2"/>
  <c r="X37" i="2"/>
  <c r="X36" i="2"/>
  <c r="X65" i="2"/>
  <c r="X53" i="2"/>
  <c r="X63" i="2"/>
  <c r="X47" i="2"/>
  <c r="X57" i="2"/>
  <c r="X66" i="2"/>
  <c r="X48" i="2"/>
  <c r="X49" i="2"/>
  <c r="X56" i="2"/>
  <c r="X55" i="2"/>
  <c r="X64" i="2"/>
  <c r="X51" i="2"/>
  <c r="X67" i="2"/>
  <c r="X69" i="2"/>
  <c r="X41" i="2"/>
  <c r="X46" i="2"/>
  <c r="X45" i="2"/>
  <c r="X68" i="2"/>
  <c r="CF66" i="2"/>
  <c r="X62" i="2"/>
  <c r="K78" i="2"/>
  <c r="K77" i="2"/>
  <c r="E82" i="2"/>
  <c r="G82" i="2" s="1"/>
  <c r="E81" i="2"/>
  <c r="G81" i="2" s="1"/>
  <c r="DG12" i="2"/>
  <c r="DF12" i="2"/>
  <c r="L49" i="2"/>
  <c r="M12" i="2"/>
  <c r="L57" i="2"/>
  <c r="L33" i="2"/>
  <c r="L12" i="2"/>
  <c r="L41" i="2"/>
  <c r="L32" i="2"/>
  <c r="L46" i="2"/>
  <c r="L22" i="2"/>
  <c r="L26" i="2"/>
  <c r="L17" i="2"/>
  <c r="L23" i="2"/>
  <c r="L16" i="2"/>
  <c r="L13" i="2"/>
  <c r="L28" i="2"/>
  <c r="L56" i="2"/>
  <c r="L27" i="2"/>
  <c r="L35" i="2"/>
  <c r="L37" i="2"/>
  <c r="L21" i="2"/>
  <c r="L44" i="2"/>
  <c r="L20" i="2"/>
  <c r="L40" i="2"/>
  <c r="L24" i="2"/>
  <c r="L43" i="2"/>
  <c r="L53" i="2"/>
  <c r="L14" i="2"/>
  <c r="L45" i="2"/>
  <c r="L54" i="2"/>
  <c r="L19" i="2"/>
  <c r="L36" i="2"/>
  <c r="L15" i="2"/>
  <c r="L38" i="2"/>
  <c r="L42" i="2"/>
  <c r="L55" i="2"/>
  <c r="L25" i="2"/>
  <c r="L18" i="2"/>
  <c r="L30" i="2"/>
  <c r="L62" i="2"/>
  <c r="L47" i="2"/>
  <c r="L65" i="2"/>
  <c r="L61" i="2"/>
  <c r="L63" i="2"/>
  <c r="L48" i="2"/>
  <c r="L60" i="2"/>
  <c r="L66" i="2"/>
  <c r="L69" i="2"/>
  <c r="L34" i="2"/>
  <c r="L51" i="2"/>
  <c r="L52" i="2"/>
  <c r="L64" i="2"/>
  <c r="L29" i="2"/>
  <c r="L50" i="2"/>
  <c r="L68" i="2"/>
  <c r="L58" i="2"/>
  <c r="L59" i="2"/>
  <c r="L67" i="2"/>
  <c r="AI78" i="2"/>
  <c r="AI77" i="2"/>
  <c r="AC81" i="2"/>
  <c r="AE81" i="2" s="1"/>
  <c r="AC82" i="2"/>
  <c r="AE82" i="2" s="1"/>
  <c r="AJ55" i="2"/>
  <c r="AJ53" i="2"/>
  <c r="AK12" i="2"/>
  <c r="AJ43" i="2"/>
  <c r="AJ35" i="2"/>
  <c r="AJ12" i="2"/>
  <c r="AJ45" i="2"/>
  <c r="AJ18" i="2"/>
  <c r="AJ39" i="2"/>
  <c r="AJ49" i="2"/>
  <c r="AJ15" i="2"/>
  <c r="AJ19" i="2"/>
  <c r="AJ36" i="2"/>
  <c r="AJ17" i="2"/>
  <c r="AJ29" i="2"/>
  <c r="AJ24" i="2"/>
  <c r="AJ37" i="2"/>
  <c r="AJ20" i="2"/>
  <c r="AJ22" i="2"/>
  <c r="AJ52" i="2"/>
  <c r="AJ51" i="2"/>
  <c r="AJ32" i="2"/>
  <c r="AJ42" i="2"/>
  <c r="AJ46" i="2"/>
  <c r="AJ27" i="2"/>
  <c r="AJ38" i="2"/>
  <c r="AJ16" i="2"/>
  <c r="AJ30" i="2"/>
  <c r="AJ33" i="2"/>
  <c r="AJ40" i="2"/>
  <c r="AJ64" i="2"/>
  <c r="AJ28" i="2"/>
  <c r="AJ31" i="2"/>
  <c r="AJ13" i="2"/>
  <c r="AJ25" i="2"/>
  <c r="AJ26" i="2"/>
  <c r="AJ14" i="2"/>
  <c r="AJ21" i="2"/>
  <c r="AJ23" i="2"/>
  <c r="AJ34" i="2"/>
  <c r="AJ44" i="2"/>
  <c r="AJ61" i="2"/>
  <c r="AJ54" i="2"/>
  <c r="AJ65" i="2"/>
  <c r="AJ56" i="2"/>
  <c r="AJ57" i="2"/>
  <c r="AJ58" i="2"/>
  <c r="AJ62" i="2"/>
  <c r="AJ59" i="2"/>
  <c r="AJ48" i="2"/>
  <c r="AJ60" i="2"/>
  <c r="AJ47" i="2"/>
  <c r="AJ50" i="2"/>
  <c r="AJ69" i="2"/>
  <c r="AJ67" i="2"/>
  <c r="CF29" i="2"/>
  <c r="BS77" i="2"/>
  <c r="BM82" i="2"/>
  <c r="BO82" i="2" s="1"/>
  <c r="BM81" i="2"/>
  <c r="BO81" i="2" s="1"/>
  <c r="BS78" i="2"/>
  <c r="BT50" i="2"/>
  <c r="BU12" i="2"/>
  <c r="BT12" i="2"/>
  <c r="BT46" i="2"/>
  <c r="BT28" i="2"/>
  <c r="BT36" i="2"/>
  <c r="BT44" i="2"/>
  <c r="BT21" i="2"/>
  <c r="BT41" i="2"/>
  <c r="BT48" i="2"/>
  <c r="BT32" i="2"/>
  <c r="BT45" i="2"/>
  <c r="BT56" i="2"/>
  <c r="BT23" i="2"/>
  <c r="BT15" i="2"/>
  <c r="BT25" i="2"/>
  <c r="BT43" i="2"/>
  <c r="BT64" i="2"/>
  <c r="BT29" i="2"/>
  <c r="BT38" i="2"/>
  <c r="BT49" i="2"/>
  <c r="BT30" i="2"/>
  <c r="BT54" i="2"/>
  <c r="BT19" i="2"/>
  <c r="BT13" i="2"/>
  <c r="BT24" i="2"/>
  <c r="BT26" i="2"/>
  <c r="BT27" i="2"/>
  <c r="BT37" i="2"/>
  <c r="BT17" i="2"/>
  <c r="BT40" i="2"/>
  <c r="BT35" i="2"/>
  <c r="BT33" i="2"/>
  <c r="BT39" i="2"/>
  <c r="BT53" i="2"/>
  <c r="BT51" i="2"/>
  <c r="BT60" i="2"/>
  <c r="BT69" i="2"/>
  <c r="BT67" i="2"/>
  <c r="BT59" i="2"/>
  <c r="BT31" i="2"/>
  <c r="BT63" i="2"/>
  <c r="BT66" i="2"/>
  <c r="BT62" i="2"/>
  <c r="BT47" i="2"/>
  <c r="BT52" i="2"/>
  <c r="BT61" i="2"/>
  <c r="BT55" i="2"/>
  <c r="BT65" i="2"/>
  <c r="BT57" i="2"/>
  <c r="BT68" i="2"/>
  <c r="CF63" i="2"/>
  <c r="AJ68" i="2"/>
  <c r="DD61" i="2"/>
  <c r="CF46" i="2"/>
  <c r="X60" i="2"/>
  <c r="CF61" i="2"/>
  <c r="AO82" i="2"/>
  <c r="AQ82" i="2" s="1"/>
  <c r="AO81" i="2"/>
  <c r="AQ81" i="2" s="1"/>
  <c r="AU78" i="2"/>
  <c r="AU77" i="2"/>
  <c r="AV59" i="2"/>
  <c r="AW12" i="2"/>
  <c r="AV58" i="2"/>
  <c r="AV52" i="2"/>
  <c r="AV12" i="2"/>
  <c r="AV29" i="2"/>
  <c r="AV42" i="2"/>
  <c r="AV37" i="2"/>
  <c r="AV34" i="2"/>
  <c r="AV13" i="2"/>
  <c r="AV17" i="2"/>
  <c r="AV28" i="2"/>
  <c r="AV36" i="2"/>
  <c r="AV44" i="2"/>
  <c r="AV24" i="2"/>
  <c r="AV61" i="2"/>
  <c r="AV38" i="2"/>
  <c r="AV48" i="2"/>
  <c r="AV56" i="2"/>
  <c r="AV30" i="2"/>
  <c r="AV21" i="2"/>
  <c r="AV25" i="2"/>
  <c r="AV46" i="2"/>
  <c r="AV27" i="2"/>
  <c r="AV26" i="2"/>
  <c r="AV50" i="2"/>
  <c r="AV53" i="2"/>
  <c r="AV43" i="2"/>
  <c r="AV15" i="2"/>
  <c r="AV35" i="2"/>
  <c r="AV23" i="2"/>
  <c r="AV19" i="2"/>
  <c r="AV31" i="2"/>
  <c r="AV49" i="2"/>
  <c r="AV33" i="2"/>
  <c r="AV41" i="2"/>
  <c r="AV39" i="2"/>
  <c r="AV47" i="2"/>
  <c r="AV55" i="2"/>
  <c r="AV57" i="2"/>
  <c r="AV67" i="2"/>
  <c r="AV45" i="2"/>
  <c r="AV66" i="2"/>
  <c r="AV69" i="2"/>
  <c r="AV54" i="2"/>
  <c r="AV51" i="2"/>
  <c r="AV60" i="2"/>
  <c r="AV64" i="2"/>
  <c r="AV68" i="2"/>
  <c r="AV63" i="2"/>
  <c r="DD31" i="2"/>
  <c r="BH35" i="2"/>
  <c r="X61" i="2"/>
  <c r="CF68" i="2"/>
  <c r="CK82" i="2"/>
  <c r="CM82" i="2" s="1"/>
  <c r="CK81" i="2"/>
  <c r="CM81" i="2" s="1"/>
  <c r="CQ78" i="2"/>
  <c r="CQ77" i="2"/>
  <c r="CR56" i="2"/>
  <c r="CS12" i="2"/>
  <c r="CR12" i="2"/>
  <c r="CR15" i="2"/>
  <c r="CR27" i="2"/>
  <c r="CR35" i="2"/>
  <c r="CR28" i="2"/>
  <c r="CR39" i="2"/>
  <c r="CR19" i="2"/>
  <c r="CR25" i="2"/>
  <c r="CR57" i="2"/>
  <c r="CR61" i="2"/>
  <c r="CR32" i="2"/>
  <c r="CR40" i="2"/>
  <c r="CR24" i="2"/>
  <c r="CR33" i="2"/>
  <c r="CR49" i="2"/>
  <c r="CR13" i="2"/>
  <c r="CR17" i="2"/>
  <c r="CR31" i="2"/>
  <c r="CR45" i="2"/>
  <c r="CR54" i="2"/>
  <c r="CR38" i="2"/>
  <c r="CR30" i="2"/>
  <c r="CR42" i="2"/>
  <c r="CR52" i="2"/>
  <c r="CR21" i="2"/>
  <c r="CR46" i="2"/>
  <c r="CR26" i="2"/>
  <c r="CR23" i="2"/>
  <c r="CR43" i="2"/>
  <c r="CR29" i="2"/>
  <c r="CR37" i="2"/>
  <c r="CR34" i="2"/>
  <c r="CR41" i="2"/>
  <c r="CR47" i="2"/>
  <c r="CR69" i="2"/>
  <c r="CR66" i="2"/>
  <c r="CR50" i="2"/>
  <c r="CR62" i="2"/>
  <c r="CR48" i="2"/>
  <c r="CR68" i="2"/>
  <c r="CR64" i="2"/>
  <c r="CR53" i="2"/>
  <c r="CR63" i="2"/>
  <c r="CR67" i="2"/>
  <c r="CR55" i="2"/>
  <c r="CR51" i="2"/>
  <c r="CR65" i="2"/>
  <c r="X38" i="2"/>
  <c r="AJ41" i="2"/>
  <c r="CR44" i="2"/>
  <c r="L39" i="2"/>
  <c r="DH82" i="2" l="1"/>
  <c r="DI82" i="2" s="1"/>
  <c r="DH81" i="2"/>
  <c r="DI81" i="2" s="1"/>
  <c r="DH12" i="2"/>
  <c r="DI36" i="2" l="1"/>
  <c r="DI37" i="2"/>
  <c r="DI19" i="2"/>
  <c r="DI68" i="2"/>
  <c r="DI15" i="2"/>
  <c r="DI17" i="2"/>
  <c r="DI71" i="2"/>
  <c r="DI56" i="2"/>
  <c r="DI59" i="2"/>
  <c r="DI63" i="2"/>
  <c r="DI51" i="2"/>
  <c r="DI50" i="2"/>
  <c r="DI44" i="2"/>
  <c r="DI43" i="2"/>
  <c r="DI42" i="2"/>
  <c r="DI39" i="2"/>
  <c r="DI34" i="2"/>
  <c r="DI27" i="2"/>
  <c r="DI25" i="2"/>
  <c r="DI23" i="2"/>
  <c r="DI21" i="2"/>
  <c r="DI14" i="2"/>
  <c r="DI13" i="2"/>
  <c r="DI53" i="2"/>
  <c r="DI28" i="2"/>
  <c r="DI70" i="2"/>
  <c r="DI67" i="2"/>
  <c r="DI66" i="2"/>
  <c r="DI58" i="2"/>
  <c r="DI55" i="2"/>
  <c r="DI52" i="2"/>
  <c r="DI48" i="2"/>
  <c r="DI40" i="2"/>
  <c r="DI32" i="2"/>
  <c r="DI31" i="2"/>
  <c r="DI30" i="2"/>
  <c r="DI26" i="2"/>
  <c r="DI41" i="2"/>
  <c r="DI45" i="2"/>
  <c r="DI54" i="2"/>
  <c r="DI35" i="2"/>
  <c r="DI49" i="2"/>
  <c r="DI18" i="2"/>
  <c r="DI46" i="2"/>
  <c r="DI38" i="2"/>
  <c r="DI69" i="2"/>
  <c r="DI65" i="2"/>
  <c r="DI64" i="2"/>
  <c r="DI62" i="2"/>
  <c r="DI61" i="2"/>
  <c r="DI60" i="2"/>
  <c r="DI47" i="2"/>
  <c r="DI33" i="2"/>
  <c r="DI29" i="2"/>
  <c r="DI22" i="2"/>
  <c r="DI20" i="2"/>
  <c r="DI16" i="2"/>
  <c r="DI75" i="2"/>
  <c r="DI24" i="2"/>
  <c r="DI73" i="2"/>
  <c r="DI76" i="2"/>
  <c r="DI74" i="2"/>
  <c r="DI72" i="2"/>
  <c r="DI57" i="2"/>
  <c r="DI12" i="2" l="1"/>
</calcChain>
</file>

<file path=xl/sharedStrings.xml><?xml version="1.0" encoding="utf-8"?>
<sst xmlns="http://schemas.openxmlformats.org/spreadsheetml/2006/main" count="293" uniqueCount="115">
  <si>
    <t>M</t>
  </si>
  <si>
    <t>ABDUL RAZAK MUSAH</t>
  </si>
  <si>
    <t>ABUBAKAR WAHID</t>
  </si>
  <si>
    <t>ACHEAPONG KWABENA EMMMANUEL JR</t>
  </si>
  <si>
    <t>ADAMS OSEI BLESSING</t>
  </si>
  <si>
    <t>ADAMU SALUU</t>
  </si>
  <si>
    <t>ADDAI FREDRICK</t>
  </si>
  <si>
    <t>AFEDO FREEMAN CHARLES</t>
  </si>
  <si>
    <t>AGBADEY DERRICK</t>
  </si>
  <si>
    <t>AGYAPONG EMMANUEL BILSON</t>
  </si>
  <si>
    <t>AKANTA EMMANUEL</t>
  </si>
  <si>
    <t>AKOTO BLESSING GIDEON</t>
  </si>
  <si>
    <t>AMANGA EBENEZER</t>
  </si>
  <si>
    <t>AMPOSAH AMPONSAH NATHANIEL</t>
  </si>
  <si>
    <t>ANIM BIO THEOPHILUS</t>
  </si>
  <si>
    <t>APPIAGYEI NHYIRA KWABENA</t>
  </si>
  <si>
    <t>ASAFO  AGYEI COLOMBUS</t>
  </si>
  <si>
    <t>ASEMPA MICHAEL KWBENA</t>
  </si>
  <si>
    <t>ASAMOAH RICHARD SENIOR</t>
  </si>
  <si>
    <t>FRIMPONG BARIMA CHRIS</t>
  </si>
  <si>
    <t>IBRAHIM AWAL MOHAMMED</t>
  </si>
  <si>
    <t>ISSAHAK JAMAL</t>
  </si>
  <si>
    <t>KUSI AGEMANG MAXWEL</t>
  </si>
  <si>
    <t>MENSAH OBED</t>
  </si>
  <si>
    <t>MUNTARI SULEMAN</t>
  </si>
  <si>
    <t>SARPONG KUSI BLESSING</t>
  </si>
  <si>
    <t>MUSAH IMRANA</t>
  </si>
  <si>
    <t>TOUTEGE CEPHAS</t>
  </si>
  <si>
    <t>YEBOAH BOAMPONG EMMANUEL</t>
  </si>
  <si>
    <t>F</t>
  </si>
  <si>
    <t>ACHEAMPONG ESTHERBEL</t>
  </si>
  <si>
    <t>ADAMS OSAA MARIAM</t>
  </si>
  <si>
    <t>AKOMEAH AMOAKOO MARGARET</t>
  </si>
  <si>
    <t>AMOASI MAVIS</t>
  </si>
  <si>
    <t>ANNAN ISSABELLA</t>
  </si>
  <si>
    <t>ANOWAH AFIA GENEVIEVE</t>
  </si>
  <si>
    <t>ANTWI BERNICE</t>
  </si>
  <si>
    <t>APPIAH FAUSTINA</t>
  </si>
  <si>
    <t>ARHIN ESTHER</t>
  </si>
  <si>
    <t>ASAREWAA MODESTA</t>
  </si>
  <si>
    <t>ASIAMAH ADOMA ADWOA</t>
  </si>
  <si>
    <t>BASHIRU ZAINAB</t>
  </si>
  <si>
    <t>BOAHEN JOSEPHINE</t>
  </si>
  <si>
    <t>BOAMAH GYAMFUAH VANESSA</t>
  </si>
  <si>
    <t>BORSIE DIVINA BLESSTINA</t>
  </si>
  <si>
    <t>DANSO CHRISTABEL</t>
  </si>
  <si>
    <t>DEMENYA CHARITY</t>
  </si>
  <si>
    <t>MARIDIYA TANIM</t>
  </si>
  <si>
    <t>MAYUBA JOYCE</t>
  </si>
  <si>
    <t>MENSAH AMPOMA BLESSING</t>
  </si>
  <si>
    <t>NAAB DORCAS</t>
  </si>
  <si>
    <t>NA-EEMATU NUHU</t>
  </si>
  <si>
    <t>NANA AMA NYARKO DELORIS</t>
  </si>
  <si>
    <t>OWUSU ANSAH ERICA</t>
  </si>
  <si>
    <t>RASHID RAMATU</t>
  </si>
  <si>
    <t>TAKYIWAH RACHEAL EMMA</t>
  </si>
  <si>
    <t>TEYE STEPHANIE EYRAM</t>
  </si>
  <si>
    <t>YEBOAH EMMANUELA</t>
  </si>
  <si>
    <t>YIN ISSABELLA</t>
  </si>
  <si>
    <t>ANNAN COMFORT</t>
  </si>
  <si>
    <t>NAMES</t>
  </si>
  <si>
    <t>SEX</t>
  </si>
  <si>
    <t>SUBJECTS</t>
  </si>
  <si>
    <t>TEACHERS</t>
  </si>
  <si>
    <t>ENGLISH LANG.</t>
  </si>
  <si>
    <t xml:space="preserve"> SOCIAL STUDIES</t>
  </si>
  <si>
    <t xml:space="preserve"> MATHEMATICS</t>
  </si>
  <si>
    <t xml:space="preserve"> INTEGRATED SCIENCE</t>
  </si>
  <si>
    <t xml:space="preserve"> R.M.E</t>
  </si>
  <si>
    <t xml:space="preserve"> I.C.T</t>
  </si>
  <si>
    <t xml:space="preserve"> GHANAIAN LANG.</t>
  </si>
  <si>
    <t xml:space="preserve"> B.D.T</t>
  </si>
  <si>
    <t xml:space="preserve"> FRENCH</t>
  </si>
  <si>
    <t>MR. IBRAHIM ADAMS</t>
  </si>
  <si>
    <t>MR. ALBERTA WILLIAMS</t>
  </si>
  <si>
    <t>MRS. REBECCA KUMA</t>
  </si>
  <si>
    <t>MRS. AMINA OSMAN</t>
  </si>
  <si>
    <t>MR. THOMAS EDISON</t>
  </si>
  <si>
    <t>MR. EDO TURKSON</t>
  </si>
  <si>
    <t>SIR AYITEY TETTEH</t>
  </si>
  <si>
    <t>MR. BAIDOO ASAMOAH</t>
  </si>
  <si>
    <t>SIR. GIDEON FRENCHMAN</t>
  </si>
  <si>
    <t>Subject One</t>
  </si>
  <si>
    <t>Subject Two</t>
  </si>
  <si>
    <t>Subject Three</t>
  </si>
  <si>
    <t>Subject Four</t>
  </si>
  <si>
    <t>Subject Five</t>
  </si>
  <si>
    <t>Subject Six</t>
  </si>
  <si>
    <t>Subject Seven</t>
  </si>
  <si>
    <t>Subject Eight</t>
  </si>
  <si>
    <t>Subject Nine</t>
  </si>
  <si>
    <t>Teacher’s Name:</t>
  </si>
  <si>
    <t>Term:</t>
  </si>
  <si>
    <t>Form/Class:</t>
  </si>
  <si>
    <t>Year:</t>
  </si>
  <si>
    <t xml:space="preserve">Subject: </t>
  </si>
  <si>
    <t>No. on Roll:</t>
  </si>
  <si>
    <t>S/N</t>
  </si>
  <si>
    <t xml:space="preserve">
CANDIDATE’S NAME</t>
  </si>
  <si>
    <t>POS</t>
  </si>
  <si>
    <t>GRADE</t>
  </si>
  <si>
    <t>60 MARKS 
SCALED TO
 50 MARKS
 TEST</t>
  </si>
  <si>
    <t>OVER 
TOTAL 
50%  + 50%</t>
  </si>
  <si>
    <t>TOTAL</t>
  </si>
  <si>
    <t>RAW SCORE</t>
  </si>
  <si>
    <t>AGGR</t>
  </si>
  <si>
    <t>`13</t>
  </si>
  <si>
    <t>AVERAGE</t>
  </si>
  <si>
    <t>NUMBER</t>
  </si>
  <si>
    <t>PERCENTAGE</t>
  </si>
  <si>
    <t>OVERALL</t>
  </si>
  <si>
    <t>NO.</t>
  </si>
  <si>
    <t xml:space="preserve"> %</t>
  </si>
  <si>
    <t>PASSED:</t>
  </si>
  <si>
    <t>FAILED: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</si>
</sst>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0"/>
      <name val="Arial"/>
      <family val="2"/>
      <charset val="1"/>
    </font>
    <font>
      <sz val="12"/>
      <name val="Arial"/>
      <family val="2"/>
      <charset val="1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9"/>
      <name val="Arial"/>
      <family val="2"/>
      <charset val="1"/>
    </font>
    <font>
      <b/>
      <sz val="10"/>
      <color theme="0"/>
      <name val="Arial"/>
      <family val="2"/>
    </font>
    <font>
      <sz val="14"/>
      <name val="Arial"/>
      <family val="2"/>
      <charset val="1"/>
    </font>
    <font>
      <sz val="14"/>
      <name val="Arial"/>
      <family val="2"/>
    </font>
    <font>
      <sz val="12"/>
      <name val="Arial"/>
      <family val="2"/>
    </font>
    <font>
      <sz val="10"/>
      <name val="FreeSans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6" fillId="0" borderId="0"/>
    <xf numFmtId="9" fontId="16" fillId="0" borderId="0" applyBorder="0" applyProtection="0"/>
  </cellStyleXfs>
  <cellXfs count="113">
    <xf numFmtId="0" fontId="0" fillId="0" borderId="0" xfId="0"/>
    <xf numFmtId="1" fontId="1" fillId="0" borderId="1" xfId="0" applyNumberFormat="1" applyFont="1" applyFill="1" applyBorder="1" applyAlignment="1" applyProtection="1">
      <alignment horizontal="center"/>
      <protection locked="0"/>
    </xf>
    <xf numFmtId="1" fontId="2" fillId="0" borderId="2" xfId="0" applyNumberFormat="1" applyFont="1" applyFill="1" applyBorder="1" applyAlignment="1" applyProtection="1">
      <protection locked="0"/>
    </xf>
    <xf numFmtId="1" fontId="2" fillId="0" borderId="1" xfId="0" applyNumberFormat="1" applyFont="1" applyFill="1" applyBorder="1" applyAlignment="1" applyProtection="1">
      <protection locked="0"/>
    </xf>
    <xf numFmtId="1" fontId="1" fillId="0" borderId="3" xfId="0" applyNumberFormat="1" applyFont="1" applyFill="1" applyBorder="1" applyAlignment="1" applyProtection="1">
      <alignment horizontal="center"/>
      <protection locked="0"/>
    </xf>
    <xf numFmtId="1" fontId="2" fillId="0" borderId="3" xfId="0" applyNumberFormat="1" applyFont="1" applyFill="1" applyBorder="1" applyAlignment="1" applyProtection="1">
      <protection locked="0"/>
    </xf>
    <xf numFmtId="0" fontId="4" fillId="0" borderId="0" xfId="0" applyFont="1"/>
    <xf numFmtId="0" fontId="4" fillId="0" borderId="4" xfId="0" applyFont="1" applyBorder="1"/>
    <xf numFmtId="0" fontId="2" fillId="0" borderId="4" xfId="0" applyFont="1" applyBorder="1" applyAlignment="1"/>
    <xf numFmtId="0" fontId="2" fillId="0" borderId="4" xfId="0" applyFont="1" applyBorder="1"/>
    <xf numFmtId="0" fontId="3" fillId="0" borderId="4" xfId="0" applyFont="1" applyBorder="1"/>
    <xf numFmtId="1" fontId="7" fillId="2" borderId="0" xfId="1" applyNumberFormat="1" applyFont="1" applyFill="1" applyAlignment="1" applyProtection="1">
      <alignment horizontal="center"/>
      <protection hidden="1"/>
    </xf>
    <xf numFmtId="1" fontId="7" fillId="2" borderId="0" xfId="1" applyNumberFormat="1" applyFont="1" applyFill="1" applyProtection="1">
      <protection hidden="1"/>
    </xf>
    <xf numFmtId="1" fontId="6" fillId="2" borderId="0" xfId="1" applyNumberFormat="1" applyFill="1" applyProtection="1">
      <protection hidden="1"/>
    </xf>
    <xf numFmtId="1" fontId="6" fillId="2" borderId="0" xfId="1" applyNumberFormat="1" applyFill="1" applyAlignment="1" applyProtection="1">
      <alignment horizontal="center"/>
      <protection hidden="1"/>
    </xf>
    <xf numFmtId="1" fontId="6" fillId="0" borderId="0" xfId="1" applyNumberFormat="1" applyProtection="1">
      <protection hidden="1"/>
    </xf>
    <xf numFmtId="1" fontId="7" fillId="2" borderId="0" xfId="1" applyNumberFormat="1" applyFont="1" applyFill="1" applyBorder="1" applyAlignment="1" applyProtection="1">
      <alignment horizontal="center"/>
      <protection hidden="1"/>
    </xf>
    <xf numFmtId="1" fontId="7" fillId="2" borderId="0" xfId="1" applyNumberFormat="1" applyFont="1" applyFill="1" applyBorder="1" applyProtection="1">
      <protection hidden="1"/>
    </xf>
    <xf numFmtId="1" fontId="8" fillId="0" borderId="5" xfId="1" applyNumberFormat="1" applyFont="1" applyBorder="1" applyAlignment="1" applyProtection="1">
      <alignment horizontal="center"/>
      <protection hidden="1"/>
    </xf>
    <xf numFmtId="1" fontId="8" fillId="0" borderId="6" xfId="1" applyNumberFormat="1" applyFont="1" applyBorder="1" applyAlignment="1" applyProtection="1">
      <alignment horizontal="center"/>
      <protection hidden="1"/>
    </xf>
    <xf numFmtId="1" fontId="8" fillId="0" borderId="7" xfId="1" applyNumberFormat="1" applyFont="1" applyBorder="1" applyAlignment="1" applyProtection="1">
      <alignment horizontal="center"/>
      <protection hidden="1"/>
    </xf>
    <xf numFmtId="1" fontId="8" fillId="2" borderId="0" xfId="1" applyNumberFormat="1" applyFont="1" applyFill="1" applyAlignment="1" applyProtection="1">
      <alignment horizontal="center"/>
      <protection hidden="1"/>
    </xf>
    <xf numFmtId="1" fontId="8" fillId="2" borderId="0" xfId="1" applyNumberFormat="1" applyFont="1" applyFill="1" applyProtection="1">
      <protection hidden="1"/>
    </xf>
    <xf numFmtId="1" fontId="6" fillId="2" borderId="0" xfId="1" applyNumberFormat="1" applyFill="1" applyBorder="1" applyProtection="1">
      <protection hidden="1"/>
    </xf>
    <xf numFmtId="1" fontId="9" fillId="0" borderId="5" xfId="1" applyNumberFormat="1" applyFont="1" applyBorder="1" applyAlignment="1" applyProtection="1">
      <alignment horizontal="left" vertical="center" wrapText="1"/>
      <protection hidden="1"/>
    </xf>
    <xf numFmtId="1" fontId="9" fillId="0" borderId="6" xfId="1" applyNumberFormat="1" applyFont="1" applyBorder="1" applyAlignment="1" applyProtection="1">
      <alignment horizontal="left" vertical="center" wrapText="1"/>
      <protection hidden="1"/>
    </xf>
    <xf numFmtId="1" fontId="9" fillId="0" borderId="7" xfId="1" applyNumberFormat="1" applyFont="1" applyBorder="1" applyAlignment="1" applyProtection="1">
      <alignment horizontal="left" vertical="center" wrapText="1"/>
      <protection hidden="1"/>
    </xf>
    <xf numFmtId="1" fontId="7" fillId="0" borderId="6" xfId="1" applyNumberFormat="1" applyFont="1" applyBorder="1" applyAlignment="1" applyProtection="1">
      <alignment horizontal="center" vertical="center"/>
      <protection locked="0"/>
    </xf>
    <xf numFmtId="1" fontId="7" fillId="0" borderId="7" xfId="1" applyNumberFormat="1" applyFont="1" applyBorder="1" applyAlignment="1" applyProtection="1">
      <alignment horizontal="center" vertical="center"/>
      <protection locked="0"/>
    </xf>
    <xf numFmtId="1" fontId="7" fillId="0" borderId="8" xfId="1" applyNumberFormat="1" applyFont="1" applyBorder="1" applyAlignment="1" applyProtection="1">
      <alignment vertical="center"/>
      <protection hidden="1"/>
    </xf>
    <xf numFmtId="1" fontId="7" fillId="0" borderId="8" xfId="1" applyNumberFormat="1" applyFont="1" applyBorder="1" applyAlignment="1" applyProtection="1">
      <alignment horizontal="center" vertical="center"/>
      <protection hidden="1"/>
    </xf>
    <xf numFmtId="1" fontId="9" fillId="0" borderId="8" xfId="1" applyNumberFormat="1" applyFont="1" applyBorder="1" applyAlignment="1" applyProtection="1">
      <alignment vertical="center"/>
      <protection hidden="1"/>
    </xf>
    <xf numFmtId="1" fontId="7" fillId="0" borderId="5" xfId="1" applyNumberFormat="1" applyFont="1" applyBorder="1" applyAlignment="1" applyProtection="1">
      <alignment horizontal="center" vertical="center"/>
      <protection hidden="1"/>
    </xf>
    <xf numFmtId="1" fontId="7" fillId="0" borderId="7" xfId="1" applyNumberFormat="1" applyFont="1" applyBorder="1" applyAlignment="1" applyProtection="1">
      <alignment horizontal="center" vertical="center"/>
      <protection hidden="1"/>
    </xf>
    <xf numFmtId="1" fontId="7" fillId="2" borderId="9" xfId="1" applyNumberFormat="1" applyFont="1" applyFill="1" applyBorder="1" applyAlignment="1" applyProtection="1">
      <alignment horizontal="center"/>
      <protection hidden="1"/>
    </xf>
    <xf numFmtId="1" fontId="7" fillId="0" borderId="6" xfId="1" applyNumberFormat="1" applyFont="1" applyBorder="1" applyAlignment="1" applyProtection="1">
      <alignment horizontal="center" vertical="center"/>
      <protection hidden="1"/>
    </xf>
    <xf numFmtId="1" fontId="7" fillId="0" borderId="0" xfId="1" applyNumberFormat="1" applyFont="1" applyAlignment="1" applyProtection="1">
      <alignment horizontal="center"/>
      <protection hidden="1"/>
    </xf>
    <xf numFmtId="1" fontId="6" fillId="2" borderId="0" xfId="1" applyNumberFormat="1" applyFont="1" applyFill="1" applyBorder="1" applyAlignment="1" applyProtection="1">
      <alignment horizontal="left" vertical="center"/>
      <protection hidden="1"/>
    </xf>
    <xf numFmtId="1" fontId="6" fillId="2" borderId="6" xfId="1" applyNumberFormat="1" applyFill="1" applyBorder="1" applyProtection="1">
      <protection hidden="1"/>
    </xf>
    <xf numFmtId="1" fontId="6" fillId="2" borderId="0" xfId="1" applyNumberFormat="1" applyFill="1" applyBorder="1" applyAlignment="1" applyProtection="1">
      <alignment horizontal="center"/>
      <protection hidden="1"/>
    </xf>
    <xf numFmtId="1" fontId="9" fillId="0" borderId="8" xfId="1" applyNumberFormat="1" applyFont="1" applyBorder="1" applyAlignment="1" applyProtection="1">
      <alignment horizontal="center" vertical="center"/>
      <protection hidden="1"/>
    </xf>
    <xf numFmtId="1" fontId="10" fillId="3" borderId="8" xfId="1" applyNumberFormat="1" applyFont="1" applyFill="1" applyBorder="1" applyAlignment="1" applyProtection="1">
      <alignment horizontal="center" vertical="center" wrapText="1"/>
      <protection hidden="1"/>
    </xf>
    <xf numFmtId="1" fontId="11" fillId="3" borderId="8" xfId="1" applyNumberFormat="1" applyFont="1" applyFill="1" applyBorder="1" applyAlignment="1" applyProtection="1">
      <alignment horizontal="center" vertical="center" wrapText="1"/>
      <protection hidden="1"/>
    </xf>
    <xf numFmtId="0" fontId="11" fillId="3" borderId="8" xfId="1" applyNumberFormat="1" applyFont="1" applyFill="1" applyBorder="1" applyAlignment="1" applyProtection="1">
      <alignment horizontal="center" vertical="center" wrapText="1"/>
      <protection hidden="1"/>
    </xf>
    <xf numFmtId="1" fontId="11" fillId="3" borderId="10" xfId="1" applyNumberFormat="1" applyFont="1" applyFill="1" applyBorder="1" applyAlignment="1" applyProtection="1">
      <alignment horizontal="center" vertical="center"/>
      <protection hidden="1"/>
    </xf>
    <xf numFmtId="1" fontId="11" fillId="3" borderId="2" xfId="1" applyNumberFormat="1" applyFont="1" applyFill="1" applyBorder="1" applyAlignment="1" applyProtection="1">
      <alignment horizontal="center" vertical="center" wrapText="1"/>
      <protection hidden="1"/>
    </xf>
    <xf numFmtId="0" fontId="11" fillId="3" borderId="2" xfId="1" applyNumberFormat="1" applyFont="1" applyFill="1" applyBorder="1" applyAlignment="1" applyProtection="1">
      <alignment horizontal="center" vertical="center" wrapText="1"/>
      <protection hidden="1"/>
    </xf>
    <xf numFmtId="1" fontId="11" fillId="3" borderId="11" xfId="1" applyNumberFormat="1" applyFont="1" applyFill="1" applyBorder="1" applyAlignment="1" applyProtection="1">
      <alignment horizontal="center" vertical="center"/>
      <protection hidden="1"/>
    </xf>
    <xf numFmtId="1" fontId="11" fillId="3" borderId="1" xfId="1" applyNumberFormat="1" applyFont="1" applyFill="1" applyBorder="1" applyAlignment="1" applyProtection="1">
      <alignment horizontal="center" vertical="center" wrapText="1"/>
      <protection hidden="1"/>
    </xf>
    <xf numFmtId="0" fontId="11" fillId="3" borderId="1" xfId="1" applyNumberFormat="1" applyFont="1" applyFill="1" applyBorder="1" applyAlignment="1" applyProtection="1">
      <alignment horizontal="center" vertical="center" wrapText="1"/>
      <protection hidden="1"/>
    </xf>
    <xf numFmtId="1" fontId="11" fillId="3" borderId="12" xfId="1" applyNumberFormat="1" applyFont="1" applyFill="1" applyBorder="1" applyAlignment="1" applyProtection="1">
      <alignment horizontal="center" vertical="center"/>
      <protection hidden="1"/>
    </xf>
    <xf numFmtId="1" fontId="12" fillId="4" borderId="13" xfId="1" applyNumberFormat="1" applyFont="1" applyFill="1" applyBorder="1" applyAlignment="1" applyProtection="1">
      <alignment horizontal="center"/>
      <protection hidden="1"/>
    </xf>
    <xf numFmtId="1" fontId="12" fillId="4" borderId="13" xfId="1" applyNumberFormat="1" applyFont="1" applyFill="1" applyBorder="1" applyAlignment="1" applyProtection="1">
      <alignment horizontal="center" wrapText="1"/>
      <protection hidden="1"/>
    </xf>
    <xf numFmtId="1" fontId="11" fillId="3" borderId="14" xfId="1" applyNumberFormat="1" applyFont="1" applyFill="1" applyBorder="1" applyAlignment="1" applyProtection="1">
      <alignment horizontal="center" vertical="center" wrapText="1"/>
      <protection hidden="1"/>
    </xf>
    <xf numFmtId="1" fontId="11" fillId="3" borderId="15" xfId="1" applyNumberFormat="1" applyFont="1" applyFill="1" applyBorder="1" applyAlignment="1" applyProtection="1">
      <alignment horizontal="center" vertical="center" wrapText="1"/>
      <protection hidden="1"/>
    </xf>
    <xf numFmtId="0" fontId="11" fillId="3" borderId="15" xfId="1" applyNumberFormat="1" applyFont="1" applyFill="1" applyBorder="1" applyAlignment="1" applyProtection="1">
      <alignment horizontal="center" vertical="center" wrapText="1"/>
      <protection hidden="1"/>
    </xf>
    <xf numFmtId="1" fontId="11" fillId="3" borderId="16" xfId="1" applyNumberFormat="1" applyFont="1" applyFill="1" applyBorder="1" applyAlignment="1" applyProtection="1">
      <alignment horizontal="center" vertical="center"/>
      <protection hidden="1"/>
    </xf>
    <xf numFmtId="1" fontId="12" fillId="4" borderId="17" xfId="1" applyNumberFormat="1" applyFont="1" applyFill="1" applyBorder="1" applyAlignment="1" applyProtection="1">
      <alignment horizontal="center"/>
      <protection hidden="1"/>
    </xf>
    <xf numFmtId="1" fontId="12" fillId="4" borderId="17" xfId="1" applyNumberFormat="1" applyFont="1" applyFill="1" applyBorder="1" applyAlignment="1" applyProtection="1">
      <alignment horizontal="center" wrapText="1"/>
      <protection hidden="1"/>
    </xf>
    <xf numFmtId="1" fontId="13" fillId="0" borderId="1" xfId="1" applyNumberFormat="1" applyFont="1" applyFill="1" applyBorder="1" applyAlignment="1" applyProtection="1">
      <alignment horizontal="left"/>
      <protection locked="0"/>
    </xf>
    <xf numFmtId="1" fontId="14" fillId="0" borderId="2" xfId="1" applyNumberFormat="1" applyFont="1" applyFill="1" applyBorder="1" applyAlignment="1" applyProtection="1">
      <alignment horizontal="center" wrapText="1"/>
      <protection locked="0"/>
    </xf>
    <xf numFmtId="1" fontId="8" fillId="0" borderId="1" xfId="1" applyNumberFormat="1" applyFont="1" applyFill="1" applyBorder="1" applyAlignment="1" applyProtection="1">
      <alignment horizontal="center" wrapText="1"/>
      <protection hidden="1"/>
    </xf>
    <xf numFmtId="1" fontId="8" fillId="0" borderId="1" xfId="1" applyNumberFormat="1" applyFont="1" applyFill="1" applyBorder="1" applyAlignment="1" applyProtection="1">
      <alignment horizontal="center"/>
      <protection hidden="1"/>
    </xf>
    <xf numFmtId="1" fontId="14" fillId="0" borderId="1" xfId="1" applyNumberFormat="1" applyFont="1" applyFill="1" applyBorder="1" applyAlignment="1" applyProtection="1">
      <alignment horizontal="center"/>
      <protection locked="0"/>
    </xf>
    <xf numFmtId="1" fontId="14" fillId="0" borderId="1" xfId="1" applyNumberFormat="1" applyFont="1" applyFill="1" applyBorder="1" applyAlignment="1" applyProtection="1">
      <alignment horizontal="center"/>
      <protection hidden="1"/>
    </xf>
    <xf numFmtId="1" fontId="14" fillId="0" borderId="12" xfId="1" applyNumberFormat="1" applyFont="1" applyFill="1" applyBorder="1" applyAlignment="1" applyProtection="1">
      <alignment horizontal="center"/>
      <protection hidden="1"/>
    </xf>
    <xf numFmtId="1" fontId="14" fillId="2" borderId="0" xfId="1" applyNumberFormat="1" applyFont="1" applyFill="1" applyAlignment="1" applyProtection="1">
      <protection hidden="1"/>
    </xf>
    <xf numFmtId="1" fontId="8" fillId="0" borderId="2" xfId="1" applyNumberFormat="1" applyFont="1" applyFill="1" applyBorder="1" applyAlignment="1" applyProtection="1">
      <alignment horizontal="center" wrapText="1"/>
      <protection hidden="1"/>
    </xf>
    <xf numFmtId="1" fontId="14" fillId="0" borderId="18" xfId="1" applyNumberFormat="1" applyFont="1" applyFill="1" applyBorder="1" applyAlignment="1" applyProtection="1">
      <alignment horizontal="center"/>
      <protection locked="0"/>
    </xf>
    <xf numFmtId="1" fontId="8" fillId="0" borderId="18" xfId="1" applyNumberFormat="1" applyFont="1" applyFill="1" applyBorder="1" applyAlignment="1" applyProtection="1">
      <alignment horizontal="center"/>
      <protection hidden="1"/>
    </xf>
    <xf numFmtId="1" fontId="14" fillId="0" borderId="18" xfId="1" applyNumberFormat="1" applyFont="1" applyFill="1" applyBorder="1" applyAlignment="1" applyProtection="1">
      <alignment horizontal="center"/>
      <protection hidden="1"/>
    </xf>
    <xf numFmtId="1" fontId="14" fillId="0" borderId="19" xfId="1" applyNumberFormat="1" applyFont="1" applyFill="1" applyBorder="1" applyAlignment="1" applyProtection="1">
      <alignment horizontal="center"/>
      <protection hidden="1"/>
    </xf>
    <xf numFmtId="1" fontId="14" fillId="2" borderId="0" xfId="1" applyNumberFormat="1" applyFont="1" applyFill="1" applyProtection="1">
      <protection hidden="1"/>
    </xf>
    <xf numFmtId="1" fontId="14" fillId="0" borderId="11" xfId="1" applyNumberFormat="1" applyFont="1" applyBorder="1" applyAlignment="1" applyProtection="1">
      <alignment horizontal="center"/>
      <protection hidden="1"/>
    </xf>
    <xf numFmtId="1" fontId="15" fillId="0" borderId="0" xfId="1" applyNumberFormat="1" applyFont="1" applyBorder="1" applyAlignment="1" applyProtection="1">
      <alignment horizontal="center"/>
      <protection hidden="1"/>
    </xf>
    <xf numFmtId="1" fontId="14" fillId="0" borderId="20" xfId="1" applyNumberFormat="1" applyFont="1" applyFill="1" applyBorder="1" applyAlignment="1" applyProtection="1">
      <alignment horizontal="center"/>
      <protection hidden="1"/>
    </xf>
    <xf numFmtId="1" fontId="14" fillId="0" borderId="12" xfId="1" applyNumberFormat="1" applyFont="1" applyBorder="1" applyAlignment="1" applyProtection="1">
      <alignment horizontal="center"/>
      <protection hidden="1"/>
    </xf>
    <xf numFmtId="1" fontId="14" fillId="5" borderId="1" xfId="1" applyNumberFormat="1" applyFont="1" applyFill="1" applyBorder="1" applyAlignment="1" applyProtection="1">
      <alignment horizontal="center"/>
      <protection locked="0"/>
    </xf>
    <xf numFmtId="1" fontId="14" fillId="0" borderId="1" xfId="1" applyNumberFormat="1" applyFont="1" applyFill="1" applyBorder="1" applyAlignment="1" applyProtection="1">
      <protection locked="0"/>
    </xf>
    <xf numFmtId="1" fontId="14" fillId="2" borderId="0" xfId="1" applyNumberFormat="1" applyFont="1" applyFill="1" applyAlignment="1" applyProtection="1">
      <alignment horizontal="center"/>
      <protection hidden="1"/>
    </xf>
    <xf numFmtId="1" fontId="14" fillId="0" borderId="14" xfId="1" applyNumberFormat="1" applyFont="1" applyFill="1" applyBorder="1" applyAlignment="1" applyProtection="1">
      <protection locked="0"/>
    </xf>
    <xf numFmtId="1" fontId="8" fillId="0" borderId="14" xfId="1" applyNumberFormat="1" applyFont="1" applyFill="1" applyBorder="1" applyAlignment="1" applyProtection="1">
      <alignment horizontal="center" wrapText="1"/>
      <protection hidden="1"/>
    </xf>
    <xf numFmtId="1" fontId="14" fillId="0" borderId="14" xfId="1" applyNumberFormat="1" applyFont="1" applyFill="1" applyBorder="1" applyAlignment="1" applyProtection="1">
      <alignment horizontal="center"/>
      <protection locked="0"/>
    </xf>
    <xf numFmtId="1" fontId="8" fillId="0" borderId="14" xfId="1" applyNumberFormat="1" applyFont="1" applyFill="1" applyBorder="1" applyAlignment="1" applyProtection="1">
      <alignment horizontal="center"/>
      <protection hidden="1"/>
    </xf>
    <xf numFmtId="1" fontId="14" fillId="0" borderId="14" xfId="1" applyNumberFormat="1" applyFont="1" applyFill="1" applyBorder="1" applyAlignment="1" applyProtection="1">
      <alignment horizontal="center"/>
      <protection hidden="1"/>
    </xf>
    <xf numFmtId="1" fontId="14" fillId="0" borderId="21" xfId="1" applyNumberFormat="1" applyFont="1" applyFill="1" applyBorder="1" applyAlignment="1" applyProtection="1">
      <alignment horizontal="center"/>
      <protection hidden="1"/>
    </xf>
    <xf numFmtId="1" fontId="14" fillId="0" borderId="22" xfId="1" applyNumberFormat="1" applyFont="1" applyFill="1" applyBorder="1" applyAlignment="1" applyProtection="1">
      <alignment horizontal="center"/>
      <protection hidden="1"/>
    </xf>
    <xf numFmtId="1" fontId="14" fillId="0" borderId="21" xfId="1" applyNumberFormat="1" applyFont="1" applyBorder="1" applyAlignment="1" applyProtection="1">
      <alignment horizontal="center"/>
      <protection hidden="1"/>
    </xf>
    <xf numFmtId="1" fontId="7" fillId="0" borderId="8" xfId="1" applyNumberFormat="1" applyFont="1" applyBorder="1" applyAlignment="1" applyProtection="1">
      <alignment horizontal="center"/>
      <protection hidden="1"/>
    </xf>
    <xf numFmtId="1" fontId="13" fillId="0" borderId="8" xfId="1" applyNumberFormat="1" applyFont="1" applyBorder="1" applyProtection="1">
      <protection hidden="1"/>
    </xf>
    <xf numFmtId="1" fontId="6" fillId="0" borderId="8" xfId="1" applyNumberFormat="1" applyBorder="1" applyAlignment="1" applyProtection="1">
      <alignment horizontal="center"/>
      <protection hidden="1"/>
    </xf>
    <xf numFmtId="1" fontId="7" fillId="6" borderId="5" xfId="1" applyNumberFormat="1" applyFont="1" applyFill="1" applyBorder="1" applyAlignment="1" applyProtection="1">
      <alignment horizontal="center"/>
      <protection hidden="1"/>
    </xf>
    <xf numFmtId="1" fontId="7" fillId="6" borderId="7" xfId="1" applyNumberFormat="1" applyFont="1" applyFill="1" applyBorder="1" applyAlignment="1" applyProtection="1">
      <alignment horizontal="center"/>
      <protection hidden="1"/>
    </xf>
    <xf numFmtId="1" fontId="9" fillId="6" borderId="8" xfId="1" applyNumberFormat="1" applyFont="1" applyFill="1" applyBorder="1" applyAlignment="1" applyProtection="1">
      <alignment horizontal="left"/>
      <protection hidden="1"/>
    </xf>
    <xf numFmtId="1" fontId="9" fillId="6" borderId="5" xfId="1" applyNumberFormat="1" applyFont="1" applyFill="1" applyBorder="1" applyAlignment="1" applyProtection="1">
      <alignment horizontal="center"/>
      <protection hidden="1"/>
    </xf>
    <xf numFmtId="1" fontId="9" fillId="6" borderId="7" xfId="1" applyNumberFormat="1" applyFont="1" applyFill="1" applyBorder="1" applyAlignment="1" applyProtection="1">
      <alignment horizontal="center"/>
      <protection hidden="1"/>
    </xf>
    <xf numFmtId="1" fontId="9" fillId="6" borderId="5" xfId="1" applyNumberFormat="1" applyFont="1" applyFill="1" applyBorder="1" applyAlignment="1" applyProtection="1">
      <protection hidden="1"/>
    </xf>
    <xf numFmtId="1" fontId="9" fillId="6" borderId="8" xfId="1" applyNumberFormat="1" applyFont="1" applyFill="1" applyBorder="1" applyAlignment="1" applyProtection="1">
      <protection hidden="1"/>
    </xf>
    <xf numFmtId="1" fontId="6" fillId="0" borderId="9" xfId="1" applyNumberFormat="1" applyBorder="1" applyProtection="1">
      <protection hidden="1"/>
    </xf>
    <xf numFmtId="1" fontId="6" fillId="0" borderId="0" xfId="1" applyNumberFormat="1" applyBorder="1" applyProtection="1">
      <protection hidden="1"/>
    </xf>
    <xf numFmtId="1" fontId="9" fillId="4" borderId="5" xfId="1" applyNumberFormat="1" applyFont="1" applyFill="1" applyBorder="1" applyAlignment="1" applyProtection="1">
      <alignment horizontal="left"/>
      <protection hidden="1"/>
    </xf>
    <xf numFmtId="1" fontId="9" fillId="4" borderId="7" xfId="1" applyNumberFormat="1" applyFont="1" applyFill="1" applyBorder="1" applyAlignment="1" applyProtection="1">
      <alignment horizontal="left"/>
      <protection hidden="1"/>
    </xf>
    <xf numFmtId="1" fontId="7" fillId="0" borderId="5" xfId="1" applyNumberFormat="1" applyFont="1" applyBorder="1" applyAlignment="1" applyProtection="1">
      <alignment horizontal="center"/>
      <protection hidden="1"/>
    </xf>
    <xf numFmtId="1" fontId="7" fillId="0" borderId="7" xfId="1" applyNumberFormat="1" applyFont="1" applyBorder="1" applyAlignment="1" applyProtection="1">
      <alignment horizontal="center"/>
      <protection hidden="1"/>
    </xf>
    <xf numFmtId="1" fontId="16" fillId="0" borderId="5" xfId="2" applyNumberFormat="1" applyBorder="1" applyAlignment="1" applyProtection="1">
      <alignment horizontal="center"/>
      <protection hidden="1"/>
    </xf>
    <xf numFmtId="1" fontId="16" fillId="0" borderId="6" xfId="2" applyNumberFormat="1" applyBorder="1" applyAlignment="1" applyProtection="1">
      <alignment horizontal="center"/>
      <protection hidden="1"/>
    </xf>
    <xf numFmtId="1" fontId="16" fillId="0" borderId="7" xfId="2" applyNumberFormat="1" applyBorder="1" applyAlignment="1" applyProtection="1">
      <alignment horizontal="center"/>
      <protection hidden="1"/>
    </xf>
    <xf numFmtId="1" fontId="7" fillId="0" borderId="5" xfId="1" applyNumberFormat="1" applyFont="1" applyBorder="1" applyAlignment="1" applyProtection="1">
      <protection hidden="1"/>
    </xf>
    <xf numFmtId="1" fontId="16" fillId="0" borderId="8" xfId="2" applyNumberFormat="1" applyBorder="1" applyAlignment="1" applyProtection="1">
      <protection hidden="1"/>
    </xf>
    <xf numFmtId="1" fontId="9" fillId="7" borderId="5" xfId="1" applyNumberFormat="1" applyFont="1" applyFill="1" applyBorder="1" applyAlignment="1" applyProtection="1">
      <alignment horizontal="left"/>
      <protection hidden="1"/>
    </xf>
    <xf numFmtId="1" fontId="9" fillId="7" borderId="7" xfId="1" applyNumberFormat="1" applyFont="1" applyFill="1" applyBorder="1" applyAlignment="1" applyProtection="1">
      <alignment horizontal="left"/>
      <protection hidden="1"/>
    </xf>
    <xf numFmtId="1" fontId="7" fillId="0" borderId="0" xfId="1" applyNumberFormat="1" applyFont="1" applyProtection="1">
      <protection hidden="1"/>
    </xf>
    <xf numFmtId="1" fontId="6" fillId="0" borderId="0" xfId="1" applyNumberFormat="1" applyAlignment="1" applyProtection="1">
      <alignment horizontal="center"/>
      <protection hidden="1"/>
    </xf>
  </cellXfs>
  <cellStyles count="3">
    <cellStyle name="Normal" xfId="0" builtinId="0"/>
    <cellStyle name="Normal 2" xfId="1" xr:uid="{4DAA0914-2D76-4827-AE43-BDA0DADA7F27}"/>
    <cellStyle name="Percent 2" xfId="2" xr:uid="{0F902338-90B9-4FA4-84D3-9FD4199F327F}"/>
  </cellStyles>
  <dxfs count="91"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rgb="FFFFFFCC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6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8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6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603250</xdr:colOff>
          <xdr:row>2</xdr:row>
          <xdr:rowOff>12700</xdr:rowOff>
        </xdr:from>
        <xdr:to>
          <xdr:col>1</xdr:col>
          <xdr:colOff>1993900</xdr:colOff>
          <xdr:row>4</xdr:row>
          <xdr:rowOff>165100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FB4BB3BC-E729-4608-B738-767AEA3D9E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Enter Student Marks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SSMENT%20AND%20REPORT%20CARD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MARY_INFO"/>
      <sheetName val="SETTINGS"/>
      <sheetName val="ASSESSMENT_"/>
      <sheetName val="ASSESSMENT"/>
      <sheetName val="REPORT_CARD"/>
      <sheetName val="POS"/>
    </sheetNames>
    <definedNames>
      <definedName name="ShowMarksEntryForm"/>
    </definedNames>
    <sheetDataSet>
      <sheetData sheetId="0"/>
      <sheetData sheetId="1">
        <row r="45">
          <cell r="B45" t="str">
            <v/>
          </cell>
          <cell r="C45" t="str">
            <v/>
          </cell>
        </row>
        <row r="46">
          <cell r="B46" t="str">
            <v/>
          </cell>
          <cell r="C46" t="str">
            <v/>
          </cell>
        </row>
        <row r="47">
          <cell r="B47" t="str">
            <v/>
          </cell>
          <cell r="C47" t="str">
            <v/>
          </cell>
        </row>
        <row r="48">
          <cell r="B48" t="str">
            <v/>
          </cell>
          <cell r="C48" t="str">
            <v/>
          </cell>
        </row>
        <row r="49">
          <cell r="B49" t="str">
            <v/>
          </cell>
          <cell r="C49" t="str">
            <v/>
          </cell>
        </row>
        <row r="50">
          <cell r="B50" t="str">
            <v/>
          </cell>
          <cell r="C50" t="str">
            <v/>
          </cell>
        </row>
        <row r="51">
          <cell r="B51" t="str">
            <v/>
          </cell>
          <cell r="C51" t="str">
            <v/>
          </cell>
        </row>
        <row r="52">
          <cell r="B52" t="str">
            <v/>
          </cell>
          <cell r="C52" t="str">
            <v/>
          </cell>
        </row>
        <row r="53">
          <cell r="B53" t="str">
            <v/>
          </cell>
          <cell r="C53" t="str">
            <v/>
          </cell>
        </row>
      </sheetData>
      <sheetData sheetId="2">
        <row r="12">
          <cell r="DF12" t="str">
            <v/>
          </cell>
        </row>
        <row r="13">
          <cell r="DF13" t="str">
            <v/>
          </cell>
        </row>
        <row r="14">
          <cell r="DF14" t="str">
            <v/>
          </cell>
        </row>
        <row r="15">
          <cell r="DF15" t="str">
            <v/>
          </cell>
        </row>
        <row r="16">
          <cell r="DF16" t="str">
            <v/>
          </cell>
        </row>
        <row r="17">
          <cell r="DF17" t="str">
            <v/>
          </cell>
        </row>
        <row r="18">
          <cell r="DF18" t="str">
            <v/>
          </cell>
        </row>
        <row r="19">
          <cell r="DF19" t="str">
            <v/>
          </cell>
        </row>
        <row r="20">
          <cell r="DF20" t="str">
            <v/>
          </cell>
        </row>
        <row r="21">
          <cell r="DF21" t="str">
            <v/>
          </cell>
        </row>
        <row r="22">
          <cell r="DF22" t="str">
            <v/>
          </cell>
        </row>
        <row r="23">
          <cell r="DF23" t="str">
            <v/>
          </cell>
        </row>
        <row r="24">
          <cell r="DF24" t="str">
            <v/>
          </cell>
        </row>
        <row r="25">
          <cell r="DF25" t="str">
            <v/>
          </cell>
        </row>
        <row r="26">
          <cell r="DF26" t="str">
            <v/>
          </cell>
        </row>
        <row r="27">
          <cell r="DF27" t="str">
            <v/>
          </cell>
        </row>
        <row r="28">
          <cell r="DF28" t="str">
            <v/>
          </cell>
        </row>
        <row r="29">
          <cell r="DF29" t="str">
            <v/>
          </cell>
        </row>
        <row r="30">
          <cell r="DF30" t="str">
            <v/>
          </cell>
        </row>
        <row r="31">
          <cell r="DF31" t="str">
            <v/>
          </cell>
        </row>
        <row r="32">
          <cell r="DF32" t="str">
            <v/>
          </cell>
        </row>
        <row r="33">
          <cell r="DF33" t="str">
            <v/>
          </cell>
        </row>
        <row r="34">
          <cell r="DF34" t="str">
            <v/>
          </cell>
        </row>
        <row r="35">
          <cell r="DF35" t="str">
            <v/>
          </cell>
        </row>
        <row r="36">
          <cell r="DF36" t="str">
            <v/>
          </cell>
        </row>
        <row r="37">
          <cell r="DF37" t="str">
            <v/>
          </cell>
        </row>
        <row r="38">
          <cell r="DF38" t="str">
            <v/>
          </cell>
        </row>
        <row r="39">
          <cell r="DF39" t="str">
            <v/>
          </cell>
        </row>
        <row r="40">
          <cell r="DF40" t="str">
            <v/>
          </cell>
        </row>
        <row r="41">
          <cell r="DF41" t="str">
            <v/>
          </cell>
        </row>
        <row r="42">
          <cell r="DF42" t="str">
            <v/>
          </cell>
        </row>
        <row r="43">
          <cell r="DF43" t="str">
            <v/>
          </cell>
        </row>
        <row r="44">
          <cell r="DF44" t="str">
            <v/>
          </cell>
        </row>
        <row r="45">
          <cell r="DF45" t="str">
            <v/>
          </cell>
        </row>
        <row r="46">
          <cell r="DF46" t="str">
            <v/>
          </cell>
        </row>
        <row r="47">
          <cell r="DF47" t="str">
            <v/>
          </cell>
        </row>
        <row r="48">
          <cell r="DF48" t="str">
            <v/>
          </cell>
        </row>
        <row r="49">
          <cell r="DF49" t="str">
            <v/>
          </cell>
        </row>
        <row r="50">
          <cell r="DF50" t="str">
            <v/>
          </cell>
        </row>
        <row r="51">
          <cell r="DF51" t="str">
            <v/>
          </cell>
        </row>
        <row r="52">
          <cell r="DF52" t="str">
            <v/>
          </cell>
        </row>
        <row r="53">
          <cell r="DF53" t="str">
            <v/>
          </cell>
        </row>
        <row r="54">
          <cell r="DF54" t="str">
            <v/>
          </cell>
        </row>
        <row r="55">
          <cell r="DF55" t="str">
            <v/>
          </cell>
        </row>
        <row r="56">
          <cell r="DF56" t="str">
            <v/>
          </cell>
        </row>
        <row r="57">
          <cell r="DF57" t="str">
            <v/>
          </cell>
        </row>
        <row r="58">
          <cell r="DF58" t="str">
            <v/>
          </cell>
        </row>
        <row r="59">
          <cell r="DF59" t="str">
            <v/>
          </cell>
        </row>
        <row r="60">
          <cell r="DF60" t="str">
            <v/>
          </cell>
        </row>
        <row r="61">
          <cell r="DF61" t="str">
            <v/>
          </cell>
        </row>
        <row r="62">
          <cell r="DF62" t="str">
            <v/>
          </cell>
        </row>
        <row r="63">
          <cell r="DF63" t="str">
            <v/>
          </cell>
        </row>
        <row r="64">
          <cell r="DF64" t="str">
            <v/>
          </cell>
        </row>
        <row r="65">
          <cell r="DF65" t="str">
            <v/>
          </cell>
        </row>
        <row r="66">
          <cell r="DF66" t="str">
            <v/>
          </cell>
        </row>
        <row r="67">
          <cell r="DF67" t="str">
            <v/>
          </cell>
        </row>
        <row r="68">
          <cell r="DF68" t="str">
            <v/>
          </cell>
        </row>
        <row r="69">
          <cell r="DF69" t="str">
            <v/>
          </cell>
        </row>
        <row r="70">
          <cell r="DF70" t="str">
            <v/>
          </cell>
        </row>
        <row r="71">
          <cell r="DF71" t="str">
            <v/>
          </cell>
        </row>
        <row r="72">
          <cell r="DF72" t="str">
            <v/>
          </cell>
        </row>
        <row r="73">
          <cell r="DF73" t="str">
            <v/>
          </cell>
        </row>
        <row r="74">
          <cell r="DF74" t="str">
            <v/>
          </cell>
        </row>
        <row r="75">
          <cell r="DF75" t="str">
            <v/>
          </cell>
        </row>
        <row r="76">
          <cell r="DF76" t="str">
            <v/>
          </cell>
        </row>
      </sheetData>
      <sheetData sheetId="3" refreshError="1"/>
      <sheetData sheetId="4">
        <row r="9">
          <cell r="B9" t="str">
            <v/>
          </cell>
        </row>
      </sheetData>
      <sheetData sheetId="5">
        <row r="4">
          <cell r="C4">
            <v>764</v>
          </cell>
        </row>
        <row r="5">
          <cell r="C5">
            <v>731</v>
          </cell>
        </row>
        <row r="6">
          <cell r="C6">
            <v>729</v>
          </cell>
        </row>
        <row r="7">
          <cell r="C7">
            <v>721</v>
          </cell>
        </row>
        <row r="8">
          <cell r="C8">
            <v>680</v>
          </cell>
        </row>
        <row r="9">
          <cell r="C9">
            <v>677</v>
          </cell>
        </row>
        <row r="10">
          <cell r="C10">
            <v>677</v>
          </cell>
        </row>
        <row r="11">
          <cell r="C11">
            <v>664</v>
          </cell>
        </row>
        <row r="12">
          <cell r="C12">
            <v>657</v>
          </cell>
        </row>
        <row r="13">
          <cell r="C13">
            <v>652</v>
          </cell>
        </row>
        <row r="14">
          <cell r="C14">
            <v>651</v>
          </cell>
        </row>
        <row r="15">
          <cell r="C15">
            <v>647</v>
          </cell>
        </row>
        <row r="16">
          <cell r="C16">
            <v>641</v>
          </cell>
        </row>
        <row r="17">
          <cell r="C17">
            <v>636</v>
          </cell>
        </row>
        <row r="18">
          <cell r="C18">
            <v>635</v>
          </cell>
        </row>
        <row r="19">
          <cell r="C19">
            <v>633</v>
          </cell>
        </row>
        <row r="20">
          <cell r="C20">
            <v>633</v>
          </cell>
        </row>
        <row r="21">
          <cell r="C21">
            <v>632</v>
          </cell>
        </row>
        <row r="22">
          <cell r="C22">
            <v>630</v>
          </cell>
        </row>
        <row r="23">
          <cell r="C23">
            <v>628</v>
          </cell>
        </row>
        <row r="24">
          <cell r="C24">
            <v>626</v>
          </cell>
        </row>
        <row r="25">
          <cell r="C25">
            <v>623</v>
          </cell>
        </row>
        <row r="26">
          <cell r="C26">
            <v>622</v>
          </cell>
        </row>
        <row r="27">
          <cell r="C27">
            <v>619</v>
          </cell>
        </row>
        <row r="28">
          <cell r="C28">
            <v>619</v>
          </cell>
        </row>
        <row r="29">
          <cell r="C29">
            <v>618</v>
          </cell>
        </row>
        <row r="30">
          <cell r="C30">
            <v>617</v>
          </cell>
        </row>
        <row r="31">
          <cell r="C31">
            <v>612</v>
          </cell>
        </row>
        <row r="32">
          <cell r="C32">
            <v>604</v>
          </cell>
        </row>
        <row r="33">
          <cell r="C33">
            <v>603</v>
          </cell>
        </row>
        <row r="34">
          <cell r="C34">
            <v>602</v>
          </cell>
        </row>
        <row r="35">
          <cell r="C35">
            <v>599</v>
          </cell>
        </row>
        <row r="36">
          <cell r="C36">
            <v>598</v>
          </cell>
        </row>
        <row r="37">
          <cell r="C37">
            <v>596</v>
          </cell>
        </row>
        <row r="38">
          <cell r="C38">
            <v>592</v>
          </cell>
        </row>
        <row r="39">
          <cell r="C39">
            <v>579</v>
          </cell>
        </row>
        <row r="40">
          <cell r="C40">
            <v>579</v>
          </cell>
        </row>
        <row r="41">
          <cell r="C41">
            <v>576</v>
          </cell>
        </row>
        <row r="42">
          <cell r="C42">
            <v>576</v>
          </cell>
        </row>
        <row r="43">
          <cell r="C43">
            <v>573</v>
          </cell>
        </row>
        <row r="44">
          <cell r="C44">
            <v>572</v>
          </cell>
        </row>
        <row r="45">
          <cell r="C45">
            <v>570</v>
          </cell>
        </row>
        <row r="46">
          <cell r="C46">
            <v>568</v>
          </cell>
        </row>
        <row r="47">
          <cell r="C47">
            <v>566</v>
          </cell>
        </row>
        <row r="48">
          <cell r="C48">
            <v>566</v>
          </cell>
        </row>
        <row r="49">
          <cell r="C49">
            <v>566</v>
          </cell>
        </row>
        <row r="50">
          <cell r="C50">
            <v>565</v>
          </cell>
        </row>
        <row r="51">
          <cell r="C51">
            <v>564</v>
          </cell>
        </row>
        <row r="52">
          <cell r="C52">
            <v>564</v>
          </cell>
        </row>
        <row r="53">
          <cell r="C53">
            <v>563</v>
          </cell>
        </row>
        <row r="54">
          <cell r="C54">
            <v>562</v>
          </cell>
        </row>
        <row r="55">
          <cell r="C55">
            <v>558</v>
          </cell>
        </row>
        <row r="56">
          <cell r="C56">
            <v>558</v>
          </cell>
        </row>
        <row r="57">
          <cell r="C57">
            <v>558</v>
          </cell>
        </row>
        <row r="58">
          <cell r="C58">
            <v>558</v>
          </cell>
        </row>
        <row r="59">
          <cell r="C59">
            <v>557</v>
          </cell>
        </row>
        <row r="60">
          <cell r="C60">
            <v>556</v>
          </cell>
        </row>
        <row r="61">
          <cell r="C61">
            <v>555</v>
          </cell>
        </row>
        <row r="62">
          <cell r="C62">
            <v>554</v>
          </cell>
        </row>
        <row r="63">
          <cell r="C63">
            <v>554</v>
          </cell>
        </row>
        <row r="64">
          <cell r="C64">
            <v>554</v>
          </cell>
        </row>
        <row r="65">
          <cell r="C65">
            <v>551</v>
          </cell>
        </row>
        <row r="66">
          <cell r="C66">
            <v>551</v>
          </cell>
        </row>
        <row r="67">
          <cell r="C67">
            <v>550</v>
          </cell>
        </row>
        <row r="68">
          <cell r="C68">
            <v>550</v>
          </cell>
        </row>
        <row r="69">
          <cell r="C69">
            <v>545</v>
          </cell>
        </row>
        <row r="70">
          <cell r="C70">
            <v>544</v>
          </cell>
        </row>
        <row r="71">
          <cell r="C71">
            <v>544</v>
          </cell>
        </row>
        <row r="72">
          <cell r="C72">
            <v>542</v>
          </cell>
        </row>
        <row r="73">
          <cell r="C73">
            <v>541</v>
          </cell>
        </row>
        <row r="74">
          <cell r="C74">
            <v>539</v>
          </cell>
        </row>
        <row r="75">
          <cell r="C75">
            <v>538</v>
          </cell>
        </row>
        <row r="76">
          <cell r="C76">
            <v>537</v>
          </cell>
        </row>
        <row r="77">
          <cell r="C77">
            <v>537</v>
          </cell>
        </row>
        <row r="78">
          <cell r="C78">
            <v>537</v>
          </cell>
        </row>
        <row r="79">
          <cell r="C79">
            <v>536</v>
          </cell>
        </row>
        <row r="80">
          <cell r="C80">
            <v>535</v>
          </cell>
        </row>
        <row r="81">
          <cell r="C81">
            <v>532</v>
          </cell>
        </row>
        <row r="82">
          <cell r="C82">
            <v>530</v>
          </cell>
        </row>
        <row r="83">
          <cell r="C83">
            <v>528</v>
          </cell>
        </row>
        <row r="84">
          <cell r="C84">
            <v>526</v>
          </cell>
        </row>
        <row r="85">
          <cell r="C85">
            <v>525</v>
          </cell>
        </row>
        <row r="86">
          <cell r="C86">
            <v>524</v>
          </cell>
        </row>
        <row r="87">
          <cell r="C87">
            <v>524</v>
          </cell>
        </row>
        <row r="88">
          <cell r="C88">
            <v>524</v>
          </cell>
        </row>
        <row r="89">
          <cell r="C89">
            <v>523</v>
          </cell>
        </row>
        <row r="90">
          <cell r="C90">
            <v>522</v>
          </cell>
        </row>
        <row r="91">
          <cell r="C91">
            <v>521</v>
          </cell>
        </row>
        <row r="92">
          <cell r="C92">
            <v>520</v>
          </cell>
        </row>
        <row r="93">
          <cell r="C93">
            <v>520</v>
          </cell>
        </row>
        <row r="94">
          <cell r="C94">
            <v>518</v>
          </cell>
        </row>
        <row r="95">
          <cell r="C95">
            <v>518</v>
          </cell>
        </row>
        <row r="96">
          <cell r="C96">
            <v>515</v>
          </cell>
        </row>
        <row r="97">
          <cell r="C97">
            <v>515</v>
          </cell>
        </row>
        <row r="98">
          <cell r="C98">
            <v>515</v>
          </cell>
        </row>
        <row r="99">
          <cell r="C99">
            <v>515</v>
          </cell>
        </row>
        <row r="100">
          <cell r="C100">
            <v>513</v>
          </cell>
        </row>
        <row r="101">
          <cell r="C101">
            <v>513</v>
          </cell>
        </row>
        <row r="102">
          <cell r="C102">
            <v>513</v>
          </cell>
        </row>
        <row r="103">
          <cell r="C103">
            <v>512</v>
          </cell>
        </row>
        <row r="104">
          <cell r="C104">
            <v>512</v>
          </cell>
        </row>
        <row r="105">
          <cell r="C105">
            <v>511</v>
          </cell>
        </row>
        <row r="106">
          <cell r="C106">
            <v>511</v>
          </cell>
        </row>
        <row r="107">
          <cell r="C107">
            <v>509</v>
          </cell>
        </row>
        <row r="108">
          <cell r="C108">
            <v>508</v>
          </cell>
        </row>
        <row r="109">
          <cell r="C109">
            <v>507</v>
          </cell>
        </row>
        <row r="110">
          <cell r="C110">
            <v>506</v>
          </cell>
        </row>
        <row r="111">
          <cell r="C111">
            <v>506</v>
          </cell>
        </row>
        <row r="112">
          <cell r="C112">
            <v>506</v>
          </cell>
        </row>
        <row r="113">
          <cell r="C113">
            <v>506</v>
          </cell>
        </row>
        <row r="114">
          <cell r="C114">
            <v>506</v>
          </cell>
        </row>
        <row r="115">
          <cell r="C115">
            <v>503</v>
          </cell>
        </row>
        <row r="116">
          <cell r="C116">
            <v>503</v>
          </cell>
        </row>
        <row r="117">
          <cell r="C117">
            <v>500</v>
          </cell>
        </row>
        <row r="118">
          <cell r="C118">
            <v>499</v>
          </cell>
        </row>
        <row r="119">
          <cell r="C119">
            <v>498</v>
          </cell>
        </row>
        <row r="120">
          <cell r="C120">
            <v>496</v>
          </cell>
        </row>
        <row r="121">
          <cell r="C121">
            <v>496</v>
          </cell>
        </row>
        <row r="122">
          <cell r="C122">
            <v>496</v>
          </cell>
        </row>
        <row r="123">
          <cell r="C123">
            <v>496</v>
          </cell>
        </row>
        <row r="124">
          <cell r="C124">
            <v>493</v>
          </cell>
        </row>
        <row r="125">
          <cell r="C125">
            <v>493</v>
          </cell>
        </row>
        <row r="126">
          <cell r="C126">
            <v>492</v>
          </cell>
        </row>
        <row r="127">
          <cell r="C127">
            <v>491</v>
          </cell>
        </row>
        <row r="128">
          <cell r="C128">
            <v>490</v>
          </cell>
        </row>
        <row r="129">
          <cell r="C129">
            <v>490</v>
          </cell>
        </row>
        <row r="130">
          <cell r="C130">
            <v>489</v>
          </cell>
        </row>
        <row r="131">
          <cell r="C131">
            <v>489</v>
          </cell>
        </row>
        <row r="132">
          <cell r="C132">
            <v>489</v>
          </cell>
        </row>
        <row r="133">
          <cell r="C133">
            <v>488</v>
          </cell>
        </row>
        <row r="134">
          <cell r="C134">
            <v>486</v>
          </cell>
        </row>
        <row r="135">
          <cell r="C135">
            <v>486</v>
          </cell>
        </row>
        <row r="136">
          <cell r="C136">
            <v>486</v>
          </cell>
        </row>
        <row r="137">
          <cell r="C137">
            <v>485</v>
          </cell>
        </row>
        <row r="138">
          <cell r="C138">
            <v>484</v>
          </cell>
        </row>
        <row r="139">
          <cell r="C139">
            <v>482</v>
          </cell>
        </row>
        <row r="140">
          <cell r="C140">
            <v>481</v>
          </cell>
        </row>
        <row r="141">
          <cell r="C141">
            <v>481</v>
          </cell>
        </row>
        <row r="142">
          <cell r="C142">
            <v>481</v>
          </cell>
        </row>
        <row r="143">
          <cell r="C143">
            <v>480</v>
          </cell>
        </row>
        <row r="144">
          <cell r="C144">
            <v>478</v>
          </cell>
        </row>
        <row r="145">
          <cell r="C145">
            <v>478</v>
          </cell>
        </row>
        <row r="146">
          <cell r="C146">
            <v>478</v>
          </cell>
        </row>
        <row r="147">
          <cell r="C147">
            <v>478</v>
          </cell>
        </row>
        <row r="148">
          <cell r="C148">
            <v>476</v>
          </cell>
        </row>
        <row r="149">
          <cell r="C149">
            <v>476</v>
          </cell>
        </row>
        <row r="150">
          <cell r="C150">
            <v>476</v>
          </cell>
        </row>
        <row r="151">
          <cell r="C151">
            <v>475</v>
          </cell>
        </row>
        <row r="152">
          <cell r="C152">
            <v>474</v>
          </cell>
        </row>
        <row r="153">
          <cell r="C153">
            <v>472</v>
          </cell>
        </row>
        <row r="154">
          <cell r="C154">
            <v>472</v>
          </cell>
        </row>
        <row r="155">
          <cell r="C155">
            <v>469</v>
          </cell>
        </row>
        <row r="156">
          <cell r="C156">
            <v>469</v>
          </cell>
        </row>
        <row r="157">
          <cell r="C157">
            <v>467</v>
          </cell>
        </row>
        <row r="158">
          <cell r="C158">
            <v>463</v>
          </cell>
        </row>
        <row r="159">
          <cell r="C159">
            <v>462</v>
          </cell>
        </row>
        <row r="160">
          <cell r="C160">
            <v>462</v>
          </cell>
        </row>
        <row r="161">
          <cell r="C161">
            <v>461</v>
          </cell>
        </row>
        <row r="162">
          <cell r="C162">
            <v>459</v>
          </cell>
        </row>
        <row r="163">
          <cell r="C163">
            <v>458</v>
          </cell>
        </row>
        <row r="164">
          <cell r="C164">
            <v>458</v>
          </cell>
        </row>
        <row r="165">
          <cell r="C165">
            <v>457</v>
          </cell>
        </row>
        <row r="166">
          <cell r="C166">
            <v>454</v>
          </cell>
        </row>
        <row r="167">
          <cell r="C167">
            <v>454</v>
          </cell>
        </row>
        <row r="168">
          <cell r="C168">
            <v>453</v>
          </cell>
        </row>
        <row r="169">
          <cell r="C169">
            <v>453</v>
          </cell>
        </row>
        <row r="170">
          <cell r="C170">
            <v>451</v>
          </cell>
        </row>
        <row r="171">
          <cell r="C171">
            <v>450</v>
          </cell>
        </row>
        <row r="172">
          <cell r="C172">
            <v>450</v>
          </cell>
        </row>
        <row r="173">
          <cell r="C173">
            <v>449</v>
          </cell>
        </row>
        <row r="174">
          <cell r="C174">
            <v>449</v>
          </cell>
        </row>
        <row r="175">
          <cell r="C175">
            <v>447</v>
          </cell>
        </row>
        <row r="176">
          <cell r="C176">
            <v>447</v>
          </cell>
        </row>
        <row r="177">
          <cell r="C177">
            <v>445</v>
          </cell>
        </row>
        <row r="178">
          <cell r="C178">
            <v>442</v>
          </cell>
        </row>
        <row r="179">
          <cell r="C179">
            <v>441</v>
          </cell>
        </row>
        <row r="180">
          <cell r="C180">
            <v>439</v>
          </cell>
        </row>
        <row r="181">
          <cell r="C181">
            <v>439</v>
          </cell>
        </row>
        <row r="182">
          <cell r="C182">
            <v>438</v>
          </cell>
        </row>
        <row r="183">
          <cell r="C183">
            <v>437</v>
          </cell>
        </row>
        <row r="184">
          <cell r="C184">
            <v>436</v>
          </cell>
        </row>
        <row r="185">
          <cell r="C185">
            <v>433</v>
          </cell>
        </row>
        <row r="186">
          <cell r="C186">
            <v>432</v>
          </cell>
        </row>
        <row r="187">
          <cell r="C187">
            <v>432</v>
          </cell>
        </row>
        <row r="188">
          <cell r="C188">
            <v>431</v>
          </cell>
        </row>
        <row r="189">
          <cell r="C189">
            <v>428</v>
          </cell>
        </row>
        <row r="190">
          <cell r="C190">
            <v>428</v>
          </cell>
        </row>
        <row r="191">
          <cell r="C191">
            <v>425</v>
          </cell>
        </row>
        <row r="192">
          <cell r="C192">
            <v>425</v>
          </cell>
        </row>
        <row r="193">
          <cell r="C193">
            <v>424</v>
          </cell>
        </row>
        <row r="194">
          <cell r="C194">
            <v>424</v>
          </cell>
        </row>
        <row r="195">
          <cell r="C195">
            <v>422</v>
          </cell>
        </row>
        <row r="196">
          <cell r="C196">
            <v>422</v>
          </cell>
        </row>
        <row r="197">
          <cell r="C197">
            <v>421</v>
          </cell>
        </row>
        <row r="198">
          <cell r="C198">
            <v>421</v>
          </cell>
        </row>
        <row r="199">
          <cell r="C199">
            <v>419</v>
          </cell>
        </row>
        <row r="200">
          <cell r="C200">
            <v>418</v>
          </cell>
        </row>
        <row r="201">
          <cell r="C201">
            <v>416</v>
          </cell>
        </row>
        <row r="202">
          <cell r="C202">
            <v>416</v>
          </cell>
        </row>
        <row r="203">
          <cell r="C203">
            <v>415</v>
          </cell>
        </row>
        <row r="204">
          <cell r="C204">
            <v>414</v>
          </cell>
        </row>
        <row r="205">
          <cell r="C205">
            <v>413</v>
          </cell>
        </row>
        <row r="206">
          <cell r="C206">
            <v>410</v>
          </cell>
        </row>
        <row r="207">
          <cell r="C207">
            <v>404</v>
          </cell>
        </row>
        <row r="208">
          <cell r="C208">
            <v>396</v>
          </cell>
        </row>
        <row r="209">
          <cell r="C209">
            <v>395</v>
          </cell>
        </row>
        <row r="210">
          <cell r="C210">
            <v>393</v>
          </cell>
        </row>
        <row r="211">
          <cell r="C211">
            <v>392</v>
          </cell>
        </row>
        <row r="212">
          <cell r="C212">
            <v>391</v>
          </cell>
        </row>
        <row r="213">
          <cell r="C213">
            <v>385</v>
          </cell>
        </row>
        <row r="214">
          <cell r="C214">
            <v>383</v>
          </cell>
        </row>
        <row r="215">
          <cell r="C215">
            <v>381</v>
          </cell>
        </row>
        <row r="216">
          <cell r="C216">
            <v>379</v>
          </cell>
        </row>
        <row r="217">
          <cell r="C217">
            <v>379</v>
          </cell>
        </row>
        <row r="218">
          <cell r="C218">
            <v>374</v>
          </cell>
        </row>
        <row r="219">
          <cell r="C219">
            <v>373</v>
          </cell>
        </row>
        <row r="220">
          <cell r="C220">
            <v>372</v>
          </cell>
        </row>
        <row r="221">
          <cell r="C221">
            <v>362</v>
          </cell>
        </row>
        <row r="222">
          <cell r="C222">
            <v>361</v>
          </cell>
        </row>
        <row r="223">
          <cell r="C223">
            <v>356</v>
          </cell>
        </row>
        <row r="224">
          <cell r="C224">
            <v>356</v>
          </cell>
        </row>
        <row r="225">
          <cell r="C225">
            <v>354</v>
          </cell>
        </row>
        <row r="226">
          <cell r="C226">
            <v>345</v>
          </cell>
        </row>
        <row r="227">
          <cell r="C227">
            <v>343</v>
          </cell>
        </row>
        <row r="228">
          <cell r="C228">
            <v>343</v>
          </cell>
        </row>
        <row r="229">
          <cell r="C229">
            <v>332</v>
          </cell>
        </row>
        <row r="230">
          <cell r="C230">
            <v>321</v>
          </cell>
        </row>
        <row r="231">
          <cell r="C231">
            <v>315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6C2C-2E85-4180-B7AB-248FC5D4AAEA}">
  <sheetPr codeName="Sheet6"/>
  <dimension ref="A1:AMJ82"/>
  <sheetViews>
    <sheetView zoomScale="68" zoomScaleNormal="68" workbookViewId="0">
      <selection activeCell="F16" sqref="F16"/>
    </sheetView>
  </sheetViews>
  <sheetFormatPr defaultColWidth="9.1796875" defaultRowHeight="19.5" customHeight="1"/>
  <cols>
    <col min="1" max="1" width="10.08984375" style="36" customWidth="1"/>
    <col min="2" max="2" width="38.453125" style="111" customWidth="1"/>
    <col min="3" max="3" width="6" style="111" customWidth="1"/>
    <col min="4" max="4" width="6.54296875" style="111" customWidth="1"/>
    <col min="5" max="5" width="6.453125" style="111" customWidth="1"/>
    <col min="6" max="6" width="5.7265625" style="111" customWidth="1"/>
    <col min="7" max="7" width="6" style="111" bestFit="1" customWidth="1"/>
    <col min="8" max="8" width="7.1796875" style="111" customWidth="1"/>
    <col min="9" max="9" width="5.81640625" style="111" customWidth="1"/>
    <col min="10" max="10" width="7.36328125" style="111" customWidth="1"/>
    <col min="11" max="11" width="6.7265625" style="111" customWidth="1"/>
    <col min="12" max="12" width="4.81640625" style="111" customWidth="1"/>
    <col min="13" max="13" width="5.453125" style="111" customWidth="1"/>
    <col min="14" max="14" width="9.1796875" style="36"/>
    <col min="15" max="15" width="5.54296875" style="36" customWidth="1"/>
    <col min="16" max="16" width="7.90625" style="36" customWidth="1"/>
    <col min="17" max="17" width="6.7265625" style="36" customWidth="1"/>
    <col min="18" max="18" width="5.453125" style="111" customWidth="1"/>
    <col min="19" max="19" width="6" style="111" bestFit="1" customWidth="1"/>
    <col min="20" max="20" width="6.90625" style="36" customWidth="1"/>
    <col min="21" max="22" width="6" style="111" bestFit="1" customWidth="1"/>
    <col min="23" max="23" width="9.1796875" style="36"/>
    <col min="24" max="24" width="5.26953125" style="111" customWidth="1"/>
    <col min="25" max="25" width="6.1796875" style="111" customWidth="1"/>
    <col min="26" max="26" width="9.1796875" style="36"/>
    <col min="27" max="27" width="5.7265625" style="111" customWidth="1"/>
    <col min="28" max="28" width="6.54296875" style="111" customWidth="1"/>
    <col min="29" max="29" width="6.54296875" style="36" customWidth="1"/>
    <col min="30" max="30" width="5.453125" style="111" customWidth="1"/>
    <col min="31" max="31" width="6" style="111" bestFit="1" customWidth="1"/>
    <col min="32" max="32" width="7.54296875" style="36" customWidth="1"/>
    <col min="33" max="33" width="9.1796875" style="111"/>
    <col min="34" max="34" width="6" style="111" bestFit="1" customWidth="1"/>
    <col min="35" max="35" width="6.54296875" style="36" customWidth="1"/>
    <col min="36" max="36" width="5" style="111" customWidth="1"/>
    <col min="37" max="37" width="6.453125" style="111" customWidth="1"/>
    <col min="38" max="38" width="9.1796875" style="36"/>
    <col min="39" max="39" width="6.453125" style="111" customWidth="1"/>
    <col min="40" max="40" width="6.54296875" style="111" customWidth="1"/>
    <col min="41" max="41" width="7" style="111" customWidth="1"/>
    <col min="42" max="42" width="6.1796875" style="36" customWidth="1"/>
    <col min="43" max="43" width="6" style="36" bestFit="1" customWidth="1"/>
    <col min="44" max="44" width="7.81640625" style="15" customWidth="1"/>
    <col min="45" max="46" width="6" style="15" bestFit="1" customWidth="1"/>
    <col min="47" max="47" width="7" style="15" customWidth="1"/>
    <col min="48" max="48" width="5" style="112" customWidth="1"/>
    <col min="49" max="49" width="6.1796875" style="15" customWidth="1"/>
    <col min="50" max="50" width="9.1796875" style="15"/>
    <col min="51" max="51" width="6.26953125" style="15" customWidth="1"/>
    <col min="52" max="52" width="6.54296875" style="15" customWidth="1"/>
    <col min="53" max="53" width="6.7265625" style="15" customWidth="1"/>
    <col min="54" max="54" width="5.54296875" style="15" customWidth="1"/>
    <col min="55" max="55" width="6" style="15" bestFit="1" customWidth="1"/>
    <col min="56" max="56" width="7.54296875" style="15" customWidth="1"/>
    <col min="57" max="57" width="6.1796875" style="15" customWidth="1"/>
    <col min="58" max="58" width="6" style="15" bestFit="1" customWidth="1"/>
    <col min="59" max="59" width="7" style="15" customWidth="1"/>
    <col min="60" max="60" width="5.453125" style="15" customWidth="1"/>
    <col min="61" max="61" width="6.1796875" style="15" customWidth="1"/>
    <col min="62" max="62" width="9.1796875" style="15"/>
    <col min="63" max="64" width="6.7265625" style="15" customWidth="1"/>
    <col min="65" max="65" width="6.453125" style="15" customWidth="1"/>
    <col min="66" max="66" width="5.54296875" style="15" customWidth="1"/>
    <col min="67" max="67" width="6" style="15" bestFit="1" customWidth="1"/>
    <col min="68" max="68" width="6.7265625" style="15" customWidth="1"/>
    <col min="69" max="69" width="5.81640625" style="15" customWidth="1"/>
    <col min="70" max="70" width="6" style="15" bestFit="1" customWidth="1"/>
    <col min="71" max="71" width="6.453125" style="15" customWidth="1"/>
    <col min="72" max="73" width="6.26953125" style="15" customWidth="1"/>
    <col min="74" max="74" width="4.7265625" style="15" customWidth="1"/>
    <col min="75" max="75" width="6.453125" style="15" customWidth="1"/>
    <col min="76" max="76" width="6.26953125" style="15" customWidth="1"/>
    <col min="77" max="77" width="6.54296875" style="15" customWidth="1"/>
    <col min="78" max="78" width="5.7265625" style="15" customWidth="1"/>
    <col min="79" max="79" width="6" style="15" bestFit="1" customWidth="1"/>
    <col min="80" max="80" width="7.26953125" style="15" customWidth="1"/>
    <col min="81" max="81" width="6" style="15" customWidth="1"/>
    <col min="82" max="82" width="6" style="15" bestFit="1" customWidth="1"/>
    <col min="83" max="83" width="6.7265625" style="15" customWidth="1"/>
    <col min="84" max="84" width="5.1796875" style="15" customWidth="1"/>
    <col min="85" max="85" width="6.1796875" style="15" customWidth="1"/>
    <col min="86" max="86" width="9.1796875" style="15"/>
    <col min="87" max="87" width="5.81640625" style="15" customWidth="1"/>
    <col min="88" max="89" width="6.54296875" style="15" customWidth="1"/>
    <col min="90" max="90" width="5.54296875" style="15" customWidth="1"/>
    <col min="91" max="91" width="6" style="15" bestFit="1" customWidth="1"/>
    <col min="92" max="92" width="7.1796875" style="15" customWidth="1"/>
    <col min="93" max="93" width="6" style="15" bestFit="1" customWidth="1"/>
    <col min="94" max="94" width="5" style="15" customWidth="1"/>
    <col min="95" max="95" width="6.7265625" style="15" customWidth="1"/>
    <col min="96" max="96" width="5.54296875" style="15" customWidth="1"/>
    <col min="97" max="97" width="6.26953125" style="15" customWidth="1"/>
    <col min="98" max="98" width="3.7265625" style="15" customWidth="1"/>
    <col min="99" max="100" width="6.54296875" style="15" customWidth="1"/>
    <col min="101" max="101" width="6.7265625" style="15" customWidth="1"/>
    <col min="102" max="102" width="5.453125" style="15" customWidth="1"/>
    <col min="103" max="103" width="6" style="15" bestFit="1" customWidth="1"/>
    <col min="104" max="104" width="7.453125" style="15" customWidth="1"/>
    <col min="105" max="105" width="6.1796875" style="15" customWidth="1"/>
    <col min="106" max="106" width="6" style="15" bestFit="1" customWidth="1"/>
    <col min="107" max="107" width="7.1796875" style="15" customWidth="1"/>
    <col min="108" max="108" width="4.7265625" style="15" customWidth="1"/>
    <col min="109" max="109" width="5.81640625" style="15" customWidth="1"/>
    <col min="110" max="110" width="8.26953125" style="112" customWidth="1"/>
    <col min="111" max="111" width="8.36328125" style="112" customWidth="1"/>
    <col min="112" max="112" width="7.54296875" style="112" customWidth="1"/>
    <col min="113" max="113" width="7.453125" style="112" customWidth="1"/>
    <col min="114" max="114" width="8.81640625" style="15" hidden="1" customWidth="1"/>
    <col min="115" max="115" width="8.453125" style="15" hidden="1" customWidth="1"/>
    <col min="116" max="116" width="8.54296875" style="15" hidden="1" customWidth="1"/>
    <col min="117" max="16384" width="9.1796875" style="15"/>
  </cols>
  <sheetData>
    <row r="1" spans="1:1024" ht="15" customHeight="1" thickBot="1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1"/>
      <c r="O1" s="11"/>
      <c r="P1" s="11"/>
      <c r="Q1" s="11"/>
      <c r="R1" s="12"/>
      <c r="S1" s="12"/>
      <c r="T1" s="11"/>
      <c r="U1" s="12"/>
      <c r="V1" s="12"/>
      <c r="W1" s="11"/>
      <c r="X1" s="12"/>
      <c r="Y1" s="12"/>
      <c r="Z1" s="11"/>
      <c r="AA1" s="12"/>
      <c r="AB1" s="12"/>
      <c r="AC1" s="11"/>
      <c r="AD1" s="12"/>
      <c r="AE1" s="12"/>
      <c r="AF1" s="11"/>
      <c r="AG1" s="12"/>
      <c r="AH1" s="12"/>
      <c r="AI1" s="11"/>
      <c r="AJ1" s="12"/>
      <c r="AK1" s="12"/>
      <c r="AL1" s="11"/>
      <c r="AM1" s="12"/>
      <c r="AN1" s="12"/>
      <c r="AO1" s="12"/>
      <c r="AP1" s="11"/>
      <c r="AQ1" s="11"/>
      <c r="AR1" s="13"/>
      <c r="AS1" s="13"/>
      <c r="AT1" s="13"/>
      <c r="AU1" s="13"/>
      <c r="AV1" s="14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4"/>
      <c r="DG1" s="14"/>
      <c r="DH1" s="14"/>
      <c r="DI1" s="14"/>
    </row>
    <row r="2" spans="1:1024" ht="15" customHeight="1" thickBot="1">
      <c r="A2" s="16"/>
      <c r="B2" s="17"/>
      <c r="C2" s="18" t="s">
        <v>82</v>
      </c>
      <c r="D2" s="19"/>
      <c r="E2" s="19"/>
      <c r="F2" s="19"/>
      <c r="G2" s="19"/>
      <c r="H2" s="19"/>
      <c r="I2" s="19"/>
      <c r="J2" s="19"/>
      <c r="K2" s="19"/>
      <c r="L2" s="19"/>
      <c r="M2" s="20"/>
      <c r="N2" s="21"/>
      <c r="O2" s="18" t="s">
        <v>83</v>
      </c>
      <c r="P2" s="19"/>
      <c r="Q2" s="19"/>
      <c r="R2" s="19"/>
      <c r="S2" s="19"/>
      <c r="T2" s="19"/>
      <c r="U2" s="19"/>
      <c r="V2" s="19"/>
      <c r="W2" s="19"/>
      <c r="X2" s="19"/>
      <c r="Y2" s="20"/>
      <c r="Z2" s="21"/>
      <c r="AA2" s="18" t="s">
        <v>84</v>
      </c>
      <c r="AB2" s="19"/>
      <c r="AC2" s="19"/>
      <c r="AD2" s="19"/>
      <c r="AE2" s="19"/>
      <c r="AF2" s="19"/>
      <c r="AG2" s="19"/>
      <c r="AH2" s="19"/>
      <c r="AI2" s="19"/>
      <c r="AJ2" s="19"/>
      <c r="AK2" s="20"/>
      <c r="AL2" s="21"/>
      <c r="AM2" s="18" t="s">
        <v>85</v>
      </c>
      <c r="AN2" s="19"/>
      <c r="AO2" s="19"/>
      <c r="AP2" s="19"/>
      <c r="AQ2" s="19"/>
      <c r="AR2" s="19"/>
      <c r="AS2" s="19"/>
      <c r="AT2" s="19"/>
      <c r="AU2" s="19"/>
      <c r="AV2" s="19"/>
      <c r="AW2" s="20"/>
      <c r="AX2" s="22"/>
      <c r="AY2" s="18" t="s">
        <v>86</v>
      </c>
      <c r="AZ2" s="19"/>
      <c r="BA2" s="19"/>
      <c r="BB2" s="19"/>
      <c r="BC2" s="19"/>
      <c r="BD2" s="19"/>
      <c r="BE2" s="19"/>
      <c r="BF2" s="19"/>
      <c r="BG2" s="19"/>
      <c r="BH2" s="19"/>
      <c r="BI2" s="20"/>
      <c r="BJ2" s="22"/>
      <c r="BK2" s="18" t="s">
        <v>87</v>
      </c>
      <c r="BL2" s="19"/>
      <c r="BM2" s="19"/>
      <c r="BN2" s="19"/>
      <c r="BO2" s="19"/>
      <c r="BP2" s="19"/>
      <c r="BQ2" s="19"/>
      <c r="BR2" s="19"/>
      <c r="BS2" s="19"/>
      <c r="BT2" s="19"/>
      <c r="BU2" s="20"/>
      <c r="BV2" s="22"/>
      <c r="BW2" s="18" t="s">
        <v>88</v>
      </c>
      <c r="BX2" s="19"/>
      <c r="BY2" s="19"/>
      <c r="BZ2" s="19"/>
      <c r="CA2" s="19"/>
      <c r="CB2" s="19"/>
      <c r="CC2" s="19"/>
      <c r="CD2" s="19"/>
      <c r="CE2" s="19"/>
      <c r="CF2" s="19"/>
      <c r="CG2" s="20"/>
      <c r="CH2" s="22"/>
      <c r="CI2" s="18" t="s">
        <v>89</v>
      </c>
      <c r="CJ2" s="19"/>
      <c r="CK2" s="19"/>
      <c r="CL2" s="19"/>
      <c r="CM2" s="19"/>
      <c r="CN2" s="19"/>
      <c r="CO2" s="19"/>
      <c r="CP2" s="19"/>
      <c r="CQ2" s="19"/>
      <c r="CR2" s="19"/>
      <c r="CS2" s="20"/>
      <c r="CT2" s="22"/>
      <c r="CU2" s="18" t="s">
        <v>90</v>
      </c>
      <c r="CV2" s="19"/>
      <c r="CW2" s="19"/>
      <c r="CX2" s="19"/>
      <c r="CY2" s="19"/>
      <c r="CZ2" s="19"/>
      <c r="DA2" s="19"/>
      <c r="DB2" s="19"/>
      <c r="DC2" s="19"/>
      <c r="DD2" s="19"/>
      <c r="DE2" s="20"/>
      <c r="DF2" s="14"/>
      <c r="DG2" s="14"/>
      <c r="DH2" s="14"/>
      <c r="DI2" s="14"/>
    </row>
    <row r="3" spans="1:1024" ht="19.5" customHeight="1" thickBot="1">
      <c r="A3" s="16"/>
      <c r="B3" s="23"/>
      <c r="C3" s="24" t="s">
        <v>91</v>
      </c>
      <c r="D3" s="25"/>
      <c r="E3" s="26"/>
      <c r="F3" s="27" t="str">
        <f>IF([1]SETTINGS!$C$45="","",[1]SETTINGS!$C$45)</f>
        <v/>
      </c>
      <c r="G3" s="27"/>
      <c r="H3" s="27"/>
      <c r="I3" s="27"/>
      <c r="J3" s="28"/>
      <c r="K3" s="29" t="s">
        <v>92</v>
      </c>
      <c r="L3" s="30" t="str">
        <f>IF([1]SETTINGS!$C$14="","",[1]SETTINGS!$C$14)</f>
        <v/>
      </c>
      <c r="M3" s="30"/>
      <c r="N3" s="13"/>
      <c r="O3" s="24" t="s">
        <v>91</v>
      </c>
      <c r="P3" s="25"/>
      <c r="Q3" s="26"/>
      <c r="R3" s="27" t="str">
        <f>IF([1]SETTINGS!$C$46="","",[1]SETTINGS!$C$46)</f>
        <v/>
      </c>
      <c r="S3" s="27"/>
      <c r="T3" s="27"/>
      <c r="U3" s="27"/>
      <c r="V3" s="28"/>
      <c r="W3" s="29" t="s">
        <v>92</v>
      </c>
      <c r="X3" s="30" t="str">
        <f>IF([1]SETTINGS!$C$14="","",[1]SETTINGS!$C$14)</f>
        <v/>
      </c>
      <c r="Y3" s="30"/>
      <c r="Z3" s="13"/>
      <c r="AA3" s="24" t="s">
        <v>91</v>
      </c>
      <c r="AB3" s="25"/>
      <c r="AC3" s="26"/>
      <c r="AD3" s="27" t="str">
        <f>IF([1]SETTINGS!$C$47="","",[1]SETTINGS!$C$47)</f>
        <v/>
      </c>
      <c r="AE3" s="27"/>
      <c r="AF3" s="27"/>
      <c r="AG3" s="27"/>
      <c r="AH3" s="28"/>
      <c r="AI3" s="31" t="s">
        <v>92</v>
      </c>
      <c r="AJ3" s="30" t="str">
        <f>IF([1]SETTINGS!$C$14="","",[1]SETTINGS!$C$14)</f>
        <v/>
      </c>
      <c r="AK3" s="30"/>
      <c r="AL3" s="13"/>
      <c r="AM3" s="24" t="s">
        <v>91</v>
      </c>
      <c r="AN3" s="25"/>
      <c r="AO3" s="26"/>
      <c r="AP3" s="27" t="str">
        <f>IF([1]SETTINGS!$C$48="","",[1]SETTINGS!$C$48)</f>
        <v/>
      </c>
      <c r="AQ3" s="27"/>
      <c r="AR3" s="27"/>
      <c r="AS3" s="27"/>
      <c r="AT3" s="28"/>
      <c r="AU3" s="31" t="s">
        <v>92</v>
      </c>
      <c r="AV3" s="30" t="str">
        <f>IF([1]SETTINGS!$C$14="","",[1]SETTINGS!$C$14)</f>
        <v/>
      </c>
      <c r="AW3" s="30"/>
      <c r="AX3" s="13"/>
      <c r="AY3" s="24" t="s">
        <v>91</v>
      </c>
      <c r="AZ3" s="25"/>
      <c r="BA3" s="26"/>
      <c r="BB3" s="27" t="str">
        <f>IF([1]SETTINGS!$C$49="","",[1]SETTINGS!$C$49)</f>
        <v/>
      </c>
      <c r="BC3" s="27"/>
      <c r="BD3" s="27"/>
      <c r="BE3" s="27"/>
      <c r="BF3" s="28"/>
      <c r="BG3" s="31" t="s">
        <v>92</v>
      </c>
      <c r="BH3" s="30" t="str">
        <f>IF([1]SETTINGS!$C$14="","",[1]SETTINGS!$C$14)</f>
        <v/>
      </c>
      <c r="BI3" s="30"/>
      <c r="BJ3" s="13"/>
      <c r="BK3" s="24" t="s">
        <v>91</v>
      </c>
      <c r="BL3" s="25"/>
      <c r="BM3" s="26"/>
      <c r="BN3" s="27" t="str">
        <f>IF([1]SETTINGS!$C$50="","",[1]SETTINGS!$C$50)</f>
        <v/>
      </c>
      <c r="BO3" s="27"/>
      <c r="BP3" s="27"/>
      <c r="BQ3" s="27"/>
      <c r="BR3" s="28"/>
      <c r="BS3" s="31" t="s">
        <v>92</v>
      </c>
      <c r="BT3" s="30" t="str">
        <f>IF([1]SETTINGS!$C$14="","",[1]SETTINGS!$C$14)</f>
        <v/>
      </c>
      <c r="BU3" s="30"/>
      <c r="BV3" s="13"/>
      <c r="BW3" s="24" t="s">
        <v>91</v>
      </c>
      <c r="BX3" s="25"/>
      <c r="BY3" s="26"/>
      <c r="BZ3" s="27" t="str">
        <f>IF([1]SETTINGS!$C$51="","",[1]SETTINGS!$C$51)</f>
        <v/>
      </c>
      <c r="CA3" s="27"/>
      <c r="CB3" s="27"/>
      <c r="CC3" s="27"/>
      <c r="CD3" s="28"/>
      <c r="CE3" s="31" t="s">
        <v>92</v>
      </c>
      <c r="CF3" s="30" t="str">
        <f>IF([1]SETTINGS!$C$14="","",[1]SETTINGS!$C$14)</f>
        <v/>
      </c>
      <c r="CG3" s="30"/>
      <c r="CH3" s="13"/>
      <c r="CI3" s="24" t="s">
        <v>91</v>
      </c>
      <c r="CJ3" s="25"/>
      <c r="CK3" s="26"/>
      <c r="CL3" s="27" t="str">
        <f>IF([1]SETTINGS!$C$52="","",[1]SETTINGS!$C$52)</f>
        <v/>
      </c>
      <c r="CM3" s="27"/>
      <c r="CN3" s="27"/>
      <c r="CO3" s="27"/>
      <c r="CP3" s="28"/>
      <c r="CQ3" s="31" t="s">
        <v>92</v>
      </c>
      <c r="CR3" s="30" t="str">
        <f>IF([1]SETTINGS!$C$14="","",[1]SETTINGS!$C$14)</f>
        <v/>
      </c>
      <c r="CS3" s="30"/>
      <c r="CT3" s="13"/>
      <c r="CU3" s="24" t="s">
        <v>91</v>
      </c>
      <c r="CV3" s="25"/>
      <c r="CW3" s="26"/>
      <c r="CX3" s="27" t="str">
        <f>IF([1]SETTINGS!$C$53="","",[1]SETTINGS!$C$53)</f>
        <v/>
      </c>
      <c r="CY3" s="27"/>
      <c r="CZ3" s="27"/>
      <c r="DA3" s="27"/>
      <c r="DB3" s="28"/>
      <c r="DC3" s="31" t="s">
        <v>92</v>
      </c>
      <c r="DD3" s="30" t="str">
        <f>IF([1]SETTINGS!$C$14="","",[1]SETTINGS!$C$14)</f>
        <v/>
      </c>
      <c r="DE3" s="30"/>
      <c r="DF3" s="14"/>
      <c r="DG3" s="14"/>
      <c r="DH3" s="14"/>
      <c r="DI3" s="14"/>
    </row>
    <row r="4" spans="1:1024" ht="19.5" customHeight="1" thickBot="1">
      <c r="A4" s="16"/>
      <c r="B4" s="23"/>
      <c r="C4" s="24" t="s">
        <v>93</v>
      </c>
      <c r="D4" s="25"/>
      <c r="E4" s="26"/>
      <c r="F4" s="27" t="str">
        <f>IF([1]SETTINGS!$C$18="","",[1]SETTINGS!$C$18)</f>
        <v/>
      </c>
      <c r="G4" s="27"/>
      <c r="H4" s="27"/>
      <c r="I4" s="27"/>
      <c r="J4" s="28"/>
      <c r="K4" s="29" t="s">
        <v>94</v>
      </c>
      <c r="L4" s="30" t="str">
        <f>IF([1]SETTINGS!$C$20="","",[1]SETTINGS!$C$20)</f>
        <v/>
      </c>
      <c r="M4" s="30"/>
      <c r="N4" s="13"/>
      <c r="O4" s="24" t="s">
        <v>93</v>
      </c>
      <c r="P4" s="25"/>
      <c r="Q4" s="26"/>
      <c r="R4" s="27" t="str">
        <f>IF([1]SETTINGS!$C$18="","",[1]SETTINGS!$C$18)</f>
        <v/>
      </c>
      <c r="S4" s="27"/>
      <c r="T4" s="27"/>
      <c r="U4" s="27"/>
      <c r="V4" s="28"/>
      <c r="W4" s="29" t="s">
        <v>94</v>
      </c>
      <c r="X4" s="30" t="str">
        <f>IF([1]SETTINGS!$C$20="","",[1]SETTINGS!$C$20)</f>
        <v/>
      </c>
      <c r="Y4" s="30"/>
      <c r="Z4" s="13"/>
      <c r="AA4" s="24" t="s">
        <v>93</v>
      </c>
      <c r="AB4" s="25"/>
      <c r="AC4" s="26"/>
      <c r="AD4" s="27" t="str">
        <f>IF([1]SETTINGS!$C$18="","",[1]SETTINGS!$C$18)</f>
        <v/>
      </c>
      <c r="AE4" s="27"/>
      <c r="AF4" s="27"/>
      <c r="AG4" s="27"/>
      <c r="AH4" s="28"/>
      <c r="AI4" s="31" t="s">
        <v>94</v>
      </c>
      <c r="AJ4" s="30" t="str">
        <f>IF([1]SETTINGS!$C$20="","",[1]SETTINGS!$C$20)</f>
        <v/>
      </c>
      <c r="AK4" s="30"/>
      <c r="AL4" s="13"/>
      <c r="AM4" s="24" t="s">
        <v>93</v>
      </c>
      <c r="AN4" s="25"/>
      <c r="AO4" s="26"/>
      <c r="AP4" s="27" t="str">
        <f>IF([1]SETTINGS!$C$18="","",[1]SETTINGS!$C$18)</f>
        <v/>
      </c>
      <c r="AQ4" s="27"/>
      <c r="AR4" s="27"/>
      <c r="AS4" s="27"/>
      <c r="AT4" s="28"/>
      <c r="AU4" s="31" t="s">
        <v>94</v>
      </c>
      <c r="AV4" s="30" t="str">
        <f>IF([1]SETTINGS!$C$20="","",[1]SETTINGS!$C$20)</f>
        <v/>
      </c>
      <c r="AW4" s="30"/>
      <c r="AX4" s="13"/>
      <c r="AY4" s="24" t="s">
        <v>93</v>
      </c>
      <c r="AZ4" s="25"/>
      <c r="BA4" s="26"/>
      <c r="BB4" s="27" t="str">
        <f>IF([1]SETTINGS!$C$18="","",[1]SETTINGS!$C$18)</f>
        <v/>
      </c>
      <c r="BC4" s="27"/>
      <c r="BD4" s="27"/>
      <c r="BE4" s="27"/>
      <c r="BF4" s="28"/>
      <c r="BG4" s="31" t="s">
        <v>94</v>
      </c>
      <c r="BH4" s="30" t="str">
        <f>IF([1]SETTINGS!$C$20="","",[1]SETTINGS!$C$20)</f>
        <v/>
      </c>
      <c r="BI4" s="30"/>
      <c r="BJ4" s="13"/>
      <c r="BK4" s="24" t="s">
        <v>93</v>
      </c>
      <c r="BL4" s="25"/>
      <c r="BM4" s="26"/>
      <c r="BN4" s="27" t="str">
        <f>IF([1]SETTINGS!$C$18="","",[1]SETTINGS!$C$18)</f>
        <v/>
      </c>
      <c r="BO4" s="27"/>
      <c r="BP4" s="27"/>
      <c r="BQ4" s="27"/>
      <c r="BR4" s="28"/>
      <c r="BS4" s="31" t="s">
        <v>94</v>
      </c>
      <c r="BT4" s="30" t="str">
        <f>IF([1]SETTINGS!$C$20="","",[1]SETTINGS!$C$20)</f>
        <v/>
      </c>
      <c r="BU4" s="30"/>
      <c r="BV4" s="13"/>
      <c r="BW4" s="24" t="s">
        <v>93</v>
      </c>
      <c r="BX4" s="25"/>
      <c r="BY4" s="26"/>
      <c r="BZ4" s="27" t="str">
        <f>IF([1]SETTINGS!$C$18="","",[1]SETTINGS!$C$18)</f>
        <v/>
      </c>
      <c r="CA4" s="27"/>
      <c r="CB4" s="27"/>
      <c r="CC4" s="27"/>
      <c r="CD4" s="28"/>
      <c r="CE4" s="31" t="s">
        <v>94</v>
      </c>
      <c r="CF4" s="30" t="str">
        <f>IF([1]SETTINGS!$C$20="","",[1]SETTINGS!$C$20)</f>
        <v/>
      </c>
      <c r="CG4" s="30"/>
      <c r="CH4" s="13"/>
      <c r="CI4" s="24" t="s">
        <v>93</v>
      </c>
      <c r="CJ4" s="25"/>
      <c r="CK4" s="26"/>
      <c r="CL4" s="27" t="str">
        <f>IF([1]SETTINGS!$C$18="","",[1]SETTINGS!$C$18)</f>
        <v/>
      </c>
      <c r="CM4" s="27"/>
      <c r="CN4" s="27"/>
      <c r="CO4" s="27"/>
      <c r="CP4" s="28"/>
      <c r="CQ4" s="31" t="s">
        <v>94</v>
      </c>
      <c r="CR4" s="30" t="str">
        <f>IF([1]SETTINGS!$C$20="","",[1]SETTINGS!$C$20)</f>
        <v/>
      </c>
      <c r="CS4" s="30"/>
      <c r="CT4" s="13"/>
      <c r="CU4" s="24" t="s">
        <v>93</v>
      </c>
      <c r="CV4" s="25"/>
      <c r="CW4" s="26"/>
      <c r="CX4" s="27" t="str">
        <f>IF([1]SETTINGS!$C$18="","",[1]SETTINGS!$C$18)</f>
        <v/>
      </c>
      <c r="CY4" s="27"/>
      <c r="CZ4" s="27"/>
      <c r="DA4" s="27"/>
      <c r="DB4" s="28"/>
      <c r="DC4" s="31" t="s">
        <v>94</v>
      </c>
      <c r="DD4" s="30" t="str">
        <f>IF([1]SETTINGS!$C$20="","",[1]SETTINGS!$C$20)</f>
        <v/>
      </c>
      <c r="DE4" s="30"/>
      <c r="DF4" s="14"/>
      <c r="DG4" s="14"/>
      <c r="DH4" s="14"/>
      <c r="DI4" s="14"/>
    </row>
    <row r="5" spans="1:1024" ht="19.5" customHeight="1" thickBot="1">
      <c r="A5" s="16"/>
      <c r="B5" s="23"/>
      <c r="C5" s="24" t="s">
        <v>95</v>
      </c>
      <c r="D5" s="25"/>
      <c r="E5" s="26"/>
      <c r="F5" s="27" t="str">
        <f>IF([1]SETTINGS!$B$45="","",[1]SETTINGS!$B$45)</f>
        <v/>
      </c>
      <c r="G5" s="27"/>
      <c r="H5" s="27"/>
      <c r="I5" s="27"/>
      <c r="J5" s="28"/>
      <c r="K5" s="29"/>
      <c r="L5" s="30"/>
      <c r="M5" s="30"/>
      <c r="N5" s="13"/>
      <c r="O5" s="24" t="s">
        <v>95</v>
      </c>
      <c r="P5" s="25"/>
      <c r="Q5" s="26"/>
      <c r="R5" s="27" t="str">
        <f>IF([1]SETTINGS!$B$46="","",[1]SETTINGS!$B$46)</f>
        <v/>
      </c>
      <c r="S5" s="27"/>
      <c r="T5" s="27"/>
      <c r="U5" s="27"/>
      <c r="V5" s="28"/>
      <c r="W5" s="29"/>
      <c r="X5" s="30"/>
      <c r="Y5" s="30"/>
      <c r="Z5" s="13"/>
      <c r="AA5" s="24" t="s">
        <v>95</v>
      </c>
      <c r="AB5" s="25"/>
      <c r="AC5" s="26"/>
      <c r="AD5" s="27" t="str">
        <f>IF([1]SETTINGS!$B$47="","",[1]SETTINGS!$B$47)</f>
        <v/>
      </c>
      <c r="AE5" s="27"/>
      <c r="AF5" s="27"/>
      <c r="AG5" s="27"/>
      <c r="AH5" s="28"/>
      <c r="AI5" s="31"/>
      <c r="AJ5" s="30"/>
      <c r="AK5" s="30"/>
      <c r="AL5" s="13"/>
      <c r="AM5" s="24" t="s">
        <v>95</v>
      </c>
      <c r="AN5" s="25"/>
      <c r="AO5" s="26"/>
      <c r="AP5" s="27" t="str">
        <f>IF([1]SETTINGS!$B$48="","",[1]SETTINGS!$B$48)</f>
        <v/>
      </c>
      <c r="AQ5" s="27"/>
      <c r="AR5" s="27"/>
      <c r="AS5" s="27"/>
      <c r="AT5" s="28"/>
      <c r="AU5" s="31"/>
      <c r="AV5" s="32"/>
      <c r="AW5" s="33"/>
      <c r="AX5" s="13"/>
      <c r="AY5" s="24" t="s">
        <v>95</v>
      </c>
      <c r="AZ5" s="25"/>
      <c r="BA5" s="26"/>
      <c r="BB5" s="27" t="str">
        <f>IF([1]SETTINGS!$B$49="","",[1]SETTINGS!$B$49)</f>
        <v/>
      </c>
      <c r="BC5" s="27"/>
      <c r="BD5" s="27"/>
      <c r="BE5" s="27"/>
      <c r="BF5" s="28"/>
      <c r="BG5" s="31"/>
      <c r="BH5" s="32"/>
      <c r="BI5" s="33"/>
      <c r="BJ5" s="13"/>
      <c r="BK5" s="24" t="s">
        <v>95</v>
      </c>
      <c r="BL5" s="25"/>
      <c r="BM5" s="26"/>
      <c r="BN5" s="27" t="str">
        <f>IF([1]SETTINGS!$B$50="","",[1]SETTINGS!$B$50)</f>
        <v/>
      </c>
      <c r="BO5" s="27"/>
      <c r="BP5" s="27"/>
      <c r="BQ5" s="27"/>
      <c r="BR5" s="28"/>
      <c r="BS5" s="31"/>
      <c r="BT5" s="32"/>
      <c r="BU5" s="33"/>
      <c r="BV5" s="13"/>
      <c r="BW5" s="24" t="s">
        <v>95</v>
      </c>
      <c r="BX5" s="25"/>
      <c r="BY5" s="26"/>
      <c r="BZ5" s="27" t="str">
        <f>IF([1]SETTINGS!$B$51="","",[1]SETTINGS!$B$51)</f>
        <v/>
      </c>
      <c r="CA5" s="27"/>
      <c r="CB5" s="27"/>
      <c r="CC5" s="27"/>
      <c r="CD5" s="28"/>
      <c r="CE5" s="31"/>
      <c r="CF5" s="32"/>
      <c r="CG5" s="33"/>
      <c r="CH5" s="13"/>
      <c r="CI5" s="24" t="s">
        <v>95</v>
      </c>
      <c r="CJ5" s="25"/>
      <c r="CK5" s="26"/>
      <c r="CL5" s="27" t="str">
        <f>IF([1]SETTINGS!$B$52="","",[1]SETTINGS!$B$52)</f>
        <v/>
      </c>
      <c r="CM5" s="27"/>
      <c r="CN5" s="27"/>
      <c r="CO5" s="27"/>
      <c r="CP5" s="28"/>
      <c r="CQ5" s="31"/>
      <c r="CR5" s="32"/>
      <c r="CS5" s="33"/>
      <c r="CT5" s="13"/>
      <c r="CU5" s="24" t="s">
        <v>95</v>
      </c>
      <c r="CV5" s="25"/>
      <c r="CW5" s="26"/>
      <c r="CX5" s="27" t="str">
        <f>IF([1]SETTINGS!$B$53="","",[1]SETTINGS!$B$53)</f>
        <v/>
      </c>
      <c r="CY5" s="27"/>
      <c r="CZ5" s="27"/>
      <c r="DA5" s="27"/>
      <c r="DB5" s="28"/>
      <c r="DC5" s="31"/>
      <c r="DD5" s="32"/>
      <c r="DE5" s="33"/>
      <c r="DF5" s="14"/>
      <c r="DG5" s="14"/>
      <c r="DH5" s="14"/>
      <c r="DI5" s="14"/>
    </row>
    <row r="6" spans="1:1024" s="36" customFormat="1" ht="19.5" customHeight="1" thickBot="1">
      <c r="A6" s="34"/>
      <c r="B6" s="13"/>
      <c r="C6" s="24" t="s">
        <v>96</v>
      </c>
      <c r="D6" s="25"/>
      <c r="E6" s="26"/>
      <c r="F6" s="35">
        <f>COUNTA($B$12:$B$76)</f>
        <v>65</v>
      </c>
      <c r="G6" s="35"/>
      <c r="H6" s="35"/>
      <c r="I6" s="35"/>
      <c r="J6" s="33"/>
      <c r="K6" s="29"/>
      <c r="L6" s="30"/>
      <c r="M6" s="30"/>
      <c r="N6" s="13"/>
      <c r="O6" s="24" t="s">
        <v>96</v>
      </c>
      <c r="P6" s="25"/>
      <c r="Q6" s="26"/>
      <c r="R6" s="35">
        <f>COUNTA($B$12:$B$76)</f>
        <v>65</v>
      </c>
      <c r="S6" s="35"/>
      <c r="T6" s="35"/>
      <c r="U6" s="35"/>
      <c r="V6" s="33"/>
      <c r="W6" s="29"/>
      <c r="X6" s="30"/>
      <c r="Y6" s="30"/>
      <c r="Z6" s="13"/>
      <c r="AA6" s="24" t="s">
        <v>96</v>
      </c>
      <c r="AB6" s="25"/>
      <c r="AC6" s="26"/>
      <c r="AD6" s="35">
        <f>COUNTA($B$12:$B$76)</f>
        <v>65</v>
      </c>
      <c r="AE6" s="35"/>
      <c r="AF6" s="35"/>
      <c r="AG6" s="35"/>
      <c r="AH6" s="33"/>
      <c r="AI6" s="31"/>
      <c r="AJ6" s="30"/>
      <c r="AK6" s="30"/>
      <c r="AL6" s="13"/>
      <c r="AM6" s="24" t="s">
        <v>96</v>
      </c>
      <c r="AN6" s="25"/>
      <c r="AO6" s="26"/>
      <c r="AP6" s="35">
        <f>COUNTA($B$12:$B$76)</f>
        <v>65</v>
      </c>
      <c r="AQ6" s="35"/>
      <c r="AR6" s="35"/>
      <c r="AS6" s="35"/>
      <c r="AT6" s="33"/>
      <c r="AU6" s="31"/>
      <c r="AV6" s="32"/>
      <c r="AW6" s="33"/>
      <c r="AX6" s="11"/>
      <c r="AY6" s="24" t="s">
        <v>96</v>
      </c>
      <c r="AZ6" s="25"/>
      <c r="BA6" s="26"/>
      <c r="BB6" s="35">
        <f>COUNTA($B$12:$B$76)</f>
        <v>65</v>
      </c>
      <c r="BC6" s="35"/>
      <c r="BD6" s="35"/>
      <c r="BE6" s="35"/>
      <c r="BF6" s="33"/>
      <c r="BG6" s="31"/>
      <c r="BH6" s="32"/>
      <c r="BI6" s="33"/>
      <c r="BJ6" s="11"/>
      <c r="BK6" s="24" t="s">
        <v>96</v>
      </c>
      <c r="BL6" s="25"/>
      <c r="BM6" s="26"/>
      <c r="BN6" s="35">
        <f>COUNTA($B$12:$B$76)</f>
        <v>65</v>
      </c>
      <c r="BO6" s="35"/>
      <c r="BP6" s="35"/>
      <c r="BQ6" s="35"/>
      <c r="BR6" s="33"/>
      <c r="BS6" s="31"/>
      <c r="BT6" s="32"/>
      <c r="BU6" s="33"/>
      <c r="BV6" s="11"/>
      <c r="BW6" s="24" t="s">
        <v>96</v>
      </c>
      <c r="BX6" s="25"/>
      <c r="BY6" s="26"/>
      <c r="BZ6" s="35">
        <f>COUNTA($B$12:$B$76)</f>
        <v>65</v>
      </c>
      <c r="CA6" s="35"/>
      <c r="CB6" s="35"/>
      <c r="CC6" s="35"/>
      <c r="CD6" s="33"/>
      <c r="CE6" s="31"/>
      <c r="CF6" s="32"/>
      <c r="CG6" s="33"/>
      <c r="CH6" s="11"/>
      <c r="CI6" s="24" t="s">
        <v>96</v>
      </c>
      <c r="CJ6" s="25"/>
      <c r="CK6" s="26"/>
      <c r="CL6" s="35">
        <f>COUNTA($B$12:$B$76)</f>
        <v>65</v>
      </c>
      <c r="CM6" s="35"/>
      <c r="CN6" s="35"/>
      <c r="CO6" s="35"/>
      <c r="CP6" s="33"/>
      <c r="CQ6" s="31"/>
      <c r="CR6" s="32"/>
      <c r="CS6" s="33"/>
      <c r="CT6" s="11"/>
      <c r="CU6" s="24" t="s">
        <v>96</v>
      </c>
      <c r="CV6" s="25"/>
      <c r="CW6" s="26"/>
      <c r="CX6" s="35">
        <f>COUNTA($B$12:$B$76)</f>
        <v>65</v>
      </c>
      <c r="CY6" s="35"/>
      <c r="CZ6" s="35"/>
      <c r="DA6" s="35"/>
      <c r="DB6" s="33"/>
      <c r="DC6" s="31"/>
      <c r="DD6" s="32"/>
      <c r="DE6" s="33"/>
      <c r="DF6" s="11"/>
      <c r="DG6" s="11"/>
      <c r="DH6" s="11"/>
      <c r="DI6" s="11"/>
      <c r="AMI6" s="15"/>
      <c r="AMJ6" s="15"/>
    </row>
    <row r="7" spans="1:1024" ht="19.5" customHeight="1" thickBot="1">
      <c r="A7" s="34"/>
      <c r="B7" s="13"/>
      <c r="C7" s="13"/>
      <c r="D7" s="13"/>
      <c r="E7" s="13"/>
      <c r="F7" s="13"/>
      <c r="G7" s="13"/>
      <c r="H7" s="13"/>
      <c r="I7" s="37"/>
      <c r="J7" s="37"/>
      <c r="K7" s="13"/>
      <c r="L7" s="13"/>
      <c r="M7" s="38"/>
      <c r="N7" s="13"/>
      <c r="O7" s="13"/>
      <c r="P7" s="13"/>
      <c r="Q7" s="13"/>
      <c r="R7" s="13"/>
      <c r="S7" s="13"/>
      <c r="T7" s="13"/>
      <c r="U7" s="37"/>
      <c r="V7" s="37"/>
      <c r="W7" s="13"/>
      <c r="X7" s="13"/>
      <c r="Y7" s="23"/>
      <c r="Z7" s="23"/>
      <c r="AA7" s="23"/>
      <c r="AB7" s="23"/>
      <c r="AC7" s="23"/>
      <c r="AD7" s="23"/>
      <c r="AE7" s="23"/>
      <c r="AF7" s="23"/>
      <c r="AG7" s="37"/>
      <c r="AH7" s="37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37"/>
      <c r="AT7" s="37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37"/>
      <c r="BF7" s="37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37"/>
      <c r="BR7" s="37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37"/>
      <c r="CD7" s="37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37"/>
      <c r="CP7" s="37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37"/>
      <c r="DB7" s="37"/>
      <c r="DC7" s="23"/>
      <c r="DD7" s="23"/>
      <c r="DE7" s="23"/>
      <c r="DF7" s="39"/>
      <c r="DG7" s="39"/>
      <c r="DH7" s="14"/>
      <c r="DI7" s="14"/>
    </row>
    <row r="8" spans="1:1024" ht="19.5" customHeight="1" thickBot="1">
      <c r="A8" s="40" t="s">
        <v>97</v>
      </c>
      <c r="B8" s="41" t="s">
        <v>98</v>
      </c>
      <c r="C8" s="42" t="str">
        <f>"INDIV. TEST" &amp; "  ("&amp;[1]SETTINGS!$C$26*100 &amp;")"</f>
        <v>INDIV. TEST  (0)</v>
      </c>
      <c r="D8" s="42" t="str">
        <f>"GROUP
WORK" &amp; "  (" &amp; [1]SETTINGS!$C$27*100 &amp;")"</f>
        <v>GROUP
WORK  (0)</v>
      </c>
      <c r="E8" s="42" t="str">
        <f xml:space="preserve"> "CLASS TEST" &amp;"  (" &amp; [1]SETTINGS!$C$28*100 &amp;")"</f>
        <v>CLASS TEST  (0)</v>
      </c>
      <c r="F8" s="42" t="str">
        <f>"PROJECT" &amp;"  (" &amp; [1]SETTINGS!$C$29*100 &amp;")"</f>
        <v>PROJECT  (0)</v>
      </c>
      <c r="G8" s="42" t="str">
        <f>"TOTAL "&amp;SUM([1]SETTINGS!$C$26:$C$29)*100</f>
        <v>TOTAL 0</v>
      </c>
      <c r="H8" s="42" t="str">
        <f xml:space="preserve"> "SCALED TO " &amp; [1]SETTINGS!$C$30*100</f>
        <v>SCALED TO 0</v>
      </c>
      <c r="I8" s="43" t="str">
        <f>"END OF TERM EXAM " &amp; [1]SETTINGS!$C$31*100</f>
        <v>END OF TERM EXAM 0</v>
      </c>
      <c r="J8" s="42" t="str">
        <f xml:space="preserve"> "EXAM SCALED TO " &amp; [1]SETTINGS!$C$32*100</f>
        <v>EXAM SCALED TO 0</v>
      </c>
      <c r="K8" s="43" t="str">
        <f>"OVER ALL TOTAL " &amp; " ("&amp;[1]SETTINGS!$C$30*100  &amp;"+"&amp; [1]SETTINGS!$C$32*100  &amp; ")%"</f>
        <v>OVER ALL TOTAL  (0+0)%</v>
      </c>
      <c r="L8" s="42" t="s">
        <v>99</v>
      </c>
      <c r="M8" s="44" t="s">
        <v>100</v>
      </c>
      <c r="N8" s="13"/>
      <c r="O8" s="45" t="str">
        <f>"INDIV.
TEST" &amp; "  ("&amp;[1]SETTINGS!$C$26*100 &amp;")"</f>
        <v>INDIV.
TEST  (0)</v>
      </c>
      <c r="P8" s="45" t="str">
        <f>"GROUP
WORK" &amp; "  (" &amp; [1]SETTINGS!$C$27*100 &amp;")"</f>
        <v>GROUP
WORK  (0)</v>
      </c>
      <c r="Q8" s="45" t="str">
        <f xml:space="preserve"> "CLASS TEST" &amp;"  (" &amp; [1]SETTINGS!$C$28*100 &amp;")"</f>
        <v>CLASS TEST  (0)</v>
      </c>
      <c r="R8" s="45" t="str">
        <f>"PROJECT" &amp;"  (" &amp; [1]SETTINGS!$C$29*100 &amp;")"</f>
        <v>PROJECT  (0)</v>
      </c>
      <c r="S8" s="42" t="str">
        <f>"TOTAL "&amp;SUM([1]SETTINGS!$C$26:$C$29)*100</f>
        <v>TOTAL 0</v>
      </c>
      <c r="T8" s="45" t="str">
        <f xml:space="preserve"> "SCALED TO " &amp; [1]SETTINGS!$C$30*100</f>
        <v>SCALED TO 0</v>
      </c>
      <c r="U8" s="46" t="str">
        <f>"END OF TERM EXAM " &amp; [1]SETTINGS!$C$31*100</f>
        <v>END OF TERM EXAM 0</v>
      </c>
      <c r="V8" s="45" t="str">
        <f xml:space="preserve"> "EXAM SCALED TO " &amp; [1]SETTINGS!$C$32*100</f>
        <v>EXAM SCALED TO 0</v>
      </c>
      <c r="W8" s="46" t="str">
        <f>"OVER ALL TOTAL " &amp; " ("&amp;[1]SETTINGS!$C$30*100  &amp;"+"&amp; [1]SETTINGS!$C$32*100  &amp; ")%"</f>
        <v>OVER ALL TOTAL  (0+0)%</v>
      </c>
      <c r="X8" s="45" t="s">
        <v>99</v>
      </c>
      <c r="Y8" s="47" t="s">
        <v>100</v>
      </c>
      <c r="Z8" s="13"/>
      <c r="AA8" s="42" t="str">
        <f>"INDIV. TEST" &amp; "  ("&amp;[1]SETTINGS!$C$26*100 &amp;")"</f>
        <v>INDIV. TEST  (0)</v>
      </c>
      <c r="AB8" s="42" t="str">
        <f>"GROUP
WORK" &amp; "  (" &amp; [1]SETTINGS!$C$27*100 &amp;")"</f>
        <v>GROUP
WORK  (0)</v>
      </c>
      <c r="AC8" s="42" t="str">
        <f xml:space="preserve"> "CLASS TEST" &amp;"  (" &amp; [1]SETTINGS!$C$28*100 &amp;")"</f>
        <v>CLASS TEST  (0)</v>
      </c>
      <c r="AD8" s="42" t="str">
        <f>"PROJECT" &amp;"  (" &amp; [1]SETTINGS!$C$29*100 &amp;")"</f>
        <v>PROJECT  (0)</v>
      </c>
      <c r="AE8" s="42" t="str">
        <f>"TOTAL "&amp;SUM([1]SETTINGS!$C$26:$C$29)*100</f>
        <v>TOTAL 0</v>
      </c>
      <c r="AF8" s="42" t="str">
        <f xml:space="preserve"> "SCALED TO " &amp; [1]SETTINGS!$C$30*100 &amp; " MARKS"</f>
        <v>SCALED TO 0 MARKS</v>
      </c>
      <c r="AG8" s="43" t="str">
        <f>"END OF TERM EXAM " &amp; [1]SETTINGS!$C$31*100</f>
        <v>END OF TERM EXAM 0</v>
      </c>
      <c r="AH8" s="42" t="str">
        <f xml:space="preserve"> "EXAM SCALED TO " &amp; [1]SETTINGS!$C$32*100</f>
        <v>EXAM SCALED TO 0</v>
      </c>
      <c r="AI8" s="43" t="str">
        <f>"OVER ALL TOTAL " &amp; " ("&amp;[1]SETTINGS!$C$30*100  &amp;"+"&amp; [1]SETTINGS!$C$32*100  &amp; ")%"</f>
        <v>OVER ALL TOTAL  (0+0)%</v>
      </c>
      <c r="AJ8" s="42" t="s">
        <v>99</v>
      </c>
      <c r="AK8" s="44" t="s">
        <v>100</v>
      </c>
      <c r="AL8" s="13"/>
      <c r="AM8" s="42" t="str">
        <f>"INDIV. TEST" &amp; "  ("&amp;[1]SETTINGS!$C$26*100 &amp;")"</f>
        <v>INDIV. TEST  (0)</v>
      </c>
      <c r="AN8" s="42" t="str">
        <f>"GROUP
WORK" &amp; "  (" &amp; [1]SETTINGS!$C$27*100 &amp;")"</f>
        <v>GROUP
WORK  (0)</v>
      </c>
      <c r="AO8" s="42" t="str">
        <f xml:space="preserve"> "CLASS TEST" &amp;"  (" &amp; [1]SETTINGS!$C$28*100 &amp;")"</f>
        <v>CLASS TEST  (0)</v>
      </c>
      <c r="AP8" s="42" t="str">
        <f>"PROJECT" &amp;"  (" &amp; [1]SETTINGS!$C$29*100 &amp;")"</f>
        <v>PROJECT  (0)</v>
      </c>
      <c r="AQ8" s="42" t="str">
        <f>"TOTAL "&amp;SUM([1]SETTINGS!$C$26:$C$29)*100</f>
        <v>TOTAL 0</v>
      </c>
      <c r="AR8" s="42" t="str">
        <f xml:space="preserve"> "SCALED TO " &amp; [1]SETTINGS!$C$30*100 &amp; " MARKS"</f>
        <v>SCALED TO 0 MARKS</v>
      </c>
      <c r="AS8" s="43" t="str">
        <f>"END OF TERM EXAM " &amp; [1]SETTINGS!$C$31*100</f>
        <v>END OF TERM EXAM 0</v>
      </c>
      <c r="AT8" s="42" t="str">
        <f xml:space="preserve"> "EXAM SCALED TO " &amp; [1]SETTINGS!$C$32*100</f>
        <v>EXAM SCALED TO 0</v>
      </c>
      <c r="AU8" s="43" t="str">
        <f>"OVER ALL TOTAL " &amp; " ("&amp;[1]SETTINGS!$C$30*100  &amp;"+"&amp; [1]SETTINGS!$C$32*100  &amp; ")%"</f>
        <v>OVER ALL TOTAL  (0+0)%</v>
      </c>
      <c r="AV8" s="42" t="s">
        <v>99</v>
      </c>
      <c r="AW8" s="44" t="s">
        <v>100</v>
      </c>
      <c r="AX8" s="13"/>
      <c r="AY8" s="42" t="str">
        <f>"INDIV. TEST" &amp; "  ("&amp;[1]SETTINGS!$C$26*100 &amp;")"</f>
        <v>INDIV. TEST  (0)</v>
      </c>
      <c r="AZ8" s="42" t="str">
        <f>"GROUP
WORK" &amp; "  (" &amp; [1]SETTINGS!$C$27*100 &amp;")"</f>
        <v>GROUP
WORK  (0)</v>
      </c>
      <c r="BA8" s="42" t="str">
        <f xml:space="preserve"> "CLASS TEST" &amp;"  (" &amp; [1]SETTINGS!$C$28*100 &amp;")"</f>
        <v>CLASS TEST  (0)</v>
      </c>
      <c r="BB8" s="42" t="str">
        <f>"PROJECT" &amp;"  (" &amp; [1]SETTINGS!$C$29*100 &amp;")"</f>
        <v>PROJECT  (0)</v>
      </c>
      <c r="BC8" s="42" t="str">
        <f>"TOTAL "&amp;SUM([1]SETTINGS!$C$26:$C$29)*100</f>
        <v>TOTAL 0</v>
      </c>
      <c r="BD8" s="42" t="str">
        <f xml:space="preserve"> "SCALED TO " &amp; [1]SETTINGS!$C$30*100 &amp; " MARKS"</f>
        <v>SCALED TO 0 MARKS</v>
      </c>
      <c r="BE8" s="43" t="str">
        <f>"END OF TERM EXAM " &amp; [1]SETTINGS!$C$31*100</f>
        <v>END OF TERM EXAM 0</v>
      </c>
      <c r="BF8" s="42" t="str">
        <f xml:space="preserve"> "EXAM SCALED TO " &amp; [1]SETTINGS!$C$32*100</f>
        <v>EXAM SCALED TO 0</v>
      </c>
      <c r="BG8" s="43" t="str">
        <f>"OVER ALL TOTAL " &amp; " ("&amp;[1]SETTINGS!$C$30*100  &amp;"+"&amp; [1]SETTINGS!$C$32*100  &amp; ")%"</f>
        <v>OVER ALL TOTAL  (0+0)%</v>
      </c>
      <c r="BH8" s="42" t="s">
        <v>99</v>
      </c>
      <c r="BI8" s="44" t="s">
        <v>100</v>
      </c>
      <c r="BJ8" s="13"/>
      <c r="BK8" s="42" t="str">
        <f>"INDIV. TEST" &amp; "  ("&amp;[1]SETTINGS!$C$26*100 &amp;")"</f>
        <v>INDIV. TEST  (0)</v>
      </c>
      <c r="BL8" s="42" t="str">
        <f>"GROUP
WORK" &amp; "  (" &amp; [1]SETTINGS!$C$27*100 &amp;")"</f>
        <v>GROUP
WORK  (0)</v>
      </c>
      <c r="BM8" s="42" t="str">
        <f xml:space="preserve"> "CLASS TEST" &amp;"  (" &amp; [1]SETTINGS!$C$28*100 &amp;")"</f>
        <v>CLASS TEST  (0)</v>
      </c>
      <c r="BN8" s="42" t="str">
        <f>"PROJECT" &amp;"  (" &amp; [1]SETTINGS!$C$29*100 &amp;")"</f>
        <v>PROJECT  (0)</v>
      </c>
      <c r="BO8" s="42" t="str">
        <f>"TOTAL "&amp;SUM([1]SETTINGS!$C$26:$C$29)*100</f>
        <v>TOTAL 0</v>
      </c>
      <c r="BP8" s="42" t="str">
        <f xml:space="preserve"> "SCALED TO " &amp; [1]SETTINGS!$C$30*100 &amp; " MARKS"</f>
        <v>SCALED TO 0 MARKS</v>
      </c>
      <c r="BQ8" s="43" t="str">
        <f>"END OF TERM EXAM " &amp; [1]SETTINGS!$C$31*100</f>
        <v>END OF TERM EXAM 0</v>
      </c>
      <c r="BR8" s="42" t="str">
        <f xml:space="preserve"> "EXAM SCALED TO " &amp; [1]SETTINGS!$C$32*100</f>
        <v>EXAM SCALED TO 0</v>
      </c>
      <c r="BS8" s="43" t="str">
        <f>"OVER ALL TOTAL " &amp; " ("&amp;[1]SETTINGS!$C$30*100  &amp;"+"&amp; [1]SETTINGS!$C$32*100  &amp; ")%"</f>
        <v>OVER ALL TOTAL  (0+0)%</v>
      </c>
      <c r="BT8" s="42" t="s">
        <v>99</v>
      </c>
      <c r="BU8" s="44" t="s">
        <v>100</v>
      </c>
      <c r="BV8" s="13"/>
      <c r="BW8" s="42" t="str">
        <f>"INDIV. TEST" &amp; "  ("&amp;[1]SETTINGS!$C$26*100 &amp;")"</f>
        <v>INDIV. TEST  (0)</v>
      </c>
      <c r="BX8" s="42" t="str">
        <f>"GROUP
WORK" &amp; "  (" &amp; [1]SETTINGS!$C$27*100 &amp;")"</f>
        <v>GROUP
WORK  (0)</v>
      </c>
      <c r="BY8" s="42" t="str">
        <f xml:space="preserve"> "CLASS TEST" &amp;"  (" &amp; [1]SETTINGS!$C$28*100 &amp;")"</f>
        <v>CLASS TEST  (0)</v>
      </c>
      <c r="BZ8" s="42" t="str">
        <f>"PROJECT" &amp;"  (" &amp; [1]SETTINGS!$C$29*100 &amp;")"</f>
        <v>PROJECT  (0)</v>
      </c>
      <c r="CA8" s="42" t="str">
        <f>"TOTAL "&amp;SUM([1]SETTINGS!$C$26:$C$29)*100</f>
        <v>TOTAL 0</v>
      </c>
      <c r="CB8" s="42" t="str">
        <f xml:space="preserve"> "SCALED TO " &amp; [1]SETTINGS!$C$30*100 &amp; " MARKS"</f>
        <v>SCALED TO 0 MARKS</v>
      </c>
      <c r="CC8" s="43" t="str">
        <f>"END OF TERM EXAM " &amp; [1]SETTINGS!$C$31*100</f>
        <v>END OF TERM EXAM 0</v>
      </c>
      <c r="CD8" s="42" t="str">
        <f xml:space="preserve"> "EXAM SCALED TO " &amp; [1]SETTINGS!$C$32*100</f>
        <v>EXAM SCALED TO 0</v>
      </c>
      <c r="CE8" s="43" t="str">
        <f>"OVER ALL TOTAL " &amp; " ("&amp;[1]SETTINGS!$C$30*100  &amp;"+"&amp; [1]SETTINGS!$C$32*100  &amp; ")%"</f>
        <v>OVER ALL TOTAL  (0+0)%</v>
      </c>
      <c r="CF8" s="42" t="s">
        <v>99</v>
      </c>
      <c r="CG8" s="44" t="s">
        <v>100</v>
      </c>
      <c r="CH8" s="13"/>
      <c r="CI8" s="42" t="str">
        <f>"INDIV. TEST" &amp; "  ("&amp;[1]SETTINGS!$C$26*100 &amp;")"</f>
        <v>INDIV. TEST  (0)</v>
      </c>
      <c r="CJ8" s="42" t="str">
        <f>"GROUP
WORK" &amp; "  (" &amp; [1]SETTINGS!$C$27*100 &amp;")"</f>
        <v>GROUP
WORK  (0)</v>
      </c>
      <c r="CK8" s="42" t="str">
        <f xml:space="preserve"> "CLASS TEST" &amp;"  (" &amp; [1]SETTINGS!$C$28*100 &amp;")"</f>
        <v>CLASS TEST  (0)</v>
      </c>
      <c r="CL8" s="42" t="str">
        <f>"PROJECT" &amp;"  (" &amp; [1]SETTINGS!$C$29*100 &amp;")"</f>
        <v>PROJECT  (0)</v>
      </c>
      <c r="CM8" s="42" t="str">
        <f>"TOTAL "&amp;SUM([1]SETTINGS!$C$26:$C$29)*100</f>
        <v>TOTAL 0</v>
      </c>
      <c r="CN8" s="42" t="str">
        <f xml:space="preserve"> "SCALED TO " &amp; [1]SETTINGS!$C$30*100 &amp; " MARKS"</f>
        <v>SCALED TO 0 MARKS</v>
      </c>
      <c r="CO8" s="43" t="str">
        <f>"END OF TERM EXAM " &amp; [1]SETTINGS!$C$31*100</f>
        <v>END OF TERM EXAM 0</v>
      </c>
      <c r="CP8" s="42" t="str">
        <f xml:space="preserve"> "EXAM SCALED TO " &amp; [1]SETTINGS!$C$32*100</f>
        <v>EXAM SCALED TO 0</v>
      </c>
      <c r="CQ8" s="43" t="str">
        <f>"OVER ALL TOTAL " &amp; " ("&amp;[1]SETTINGS!$C$30*100  &amp;"+"&amp; [1]SETTINGS!$C$32*100  &amp; ")%"</f>
        <v>OVER ALL TOTAL  (0+0)%</v>
      </c>
      <c r="CR8" s="42" t="s">
        <v>99</v>
      </c>
      <c r="CS8" s="44" t="s">
        <v>100</v>
      </c>
      <c r="CT8" s="13"/>
      <c r="CU8" s="42" t="str">
        <f>"INDIV. TEST" &amp; "  ("&amp;[1]SETTINGS!$C$26*100 &amp;")"</f>
        <v>INDIV. TEST  (0)</v>
      </c>
      <c r="CV8" s="42" t="str">
        <f>"GROUP
WORK" &amp; "  (" &amp; [1]SETTINGS!$C$27*100 &amp;")"</f>
        <v>GROUP
WORK  (0)</v>
      </c>
      <c r="CW8" s="42" t="str">
        <f xml:space="preserve"> "CLASS TEST" &amp;"  (" &amp; [1]SETTINGS!$C$28*100 &amp;")"</f>
        <v>CLASS TEST  (0)</v>
      </c>
      <c r="CX8" s="42" t="str">
        <f>"PROJECT" &amp;"  (" &amp; [1]SETTINGS!$C$29*100 &amp;")"</f>
        <v>PROJECT  (0)</v>
      </c>
      <c r="CY8" s="42" t="str">
        <f>"TOTAL "&amp;SUM([1]SETTINGS!$C$26:$C$29)*100</f>
        <v>TOTAL 0</v>
      </c>
      <c r="CZ8" s="42" t="str">
        <f xml:space="preserve"> "SCALED TO " &amp; [1]SETTINGS!$C$30*100 &amp; " MARKS"</f>
        <v>SCALED TO 0 MARKS</v>
      </c>
      <c r="DA8" s="43" t="str">
        <f>"END OF TERM EXAM " &amp; [1]SETTINGS!$C$31*100</f>
        <v>END OF TERM EXAM 0</v>
      </c>
      <c r="DB8" s="42" t="str">
        <f xml:space="preserve"> "EXAM SCALED TO " &amp; [1]SETTINGS!$C$32*100</f>
        <v>EXAM SCALED TO 0</v>
      </c>
      <c r="DC8" s="43" t="str">
        <f>"OVER ALL TOTAL " &amp; " ("&amp;[1]SETTINGS!$C$30*100  &amp;"+"&amp; [1]SETTINGS!$C$32*100  &amp; ")%"</f>
        <v>OVER ALL TOTAL  (0+0)%</v>
      </c>
      <c r="DD8" s="42" t="s">
        <v>99</v>
      </c>
      <c r="DE8" s="44" t="s">
        <v>100</v>
      </c>
      <c r="DF8" s="14"/>
      <c r="DG8" s="14"/>
      <c r="DH8" s="14"/>
      <c r="DI8" s="14"/>
    </row>
    <row r="9" spans="1:1024" ht="19.5" customHeight="1" thickBot="1">
      <c r="A9" s="40"/>
      <c r="B9" s="41"/>
      <c r="C9" s="42"/>
      <c r="D9" s="42"/>
      <c r="E9" s="42"/>
      <c r="F9" s="42"/>
      <c r="G9" s="42"/>
      <c r="H9" s="42"/>
      <c r="I9" s="43" t="s">
        <v>101</v>
      </c>
      <c r="J9" s="42" t="s">
        <v>101</v>
      </c>
      <c r="K9" s="42" t="s">
        <v>102</v>
      </c>
      <c r="L9" s="42"/>
      <c r="M9" s="44"/>
      <c r="N9" s="13"/>
      <c r="O9" s="48"/>
      <c r="P9" s="48"/>
      <c r="Q9" s="48"/>
      <c r="R9" s="48"/>
      <c r="S9" s="42"/>
      <c r="T9" s="48"/>
      <c r="U9" s="49"/>
      <c r="V9" s="48"/>
      <c r="W9" s="49"/>
      <c r="X9" s="48"/>
      <c r="Y9" s="50"/>
      <c r="Z9" s="13"/>
      <c r="AA9" s="42"/>
      <c r="AB9" s="42"/>
      <c r="AC9" s="42"/>
      <c r="AD9" s="42"/>
      <c r="AE9" s="42"/>
      <c r="AF9" s="42"/>
      <c r="AG9" s="43" t="s">
        <v>101</v>
      </c>
      <c r="AH9" s="42" t="s">
        <v>101</v>
      </c>
      <c r="AI9" s="42" t="s">
        <v>102</v>
      </c>
      <c r="AJ9" s="42"/>
      <c r="AK9" s="44"/>
      <c r="AL9" s="13"/>
      <c r="AM9" s="42"/>
      <c r="AN9" s="42"/>
      <c r="AO9" s="42"/>
      <c r="AP9" s="42"/>
      <c r="AQ9" s="42"/>
      <c r="AR9" s="42"/>
      <c r="AS9" s="43" t="s">
        <v>101</v>
      </c>
      <c r="AT9" s="42" t="s">
        <v>101</v>
      </c>
      <c r="AU9" s="42" t="s">
        <v>102</v>
      </c>
      <c r="AV9" s="42"/>
      <c r="AW9" s="44"/>
      <c r="AX9" s="13"/>
      <c r="AY9" s="42"/>
      <c r="AZ9" s="42"/>
      <c r="BA9" s="42"/>
      <c r="BB9" s="42"/>
      <c r="BC9" s="42"/>
      <c r="BD9" s="42"/>
      <c r="BE9" s="43" t="s">
        <v>101</v>
      </c>
      <c r="BF9" s="42" t="s">
        <v>101</v>
      </c>
      <c r="BG9" s="42" t="s">
        <v>102</v>
      </c>
      <c r="BH9" s="42"/>
      <c r="BI9" s="44"/>
      <c r="BJ9" s="13"/>
      <c r="BK9" s="42"/>
      <c r="BL9" s="42"/>
      <c r="BM9" s="42"/>
      <c r="BN9" s="42"/>
      <c r="BO9" s="42"/>
      <c r="BP9" s="42"/>
      <c r="BQ9" s="43" t="s">
        <v>101</v>
      </c>
      <c r="BR9" s="42" t="s">
        <v>101</v>
      </c>
      <c r="BS9" s="42" t="s">
        <v>102</v>
      </c>
      <c r="BT9" s="42"/>
      <c r="BU9" s="44"/>
      <c r="BV9" s="13"/>
      <c r="BW9" s="42"/>
      <c r="BX9" s="42"/>
      <c r="BY9" s="42"/>
      <c r="BZ9" s="42"/>
      <c r="CA9" s="42"/>
      <c r="CB9" s="42"/>
      <c r="CC9" s="43" t="s">
        <v>101</v>
      </c>
      <c r="CD9" s="42" t="s">
        <v>101</v>
      </c>
      <c r="CE9" s="42" t="s">
        <v>102</v>
      </c>
      <c r="CF9" s="42"/>
      <c r="CG9" s="44"/>
      <c r="CH9" s="13"/>
      <c r="CI9" s="42"/>
      <c r="CJ9" s="42"/>
      <c r="CK9" s="42"/>
      <c r="CL9" s="42"/>
      <c r="CM9" s="42"/>
      <c r="CN9" s="42"/>
      <c r="CO9" s="43" t="s">
        <v>101</v>
      </c>
      <c r="CP9" s="42" t="s">
        <v>101</v>
      </c>
      <c r="CQ9" s="42" t="s">
        <v>102</v>
      </c>
      <c r="CR9" s="42"/>
      <c r="CS9" s="44"/>
      <c r="CT9" s="13"/>
      <c r="CU9" s="42"/>
      <c r="CV9" s="42"/>
      <c r="CW9" s="42"/>
      <c r="CX9" s="42"/>
      <c r="CY9" s="42"/>
      <c r="CZ9" s="42"/>
      <c r="DA9" s="43" t="s">
        <v>101</v>
      </c>
      <c r="DB9" s="42" t="s">
        <v>101</v>
      </c>
      <c r="DC9" s="42" t="s">
        <v>102</v>
      </c>
      <c r="DD9" s="42"/>
      <c r="DE9" s="44"/>
      <c r="DF9" s="14"/>
      <c r="DG9" s="14"/>
      <c r="DH9" s="14"/>
      <c r="DI9" s="14"/>
    </row>
    <row r="10" spans="1:1024" ht="19.5" customHeight="1" thickTop="1" thickBot="1">
      <c r="A10" s="40"/>
      <c r="B10" s="41"/>
      <c r="C10" s="42">
        <v>12</v>
      </c>
      <c r="D10" s="42"/>
      <c r="E10" s="42"/>
      <c r="F10" s="42"/>
      <c r="G10" s="42"/>
      <c r="H10" s="42"/>
      <c r="I10" s="43"/>
      <c r="J10" s="42"/>
      <c r="K10" s="42"/>
      <c r="L10" s="42"/>
      <c r="M10" s="44"/>
      <c r="N10" s="13"/>
      <c r="O10" s="48"/>
      <c r="P10" s="48"/>
      <c r="Q10" s="48"/>
      <c r="R10" s="48"/>
      <c r="S10" s="42"/>
      <c r="T10" s="48"/>
      <c r="U10" s="49"/>
      <c r="V10" s="48"/>
      <c r="W10" s="49"/>
      <c r="X10" s="48"/>
      <c r="Y10" s="50"/>
      <c r="Z10" s="13"/>
      <c r="AA10" s="42">
        <v>12</v>
      </c>
      <c r="AB10" s="42"/>
      <c r="AC10" s="42"/>
      <c r="AD10" s="42"/>
      <c r="AE10" s="42"/>
      <c r="AF10" s="42"/>
      <c r="AG10" s="43"/>
      <c r="AH10" s="42"/>
      <c r="AI10" s="42"/>
      <c r="AJ10" s="42"/>
      <c r="AK10" s="44"/>
      <c r="AL10" s="13"/>
      <c r="AM10" s="42">
        <v>12</v>
      </c>
      <c r="AN10" s="42"/>
      <c r="AO10" s="42"/>
      <c r="AP10" s="42"/>
      <c r="AQ10" s="42"/>
      <c r="AR10" s="42"/>
      <c r="AS10" s="43"/>
      <c r="AT10" s="42"/>
      <c r="AU10" s="42"/>
      <c r="AV10" s="42"/>
      <c r="AW10" s="44"/>
      <c r="AX10" s="13"/>
      <c r="AY10" s="42">
        <v>12</v>
      </c>
      <c r="AZ10" s="42"/>
      <c r="BA10" s="42"/>
      <c r="BB10" s="42"/>
      <c r="BC10" s="42"/>
      <c r="BD10" s="42"/>
      <c r="BE10" s="43"/>
      <c r="BF10" s="42"/>
      <c r="BG10" s="42"/>
      <c r="BH10" s="42"/>
      <c r="BI10" s="44"/>
      <c r="BJ10" s="13"/>
      <c r="BK10" s="42">
        <v>12</v>
      </c>
      <c r="BL10" s="42"/>
      <c r="BM10" s="42"/>
      <c r="BN10" s="42"/>
      <c r="BO10" s="42"/>
      <c r="BP10" s="42"/>
      <c r="BQ10" s="43"/>
      <c r="BR10" s="42"/>
      <c r="BS10" s="42"/>
      <c r="BT10" s="42"/>
      <c r="BU10" s="44"/>
      <c r="BV10" s="13"/>
      <c r="BW10" s="42">
        <v>12</v>
      </c>
      <c r="BX10" s="42"/>
      <c r="BY10" s="42"/>
      <c r="BZ10" s="42"/>
      <c r="CA10" s="42"/>
      <c r="CB10" s="42"/>
      <c r="CC10" s="43"/>
      <c r="CD10" s="42"/>
      <c r="CE10" s="42"/>
      <c r="CF10" s="42"/>
      <c r="CG10" s="44"/>
      <c r="CH10" s="13"/>
      <c r="CI10" s="42">
        <v>12</v>
      </c>
      <c r="CJ10" s="42"/>
      <c r="CK10" s="42"/>
      <c r="CL10" s="42"/>
      <c r="CM10" s="42"/>
      <c r="CN10" s="42"/>
      <c r="CO10" s="43"/>
      <c r="CP10" s="42"/>
      <c r="CQ10" s="42"/>
      <c r="CR10" s="42"/>
      <c r="CS10" s="44"/>
      <c r="CT10" s="13"/>
      <c r="CU10" s="42">
        <v>12</v>
      </c>
      <c r="CV10" s="42"/>
      <c r="CW10" s="42"/>
      <c r="CX10" s="42"/>
      <c r="CY10" s="42"/>
      <c r="CZ10" s="42"/>
      <c r="DA10" s="43"/>
      <c r="DB10" s="42"/>
      <c r="DC10" s="42"/>
      <c r="DD10" s="42"/>
      <c r="DE10" s="44"/>
      <c r="DF10" s="51" t="s">
        <v>103</v>
      </c>
      <c r="DG10" s="52" t="s">
        <v>104</v>
      </c>
      <c r="DH10" s="51" t="s">
        <v>105</v>
      </c>
      <c r="DI10" s="51" t="s">
        <v>99</v>
      </c>
    </row>
    <row r="11" spans="1:1024" ht="19.5" customHeight="1" thickBot="1">
      <c r="A11" s="40"/>
      <c r="B11" s="41"/>
      <c r="C11" s="42"/>
      <c r="D11" s="42"/>
      <c r="E11" s="42"/>
      <c r="F11" s="42"/>
      <c r="G11" s="42"/>
      <c r="H11" s="42"/>
      <c r="I11" s="43"/>
      <c r="J11" s="42"/>
      <c r="K11" s="42"/>
      <c r="L11" s="42"/>
      <c r="M11" s="44"/>
      <c r="N11" s="13"/>
      <c r="O11" s="53"/>
      <c r="P11" s="53"/>
      <c r="Q11" s="53"/>
      <c r="R11" s="53"/>
      <c r="S11" s="42"/>
      <c r="T11" s="54"/>
      <c r="U11" s="55"/>
      <c r="V11" s="54"/>
      <c r="W11" s="55"/>
      <c r="X11" s="54"/>
      <c r="Y11" s="56"/>
      <c r="Z11" s="13"/>
      <c r="AA11" s="42"/>
      <c r="AB11" s="42"/>
      <c r="AC11" s="42"/>
      <c r="AD11" s="42"/>
      <c r="AE11" s="42"/>
      <c r="AF11" s="42"/>
      <c r="AG11" s="43"/>
      <c r="AH11" s="42"/>
      <c r="AI11" s="42"/>
      <c r="AJ11" s="42"/>
      <c r="AK11" s="44"/>
      <c r="AL11" s="13"/>
      <c r="AM11" s="42"/>
      <c r="AN11" s="42"/>
      <c r="AO11" s="42"/>
      <c r="AP11" s="42"/>
      <c r="AQ11" s="42"/>
      <c r="AR11" s="42"/>
      <c r="AS11" s="43"/>
      <c r="AT11" s="42"/>
      <c r="AU11" s="42"/>
      <c r="AV11" s="42"/>
      <c r="AW11" s="44"/>
      <c r="AX11" s="13"/>
      <c r="AY11" s="42"/>
      <c r="AZ11" s="42"/>
      <c r="BA11" s="42"/>
      <c r="BB11" s="42"/>
      <c r="BC11" s="42"/>
      <c r="BD11" s="42"/>
      <c r="BE11" s="43"/>
      <c r="BF11" s="42"/>
      <c r="BG11" s="42"/>
      <c r="BH11" s="42"/>
      <c r="BI11" s="44"/>
      <c r="BJ11" s="13"/>
      <c r="BK11" s="42"/>
      <c r="BL11" s="42"/>
      <c r="BM11" s="42"/>
      <c r="BN11" s="42"/>
      <c r="BO11" s="42"/>
      <c r="BP11" s="42"/>
      <c r="BQ11" s="43"/>
      <c r="BR11" s="42"/>
      <c r="BS11" s="42"/>
      <c r="BT11" s="42"/>
      <c r="BU11" s="44"/>
      <c r="BV11" s="13"/>
      <c r="BW11" s="42"/>
      <c r="BX11" s="42"/>
      <c r="BY11" s="42"/>
      <c r="BZ11" s="42"/>
      <c r="CA11" s="42"/>
      <c r="CB11" s="42"/>
      <c r="CC11" s="43"/>
      <c r="CD11" s="42"/>
      <c r="CE11" s="42"/>
      <c r="CF11" s="42"/>
      <c r="CG11" s="44"/>
      <c r="CH11" s="13"/>
      <c r="CI11" s="42"/>
      <c r="CJ11" s="42"/>
      <c r="CK11" s="42"/>
      <c r="CL11" s="42"/>
      <c r="CM11" s="42"/>
      <c r="CN11" s="42"/>
      <c r="CO11" s="43"/>
      <c r="CP11" s="42"/>
      <c r="CQ11" s="42"/>
      <c r="CR11" s="42"/>
      <c r="CS11" s="44"/>
      <c r="CT11" s="13"/>
      <c r="CU11" s="42"/>
      <c r="CV11" s="42"/>
      <c r="CW11" s="42"/>
      <c r="CX11" s="42"/>
      <c r="CY11" s="42"/>
      <c r="CZ11" s="42"/>
      <c r="DA11" s="43"/>
      <c r="DB11" s="42"/>
      <c r="DC11" s="42"/>
      <c r="DD11" s="42"/>
      <c r="DE11" s="44"/>
      <c r="DF11" s="57"/>
      <c r="DG11" s="58"/>
      <c r="DH11" s="57"/>
      <c r="DI11" s="57"/>
    </row>
    <row r="12" spans="1:1024" ht="19.5" customHeight="1" thickTop="1">
      <c r="A12" s="59" t="str">
        <f>IFERROR(IF(ISBLANK([1]PRIMARY_INFO!$A12),"",[1]PRIMARY_INFO!$A12),"")</f>
        <v/>
      </c>
      <c r="B12" s="59" t="str">
        <f>IFERROR(IF(ISBLANK([1]PRIMARY_INFO!$B12),"",[1]PRIMARY_INFO!$B12),"")</f>
        <v/>
      </c>
      <c r="C12" s="60">
        <v>15</v>
      </c>
      <c r="D12" s="60">
        <v>14</v>
      </c>
      <c r="E12" s="60">
        <v>13</v>
      </c>
      <c r="F12" s="60">
        <v>14</v>
      </c>
      <c r="G12" s="61">
        <f>IFERROR(IF(AND(C12:F12)="","",SUM(C12:F12)),"")</f>
        <v>56</v>
      </c>
      <c r="H12" s="62" t="str">
        <f>IFERROR(IF(G12=0,"",ROUND((G12/SUM([1]SETTINGS!$C$26:$C$29))*[1]SETTINGS!$C$30,0)),"")</f>
        <v/>
      </c>
      <c r="I12" s="63">
        <v>67</v>
      </c>
      <c r="J12" s="62" t="str">
        <f>IFERROR(IF(ISBLANK(I12),"",ROUND((I12/[1]SETTINGS!$C$31)*[1]SETTINGS!$C$32,0)),"")</f>
        <v/>
      </c>
      <c r="K12" s="62" t="str">
        <f>IFERROR(IF(AND(H12,J12)="","",SUM(H12,J12)),"")</f>
        <v/>
      </c>
      <c r="L12" s="64" t="str">
        <f t="shared" ref="L12:L75" si="0">IFERROR(IF(K12="","",RANK(K12,K$12:K$76)),"")</f>
        <v/>
      </c>
      <c r="M12" s="65" t="str">
        <f>IFERROR(IF(K12="","",IF(K12&gt;=75,VALUE(1),IF(K12&gt;=70,VALUE(2),IF(K12&gt;=65,VALUE(3),IF(K12&gt;=60,VALUE(4),IF(K12&gt;=55,VALUE(5),IF(K12&gt;=50,VALUE(6),IF(K12&gt;=45,VALUE(7),IF(K12&gt;=40,VALUE(8),VALUE(9)))))))))),"")</f>
        <v/>
      </c>
      <c r="N12" s="66"/>
      <c r="O12" s="60">
        <v>2</v>
      </c>
      <c r="P12" s="60">
        <v>14</v>
      </c>
      <c r="Q12" s="60">
        <v>5</v>
      </c>
      <c r="R12" s="60">
        <v>12</v>
      </c>
      <c r="S12" s="67">
        <f t="shared" ref="S12:S43" si="1">IFERROR(IF(AND(O12:R12)="","",SUM(O12:R12)),"")</f>
        <v>33</v>
      </c>
      <c r="T12" s="62" t="str">
        <f>IFERROR(IF(S12=0,"",ROUND((S12/SUM([1]SETTINGS!$C$26:$C$29))*[1]SETTINGS!$C$30,0)),"")</f>
        <v/>
      </c>
      <c r="U12" s="68">
        <v>33</v>
      </c>
      <c r="V12" s="62" t="str">
        <f>IFERROR(IF(ISBLANK(U12),"",ROUND((U12/[1]SETTINGS!$C$31)*[1]SETTINGS!$C$32,0)),"")</f>
        <v/>
      </c>
      <c r="W12" s="69" t="str">
        <f t="shared" ref="W12:W75" si="2">IFERROR(IF(AND(T12,V12)="","",SUM(T12,V12)),"")</f>
        <v/>
      </c>
      <c r="X12" s="70" t="str">
        <f t="shared" ref="X12:X75" si="3">IFERROR(IF(W12="","",RANK(W12,W$12:W$76)),"")</f>
        <v/>
      </c>
      <c r="Y12" s="71" t="str">
        <f t="shared" ref="Y12:Y75" si="4">IFERROR(IF(W12="","",IF(W12&gt;=75,VALUE(1),IF(W12&gt;=70,VALUE(2),IF(W12&gt;=65,VALUE(3),IF(W12&gt;=60,VALUE(4),IF(W12&gt;=55,VALUE(5),IF(W12&gt;=50,VALUE(6),IF(W12&gt;=45,VALUE(7),IF(W12&gt;=40,VALUE(8),VALUE(9)))))))))),"")</f>
        <v/>
      </c>
      <c r="Z12" s="72"/>
      <c r="AA12" s="60">
        <v>14</v>
      </c>
      <c r="AB12" s="60">
        <v>12</v>
      </c>
      <c r="AC12" s="60">
        <v>10</v>
      </c>
      <c r="AD12" s="60">
        <v>6</v>
      </c>
      <c r="AE12" s="61">
        <f>IFERROR(IF(AND(AA12:AD12)="","",SUM(AA12:AD12)),"")</f>
        <v>42</v>
      </c>
      <c r="AF12" s="62" t="str">
        <f>IFERROR(IF(AE12=0,"",ROUND((AE12/SUM([1]SETTINGS!$C$26:$C$29))*[1]SETTINGS!$C$30,0)),"")</f>
        <v/>
      </c>
      <c r="AG12" s="63">
        <v>32</v>
      </c>
      <c r="AH12" s="62" t="str">
        <f>IFERROR(IF(ISBLANK(AG12),"",ROUND((AG12/[1]SETTINGS!$C$31)*[1]SETTINGS!$C$32,0)),"")</f>
        <v/>
      </c>
      <c r="AI12" s="62" t="str">
        <f>IFERROR(IF(AND(AF12,AH12)="","",SUM(AF12,AH12)),"")</f>
        <v/>
      </c>
      <c r="AJ12" s="64" t="str">
        <f t="shared" ref="AJ12:AJ75" si="5">IFERROR(IF(AI12="","",RANK(AI12,AI$12:AI$76)),"")</f>
        <v/>
      </c>
      <c r="AK12" s="65" t="str">
        <f>IFERROR(IF(AI12="","",IF(AI12&gt;=75,VALUE(1),IF(AI12&gt;=70,VALUE(2),IF(AI12&gt;=65,VALUE(3),IF(AI12&gt;=60,VALUE(4),IF(AI12&gt;=55,VALUE(5),IF(AI12&gt;=50,VALUE(6),IF(AI12&gt;=45,VALUE(7),IF(AI12&gt;=40,VALUE(8),VALUE(9)))))))))),"")</f>
        <v/>
      </c>
      <c r="AL12" s="72"/>
      <c r="AM12" s="60">
        <v>15</v>
      </c>
      <c r="AN12" s="60">
        <v>12</v>
      </c>
      <c r="AO12" s="60">
        <v>10</v>
      </c>
      <c r="AP12" s="60">
        <v>6</v>
      </c>
      <c r="AQ12" s="61">
        <f>IFERROR(IF(AND(AM12:AP12)="","",SUM(AM12:AP12)),"")</f>
        <v>43</v>
      </c>
      <c r="AR12" s="62" t="str">
        <f>IFERROR(IF(AQ12=0,"",ROUND((AQ12/SUM([1]SETTINGS!$C$26:$C$29))*[1]SETTINGS!$C$30,0)),"")</f>
        <v/>
      </c>
      <c r="AS12" s="63">
        <v>32</v>
      </c>
      <c r="AT12" s="62" t="str">
        <f>IFERROR(IF(ISBLANK(AS12),"",ROUND((AS12/[1]SETTINGS!$C$31)*[1]SETTINGS!$C$32,0)),"")</f>
        <v/>
      </c>
      <c r="AU12" s="62" t="str">
        <f>IFERROR(IF(AND(AR12,AT12)="","",SUM(AR12,AT12)),"")</f>
        <v/>
      </c>
      <c r="AV12" s="64" t="str">
        <f t="shared" ref="AV12:AV75" si="6">IFERROR(IF(AU12="","",RANK(AU12,AU$12:AU$76)),"")</f>
        <v/>
      </c>
      <c r="AW12" s="65" t="str">
        <f>IFERROR(IF(AU12="","",IF(AU12&gt;=75,VALUE(1),IF(AU12&gt;=70,VALUE(2),IF(AU12&gt;=65,VALUE(3),IF(AU12&gt;=60,VALUE(4),IF(AU12&gt;=55,VALUE(5),IF(AU12&gt;=50,VALUE(6),IF(AU12&gt;=45,VALUE(7),IF(AU12&gt;=40,VALUE(8),VALUE(9)))))))))),"")</f>
        <v/>
      </c>
      <c r="AX12" s="72"/>
      <c r="AY12" s="60">
        <v>15</v>
      </c>
      <c r="AZ12" s="60">
        <v>12</v>
      </c>
      <c r="BA12" s="60">
        <v>10</v>
      </c>
      <c r="BB12" s="60">
        <v>6</v>
      </c>
      <c r="BC12" s="61">
        <f>IFERROR(IF(AND(AY12:BB12)="","",SUM(AY12:BB12)),"")</f>
        <v>43</v>
      </c>
      <c r="BD12" s="62" t="str">
        <f>IFERROR(IF(BC12=0,"",ROUND((BC12/SUM([1]SETTINGS!$C$26:$C$29))*[1]SETTINGS!$C$30,0)),"")</f>
        <v/>
      </c>
      <c r="BE12" s="63">
        <v>32</v>
      </c>
      <c r="BF12" s="62" t="str">
        <f>IFERROR(IF(ISBLANK(BE12),"",ROUND((BE12/[1]SETTINGS!$C$31)*[1]SETTINGS!$C$32,0)),"")</f>
        <v/>
      </c>
      <c r="BG12" s="62" t="str">
        <f>IFERROR(IF(AND(BD12,BF12)="","",SUM(BD12,BF12)),"")</f>
        <v/>
      </c>
      <c r="BH12" s="64" t="str">
        <f t="shared" ref="BH12:BH75" si="7">IFERROR(IF(BG12="","",RANK(BG12,BG$12:BG$76)),"")</f>
        <v/>
      </c>
      <c r="BI12" s="65" t="str">
        <f>IFERROR(IF(BG12="","",IF(BG12&gt;=75,VALUE(1),IF(BG12&gt;=70,VALUE(2),IF(BG12&gt;=65,VALUE(3),IF(BG12&gt;=60,VALUE(4),IF(BG12&gt;=55,VALUE(5),IF(BG12&gt;=50,VALUE(6),IF(BG12&gt;=45,VALUE(7),IF(BG12&gt;=40,VALUE(8),VALUE(9)))))))))),"")</f>
        <v/>
      </c>
      <c r="BJ12" s="72"/>
      <c r="BK12" s="60">
        <v>15</v>
      </c>
      <c r="BL12" s="60">
        <v>12</v>
      </c>
      <c r="BM12" s="60">
        <v>10</v>
      </c>
      <c r="BN12" s="60">
        <v>6</v>
      </c>
      <c r="BO12" s="61">
        <f>IFERROR(IF(AND(BK12:BN12)="","",SUM(BK12:BN12)),"")</f>
        <v>43</v>
      </c>
      <c r="BP12" s="62" t="str">
        <f>IFERROR(IF(BO12=0,"",ROUND((BO12/SUM([1]SETTINGS!$C$26:$C$29))*[1]SETTINGS!$C$30,0)),"")</f>
        <v/>
      </c>
      <c r="BQ12" s="63">
        <v>32</v>
      </c>
      <c r="BR12" s="62" t="str">
        <f>IFERROR(IF(ISBLANK(BQ12),"",ROUND((BQ12/[1]SETTINGS!$C$31)*[1]SETTINGS!$C$32,0)),"")</f>
        <v/>
      </c>
      <c r="BS12" s="62" t="str">
        <f>IFERROR(IF(AND(BP12,BR12)="","",SUM(BP12,BR12)),"")</f>
        <v/>
      </c>
      <c r="BT12" s="64" t="str">
        <f t="shared" ref="BT12:BT75" si="8">IFERROR(IF(BS12="","",RANK(BS12,BS$12:BS$76)),"")</f>
        <v/>
      </c>
      <c r="BU12" s="65" t="str">
        <f>IFERROR(IF(BS12="","",IF(BS12&gt;=75,VALUE(1),IF(BS12&gt;=70,VALUE(2),IF(BS12&gt;=65,VALUE(3),IF(BS12&gt;=60,VALUE(4),IF(BS12&gt;=55,VALUE(5),IF(BS12&gt;=50,VALUE(6),IF(BS12&gt;=45,VALUE(7),IF(BS12&gt;=40,VALUE(8),VALUE(9)))))))))),"")</f>
        <v/>
      </c>
      <c r="BV12" s="72"/>
      <c r="BW12" s="60">
        <v>15</v>
      </c>
      <c r="BX12" s="60">
        <v>12</v>
      </c>
      <c r="BY12" s="60">
        <v>10</v>
      </c>
      <c r="BZ12" s="60">
        <v>6</v>
      </c>
      <c r="CA12" s="61">
        <f>IFERROR(IF(AND(BW12:BZ12)="","",SUM(BW12:BZ12)),"")</f>
        <v>43</v>
      </c>
      <c r="CB12" s="62" t="str">
        <f>IFERROR(IF(CA12=0,"",ROUND((CA12/SUM([1]SETTINGS!$C$26:$C$29))*[1]SETTINGS!$C$30,0)),"")</f>
        <v/>
      </c>
      <c r="CC12" s="63">
        <v>32</v>
      </c>
      <c r="CD12" s="62" t="str">
        <f>IFERROR(IF(ISBLANK(CC12),"",ROUND((CC12/[1]SETTINGS!$C$31)*[1]SETTINGS!$C$32,0)),"")</f>
        <v/>
      </c>
      <c r="CE12" s="62" t="str">
        <f>IFERROR(IF(AND(CB12,CD12)="","",SUM(CB12,CD12)),"")</f>
        <v/>
      </c>
      <c r="CF12" s="64" t="str">
        <f t="shared" ref="CF12:CF75" si="9">IFERROR(IF(CE12="","",RANK(CE12,CE$12:CE$76)),"")</f>
        <v/>
      </c>
      <c r="CG12" s="65" t="str">
        <f>IFERROR(IF(CE12="","",IF(CE12&gt;=75,VALUE(1),IF(CE12&gt;=70,VALUE(2),IF(CE12&gt;=65,VALUE(3),IF(CE12&gt;=60,VALUE(4),IF(CE12&gt;=55,VALUE(5),IF(CE12&gt;=50,VALUE(6),IF(CE12&gt;=45,VALUE(7),IF(CE12&gt;=40,VALUE(8),VALUE(9)))))))))),"")</f>
        <v/>
      </c>
      <c r="CH12" s="72"/>
      <c r="CI12" s="60">
        <v>15</v>
      </c>
      <c r="CJ12" s="60">
        <v>12</v>
      </c>
      <c r="CK12" s="60">
        <v>10</v>
      </c>
      <c r="CL12" s="60">
        <v>6</v>
      </c>
      <c r="CM12" s="61">
        <f>IFERROR(IF(AND(CI12:CL12)="","",SUM(CI12:CL12)),"")</f>
        <v>43</v>
      </c>
      <c r="CN12" s="62" t="str">
        <f>IFERROR(IF(CM12=0,"",ROUND((CM12/SUM([1]SETTINGS!$C$26:$C$29))*[1]SETTINGS!$C$30,0)),"")</f>
        <v/>
      </c>
      <c r="CO12" s="63">
        <v>32</v>
      </c>
      <c r="CP12" s="62" t="str">
        <f>IFERROR(IF(ISBLANK(CO12),"",ROUND((CO12/[1]SETTINGS!$C$31)*[1]SETTINGS!$C$32,0)),"")</f>
        <v/>
      </c>
      <c r="CQ12" s="62" t="str">
        <f>IFERROR(IF(AND(CN12,CP12)="","",SUM(CN12,CP12)),"")</f>
        <v/>
      </c>
      <c r="CR12" s="64" t="str">
        <f t="shared" ref="CR12:CR75" si="10">IFERROR(IF(CQ12="","",RANK(CQ12,CQ$12:CQ$76)),"")</f>
        <v/>
      </c>
      <c r="CS12" s="65" t="str">
        <f>IFERROR(IF(CQ12="","",IF(CQ12&gt;=75,VALUE(1),IF(CQ12&gt;=70,VALUE(2),IF(CQ12&gt;=65,VALUE(3),IF(CQ12&gt;=60,VALUE(4),IF(CQ12&gt;=55,VALUE(5),IF(CQ12&gt;=50,VALUE(6),IF(CQ12&gt;=45,VALUE(7),IF(CQ12&gt;=40,VALUE(8),VALUE(9)))))))))),"")</f>
        <v/>
      </c>
      <c r="CT12" s="72"/>
      <c r="CU12" s="60">
        <v>15</v>
      </c>
      <c r="CV12" s="60">
        <v>12</v>
      </c>
      <c r="CW12" s="60">
        <v>10</v>
      </c>
      <c r="CX12" s="60">
        <v>6</v>
      </c>
      <c r="CY12" s="61">
        <f>IFERROR(IF(AND(CU12:CX12)="","",SUM(CU12:CX12)),"")</f>
        <v>43</v>
      </c>
      <c r="CZ12" s="62" t="str">
        <f>IFERROR(IF(CY12=0,"",ROUND((CY12/SUM([1]SETTINGS!$C$26:$C$29))*[1]SETTINGS!$C$30,0)),"")</f>
        <v/>
      </c>
      <c r="DA12" s="63">
        <v>32</v>
      </c>
      <c r="DB12" s="62" t="str">
        <f>IFERROR(IF(ISBLANK(DA12),"",ROUND((DA12/[1]SETTINGS!$C$31)*[1]SETTINGS!$C$32,0)),"")</f>
        <v/>
      </c>
      <c r="DC12" s="62" t="str">
        <f>IFERROR(IF(AND(CZ12,DB12)="","",SUM(CZ12,DB12)),"")</f>
        <v/>
      </c>
      <c r="DD12" s="64" t="str">
        <f t="shared" ref="DD12:DD75" si="11">IFERROR(IF(DC12="","",RANK(DC12,DC$12:DC$76)),"")</f>
        <v/>
      </c>
      <c r="DE12" s="65" t="str">
        <f>IFERROR(IF(DC12="","",IF(DC12&gt;=75,VALUE(1),IF(DC12&gt;=70,VALUE(2),IF(DC12&gt;=65,VALUE(3),IF(DC12&gt;=60,VALUE(4),IF(DC12&gt;=55,VALUE(5),IF(DC12&gt;=50,VALUE(6),IF(DC12&gt;=45,VALUE(7),IF(DC12&gt;=40,VALUE(8),VALUE(9)))))))))),"")</f>
        <v/>
      </c>
      <c r="DF12" s="64" t="str">
        <f t="shared" ref="DF12:DF75" si="12">IFERROR(IF(AND(K12,W12,AI12,AU12,BG12,BS12,CE12,CQ12,DC12)="","",SUM(K12,W12,AI12,AU12,BG12,BS12,CE12,CQ12,DC12)),"")</f>
        <v/>
      </c>
      <c r="DG12" s="64" t="str">
        <f>IFERROR(IF(AND(K12,W12,AI12,AU12,BG12,BS12,CE12,CQ12,DC12)="","",SUM(K12,W12,AI12,AU12,LARGE((BG12,BS12,CE12,CQ12,DC12),{1,2}))),"")</f>
        <v/>
      </c>
      <c r="DH12" s="64" t="str">
        <f>IFERROR(IF(AND(M12,Y12,AK12,AW12,,BI12,BU12,CG12,CS12,DE12)="","",SUM(M12,Y12,AK12,AW12,SMALL((BI12,BU12,CG12,CS12,DE12),{1,2}))),"")</f>
        <v/>
      </c>
      <c r="DI12" s="73" t="str">
        <f>IFERROR(pos&amp;IF(AND(MOD(ABS(18),100)&gt;10,MOD(ABS(pos),100)&lt;14),"th", CHOOSE(MOD(ABS(pos),10)+1,"th","st","nd","rd","th","th","th","th","th","th")),"")</f>
        <v/>
      </c>
      <c r="DJ12" s="15">
        <f>ROWS($B$12:$B12)</f>
        <v>1</v>
      </c>
      <c r="DK12" s="15">
        <f>IF($B12=[1]REPORT_CARD!$B$9,$DJ12,"")</f>
        <v>1</v>
      </c>
      <c r="DL12" s="15">
        <f>IFERROR(SMALL($DK$12:$DK$76,$DJ12),"")</f>
        <v>1</v>
      </c>
      <c r="DM12" s="74"/>
    </row>
    <row r="13" spans="1:1024" ht="19.5" customHeight="1">
      <c r="A13" s="59" t="str">
        <f>IFERROR(IF(ISBLANK([1]PRIMARY_INFO!$A13),"",[1]PRIMARY_INFO!$A13),"")</f>
        <v/>
      </c>
      <c r="B13" s="59" t="str">
        <f>IFERROR(IF(ISBLANK([1]PRIMARY_INFO!$B13),"",[1]PRIMARY_INFO!$B13),"")</f>
        <v/>
      </c>
      <c r="C13" s="63">
        <v>3</v>
      </c>
      <c r="D13" s="63">
        <v>15</v>
      </c>
      <c r="E13" s="63">
        <v>9</v>
      </c>
      <c r="F13" s="63">
        <v>8</v>
      </c>
      <c r="G13" s="61">
        <f>IFERROR(IF(AND(C13:F13)="","",SUM(C13:F13)),"")</f>
        <v>35</v>
      </c>
      <c r="H13" s="62" t="str">
        <f>IFERROR(IF(G13=0,"",ROUND((G13/SUM([1]SETTINGS!$C$26:$C$29))*[1]SETTINGS!$C$30,0)),"")</f>
        <v/>
      </c>
      <c r="I13" s="63">
        <v>10</v>
      </c>
      <c r="J13" s="62" t="str">
        <f>IFERROR(IF(ISBLANK(I13),"",ROUND((I13/[1]SETTINGS!$C$31)*[1]SETTINGS!$C$32,0)),"")</f>
        <v/>
      </c>
      <c r="K13" s="62" t="str">
        <f t="shared" ref="K13:K76" si="13">IFERROR(IF(AND(H13,J13)="","",SUM(H13,J13)),"")</f>
        <v/>
      </c>
      <c r="L13" s="64" t="str">
        <f t="shared" si="0"/>
        <v/>
      </c>
      <c r="M13" s="65" t="str">
        <f t="shared" ref="M13:M76" si="14">IFERROR(IF(K13="","",IF(K13&gt;=75,VALUE(1),IF(K13&gt;=70,VALUE(2),IF(K13&gt;=65,VALUE(3),IF(K13&gt;=60,VALUE(4),IF(K13&gt;=55,VALUE(5),IF(K13&gt;=50,VALUE(6),IF(K13&gt;=45,VALUE(7),IF(K13&gt;=40,VALUE(8),VALUE(9)))))))))),"")</f>
        <v/>
      </c>
      <c r="N13" s="66"/>
      <c r="O13" s="63">
        <v>5</v>
      </c>
      <c r="P13" s="63">
        <v>12</v>
      </c>
      <c r="Q13" s="63">
        <v>5</v>
      </c>
      <c r="R13" s="63">
        <v>5</v>
      </c>
      <c r="S13" s="61">
        <f t="shared" si="1"/>
        <v>27</v>
      </c>
      <c r="T13" s="62" t="str">
        <f>IFERROR(IF(S13=0,"",ROUND((S13/SUM([1]SETTINGS!$C$26:$C$29))*[1]SETTINGS!$C$30,0)),"")</f>
        <v/>
      </c>
      <c r="U13" s="63">
        <v>36</v>
      </c>
      <c r="V13" s="62" t="str">
        <f>IFERROR(IF(ISBLANK(U13),"",ROUND((U13/[1]SETTINGS!$C$31)*[1]SETTINGS!$C$32,0)),"")</f>
        <v/>
      </c>
      <c r="W13" s="62" t="str">
        <f t="shared" si="2"/>
        <v/>
      </c>
      <c r="X13" s="64" t="str">
        <f t="shared" si="3"/>
        <v/>
      </c>
      <c r="Y13" s="65" t="str">
        <f t="shared" si="4"/>
        <v/>
      </c>
      <c r="Z13" s="72"/>
      <c r="AA13" s="63">
        <v>6</v>
      </c>
      <c r="AB13" s="63">
        <v>12</v>
      </c>
      <c r="AC13" s="63">
        <v>10</v>
      </c>
      <c r="AD13" s="63">
        <v>14</v>
      </c>
      <c r="AE13" s="61">
        <f t="shared" ref="AE13:AE75" si="15">IFERROR(IF(AND(AA13:AD13)="","",SUM(AA13:AD13)),"")</f>
        <v>42</v>
      </c>
      <c r="AF13" s="62" t="str">
        <f>IFERROR(IF(AE13=0,"",ROUND((AE13/SUM([1]SETTINGS!$C$26:$C$29))*[1]SETTINGS!$C$30,0)),"")</f>
        <v/>
      </c>
      <c r="AG13" s="63">
        <v>20</v>
      </c>
      <c r="AH13" s="62" t="str">
        <f>IFERROR(IF(ISBLANK(AG13),"",ROUND((AG13/[1]SETTINGS!$C$31)*[1]SETTINGS!$C$32,0)),"")</f>
        <v/>
      </c>
      <c r="AI13" s="62" t="str">
        <f t="shared" ref="AI13:AI76" si="16">IFERROR(IF(AND(AF13,AH13)="","",SUM(AF13,AH13)),"")</f>
        <v/>
      </c>
      <c r="AJ13" s="64" t="str">
        <f t="shared" si="5"/>
        <v/>
      </c>
      <c r="AK13" s="75" t="str">
        <f t="shared" ref="AK13:AK76" si="17">IFERROR(IF(AI13="","",IF(AI13&gt;=75,VALUE(1),IF(AI13&gt;=70,VALUE(2),IF(AI13&gt;=65,VALUE(3),IF(AI13&gt;=60,VALUE(4),IF(AI13&gt;=55,VALUE(5),IF(AI13&gt;=50,VALUE(6),IF(AI13&gt;=45,VALUE(7),IF(AI13&gt;=40,VALUE(8),VALUE(9)))))))))),"")</f>
        <v/>
      </c>
      <c r="AL13" s="72"/>
      <c r="AM13" s="63">
        <v>7</v>
      </c>
      <c r="AN13" s="63">
        <v>10</v>
      </c>
      <c r="AO13" s="63">
        <v>11</v>
      </c>
      <c r="AP13" s="63">
        <v>14</v>
      </c>
      <c r="AQ13" s="61">
        <f t="shared" ref="AQ13:AQ75" si="18">IFERROR(IF(AND(AM13:AP13)="","",SUM(AM13:AP13)),"")</f>
        <v>42</v>
      </c>
      <c r="AR13" s="62" t="str">
        <f>IFERROR(IF(AQ13=0,"",ROUND((AQ13/SUM([1]SETTINGS!$C$26:$C$29))*[1]SETTINGS!$C$30,0)),"")</f>
        <v/>
      </c>
      <c r="AS13" s="63">
        <v>21</v>
      </c>
      <c r="AT13" s="62" t="str">
        <f>IFERROR(IF(ISBLANK(AS13),"",ROUND((AS13/[1]SETTINGS!$C$31)*[1]SETTINGS!$C$32,0)),"")</f>
        <v/>
      </c>
      <c r="AU13" s="62" t="str">
        <f t="shared" ref="AU13:AU76" si="19">IFERROR(IF(AND(AR13,AT13)="","",SUM(AR13,AT13)),"")</f>
        <v/>
      </c>
      <c r="AV13" s="64" t="str">
        <f t="shared" si="6"/>
        <v/>
      </c>
      <c r="AW13" s="65" t="str">
        <f t="shared" ref="AW13:AW76" si="20">IFERROR(IF(AU13="","",IF(AU13&gt;=75,VALUE(1),IF(AU13&gt;=70,VALUE(2),IF(AU13&gt;=65,VALUE(3),IF(AU13&gt;=60,VALUE(4),IF(AU13&gt;=55,VALUE(5),IF(AU13&gt;=50,VALUE(6),IF(AU13&gt;=45,VALUE(7),IF(AU13&gt;=40,VALUE(8),VALUE(9)))))))))),"")</f>
        <v/>
      </c>
      <c r="AX13" s="72"/>
      <c r="AY13" s="63">
        <v>10</v>
      </c>
      <c r="AZ13" s="63">
        <v>10</v>
      </c>
      <c r="BA13" s="63">
        <v>8</v>
      </c>
      <c r="BB13" s="63">
        <v>12</v>
      </c>
      <c r="BC13" s="61">
        <f t="shared" ref="BC13:BC75" si="21">IFERROR(IF(AND(AY13:BB13)="","",SUM(AY13:BB13)),"")</f>
        <v>40</v>
      </c>
      <c r="BD13" s="62" t="str">
        <f>IFERROR(IF(BC13=0,"",ROUND((BC13/SUM([1]SETTINGS!$C$26:$C$29))*[1]SETTINGS!$C$30,0)),"")</f>
        <v/>
      </c>
      <c r="BE13" s="63">
        <v>22</v>
      </c>
      <c r="BF13" s="62" t="str">
        <f>IFERROR(IF(ISBLANK(BE13),"",ROUND((BE13/[1]SETTINGS!$C$31)*[1]SETTINGS!$C$32,0)),"")</f>
        <v/>
      </c>
      <c r="BG13" s="62" t="str">
        <f t="shared" ref="BG13:BG76" si="22">IFERROR(IF(AND(BD13,BF13)="","",SUM(BD13,BF13)),"")</f>
        <v/>
      </c>
      <c r="BH13" s="64" t="str">
        <f t="shared" si="7"/>
        <v/>
      </c>
      <c r="BI13" s="75" t="str">
        <f t="shared" ref="BI13:BI76" si="23">IFERROR(IF(BG13="","",IF(BG13&gt;=75,VALUE(1),IF(BG13&gt;=70,VALUE(2),IF(BG13&gt;=65,VALUE(3),IF(BG13&gt;=60,VALUE(4),IF(BG13&gt;=55,VALUE(5),IF(BG13&gt;=50,VALUE(6),IF(BG13&gt;=45,VALUE(7),IF(BG13&gt;=40,VALUE(8),VALUE(9)))))))))),"")</f>
        <v/>
      </c>
      <c r="BJ13" s="72"/>
      <c r="BK13" s="63">
        <v>11</v>
      </c>
      <c r="BL13" s="63">
        <v>1</v>
      </c>
      <c r="BM13" s="63">
        <v>8</v>
      </c>
      <c r="BN13" s="63">
        <v>15</v>
      </c>
      <c r="BO13" s="61">
        <f t="shared" ref="BO13:BO75" si="24">IFERROR(IF(AND(BK13:BN13)="","",SUM(BK13:BN13)),"")</f>
        <v>35</v>
      </c>
      <c r="BP13" s="62" t="str">
        <f>IFERROR(IF(BO13=0,"",ROUND((BO13/SUM([1]SETTINGS!$C$26:$C$29))*[1]SETTINGS!$C$30,0)),"")</f>
        <v/>
      </c>
      <c r="BQ13" s="63">
        <v>25</v>
      </c>
      <c r="BR13" s="62" t="str">
        <f>IFERROR(IF(ISBLANK(BQ13),"",ROUND((BQ13/[1]SETTINGS!$C$31)*[1]SETTINGS!$C$32,0)),"")</f>
        <v/>
      </c>
      <c r="BS13" s="62" t="str">
        <f t="shared" ref="BS13:BS76" si="25">IFERROR(IF(AND(BP13,BR13)="","",SUM(BP13,BR13)),"")</f>
        <v/>
      </c>
      <c r="BT13" s="64" t="str">
        <f t="shared" si="8"/>
        <v/>
      </c>
      <c r="BU13" s="65" t="str">
        <f t="shared" ref="BU13:BU76" si="26">IFERROR(IF(BS13="","",IF(BS13&gt;=75,VALUE(1),IF(BS13&gt;=70,VALUE(2),IF(BS13&gt;=65,VALUE(3),IF(BS13&gt;=60,VALUE(4),IF(BS13&gt;=55,VALUE(5),IF(BS13&gt;=50,VALUE(6),IF(BS13&gt;=45,VALUE(7),IF(BS13&gt;=40,VALUE(8),VALUE(9)))))))))),"")</f>
        <v/>
      </c>
      <c r="BV13" s="72"/>
      <c r="BW13" s="63">
        <v>1</v>
      </c>
      <c r="BX13" s="63">
        <v>6</v>
      </c>
      <c r="BY13" s="63">
        <v>13</v>
      </c>
      <c r="BZ13" s="63">
        <v>10</v>
      </c>
      <c r="CA13" s="61">
        <f t="shared" ref="CA13:CA75" si="27">IFERROR(IF(AND(BW13:BZ13)="","",SUM(BW13:BZ13)),"")</f>
        <v>30</v>
      </c>
      <c r="CB13" s="62" t="str">
        <f>IFERROR(IF(CA13=0,"",ROUND((CA13/SUM([1]SETTINGS!$C$26:$C$29))*[1]SETTINGS!$C$30,0)),"")</f>
        <v/>
      </c>
      <c r="CC13" s="63">
        <v>14</v>
      </c>
      <c r="CD13" s="62" t="str">
        <f>IFERROR(IF(ISBLANK(CC13),"",ROUND((CC13/[1]SETTINGS!$C$31)*[1]SETTINGS!$C$32,0)),"")</f>
        <v/>
      </c>
      <c r="CE13" s="62" t="str">
        <f t="shared" ref="CE13:CE76" si="28">IFERROR(IF(AND(CB13,CD13)="","",SUM(CB13,CD13)),"")</f>
        <v/>
      </c>
      <c r="CF13" s="64" t="str">
        <f t="shared" si="9"/>
        <v/>
      </c>
      <c r="CG13" s="65" t="str">
        <f t="shared" ref="CG13:CG76" si="29">IFERROR(IF(CE13="","",IF(CE13&gt;=75,VALUE(1),IF(CE13&gt;=70,VALUE(2),IF(CE13&gt;=65,VALUE(3),IF(CE13&gt;=60,VALUE(4),IF(CE13&gt;=55,VALUE(5),IF(CE13&gt;=50,VALUE(6),IF(CE13&gt;=45,VALUE(7),IF(CE13&gt;=40,VALUE(8),VALUE(9)))))))))),"")</f>
        <v/>
      </c>
      <c r="CH13" s="72"/>
      <c r="CI13" s="63">
        <v>10</v>
      </c>
      <c r="CJ13" s="63">
        <v>16</v>
      </c>
      <c r="CK13" s="63">
        <v>5</v>
      </c>
      <c r="CL13" s="63">
        <v>10</v>
      </c>
      <c r="CM13" s="61">
        <f t="shared" ref="CM13:CM75" si="30">IFERROR(IF(AND(CI13:CL13)="","",SUM(CI13:CL13)),"")</f>
        <v>41</v>
      </c>
      <c r="CN13" s="62" t="str">
        <f>IFERROR(IF(CM13=0,"",ROUND((CM13/SUM([1]SETTINGS!$C$26:$C$29))*[1]SETTINGS!$C$30,0)),"")</f>
        <v/>
      </c>
      <c r="CO13" s="63">
        <v>13</v>
      </c>
      <c r="CP13" s="62" t="str">
        <f>IFERROR(IF(ISBLANK(CO13),"",ROUND((CO13/[1]SETTINGS!$C$31)*[1]SETTINGS!$C$32,0)),"")</f>
        <v/>
      </c>
      <c r="CQ13" s="62" t="str">
        <f t="shared" ref="CQ13:CQ76" si="31">IFERROR(IF(AND(CN13,CP13)="","",SUM(CN13,CP13)),"")</f>
        <v/>
      </c>
      <c r="CR13" s="64" t="str">
        <f t="shared" si="10"/>
        <v/>
      </c>
      <c r="CS13" s="65" t="str">
        <f t="shared" ref="CS13:CS76" si="32">IFERROR(IF(CQ13="","",IF(CQ13&gt;=75,VALUE(1),IF(CQ13&gt;=70,VALUE(2),IF(CQ13&gt;=65,VALUE(3),IF(CQ13&gt;=60,VALUE(4),IF(CQ13&gt;=55,VALUE(5),IF(CQ13&gt;=50,VALUE(6),IF(CQ13&gt;=45,VALUE(7),IF(CQ13&gt;=40,VALUE(8),VALUE(9)))))))))),"")</f>
        <v/>
      </c>
      <c r="CT13" s="72"/>
      <c r="CU13" s="63">
        <v>5</v>
      </c>
      <c r="CV13" s="63">
        <v>11</v>
      </c>
      <c r="CW13" s="63">
        <v>8</v>
      </c>
      <c r="CX13" s="63">
        <v>5</v>
      </c>
      <c r="CY13" s="61">
        <f t="shared" ref="CY13:CY75" si="33">IFERROR(IF(AND(CU13:CX13)="","",SUM(CU13:CX13)),"")</f>
        <v>29</v>
      </c>
      <c r="CZ13" s="62" t="str">
        <f>IFERROR(IF(CY13=0,"",ROUND((CY13/SUM([1]SETTINGS!$C$26:$C$29))*[1]SETTINGS!$C$30,0)),"")</f>
        <v/>
      </c>
      <c r="DA13" s="63">
        <v>26</v>
      </c>
      <c r="DB13" s="62" t="str">
        <f>IFERROR(IF(ISBLANK(DA13),"",ROUND((DA13/[1]SETTINGS!$C$31)*[1]SETTINGS!$C$32,0)),"")</f>
        <v/>
      </c>
      <c r="DC13" s="62" t="str">
        <f t="shared" ref="DC13:DC76" si="34">IFERROR(IF(AND(CZ13,DB13)="","",SUM(CZ13,DB13)),"")</f>
        <v/>
      </c>
      <c r="DD13" s="64" t="str">
        <f t="shared" si="11"/>
        <v/>
      </c>
      <c r="DE13" s="65" t="str">
        <f t="shared" ref="DE13:DE76" si="35">IFERROR(IF(DC13="","",IF(DC13&gt;=75,VALUE(1),IF(DC13&gt;=70,VALUE(2),IF(DC13&gt;=65,VALUE(3),IF(DC13&gt;=60,VALUE(4),IF(DC13&gt;=55,VALUE(5),IF(DC13&gt;=50,VALUE(6),IF(DC13&gt;=45,VALUE(7),IF(DC13&gt;=40,VALUE(8),VALUE(9)))))))))),"")</f>
        <v/>
      </c>
      <c r="DF13" s="64" t="str">
        <f t="shared" si="12"/>
        <v/>
      </c>
      <c r="DG13" s="64" t="str">
        <f>IFERROR(IF(AND(K13,W13,AI13,AU13,BG13,BS13,CE13,CQ13,DC13)="","",SUM(K13,W13,AI13,AU13,LARGE((BG13,BS13,CE13,CQ13,DC13),{1,2}))),"")</f>
        <v/>
      </c>
      <c r="DH13" s="64" t="str">
        <f>IFERROR(IF(AND(M13,Y13,AK13,AW13,,BI13,BU13,CG13,CS13,DE13)="","",SUM(M13,Y13,AK13,AW13,SMALL((BI13,BU13,CG13,CS13,DE13),{1,2}))),"")</f>
        <v/>
      </c>
      <c r="DI13" s="76" t="str">
        <f>IFERROR(pos&amp;IF(AND(MOD(ABS(18),100)&gt;10,MOD(ABS(pos),100)&lt;14),"th", CHOOSE(MOD(ABS(pos),10)+1,"th","st","nd","rd","th","th","th","th","th","th")),"")</f>
        <v/>
      </c>
      <c r="DJ13" s="15">
        <f>ROWS($B$12:$B13)</f>
        <v>2</v>
      </c>
      <c r="DK13" s="15">
        <f>IF($B13=[1]REPORT_CARD!$B$9,$DJ13,"")</f>
        <v>2</v>
      </c>
      <c r="DM13" s="74"/>
    </row>
    <row r="14" spans="1:1024" ht="19.5" customHeight="1">
      <c r="A14" s="59" t="str">
        <f>IFERROR(IF(ISBLANK([1]PRIMARY_INFO!$A14),"",[1]PRIMARY_INFO!$A14),"")</f>
        <v/>
      </c>
      <c r="B14" s="59" t="str">
        <f>IFERROR(IF(ISBLANK([1]PRIMARY_INFO!$B14),"",[1]PRIMARY_INFO!$B14),"")</f>
        <v/>
      </c>
      <c r="C14" s="63">
        <v>3</v>
      </c>
      <c r="D14" s="63">
        <v>14</v>
      </c>
      <c r="E14" s="63">
        <v>5</v>
      </c>
      <c r="F14" s="63">
        <v>5</v>
      </c>
      <c r="G14" s="61">
        <f t="shared" ref="G14:G76" si="36">IFERROR(IF(AND(C14:F14)="","",SUM(C14:F14)),"")</f>
        <v>27</v>
      </c>
      <c r="H14" s="62" t="str">
        <f>IFERROR(IF(G14=0,"",ROUND((G14/SUM([1]SETTINGS!$C$26:$C$29))*[1]SETTINGS!$C$30,0)),"")</f>
        <v/>
      </c>
      <c r="I14" s="63">
        <v>12</v>
      </c>
      <c r="J14" s="62" t="str">
        <f>IFERROR(IF(ISBLANK(I14),"",ROUND((I14/[1]SETTINGS!$C$31)*[1]SETTINGS!$C$32,0)),"")</f>
        <v/>
      </c>
      <c r="K14" s="62" t="str">
        <f t="shared" si="13"/>
        <v/>
      </c>
      <c r="L14" s="64" t="str">
        <f t="shared" si="0"/>
        <v/>
      </c>
      <c r="M14" s="65" t="str">
        <f t="shared" si="14"/>
        <v/>
      </c>
      <c r="N14" s="66"/>
      <c r="O14" s="63">
        <v>5</v>
      </c>
      <c r="P14" s="63">
        <v>10</v>
      </c>
      <c r="Q14" s="63">
        <v>5</v>
      </c>
      <c r="R14" s="63">
        <v>10</v>
      </c>
      <c r="S14" s="61">
        <f t="shared" si="1"/>
        <v>30</v>
      </c>
      <c r="T14" s="62" t="str">
        <f>IFERROR(IF(S14=0,"",ROUND((S14/SUM([1]SETTINGS!$C$26:$C$29))*[1]SETTINGS!$C$30,0)),"")</f>
        <v/>
      </c>
      <c r="U14" s="63">
        <v>13</v>
      </c>
      <c r="V14" s="62" t="str">
        <f>IFERROR(IF(ISBLANK(U14),"",ROUND((U14/[1]SETTINGS!$C$31)*[1]SETTINGS!$C$32,0)),"")</f>
        <v/>
      </c>
      <c r="W14" s="62" t="str">
        <f t="shared" si="2"/>
        <v/>
      </c>
      <c r="X14" s="64" t="str">
        <f t="shared" si="3"/>
        <v/>
      </c>
      <c r="Y14" s="65" t="str">
        <f t="shared" si="4"/>
        <v/>
      </c>
      <c r="Z14" s="72"/>
      <c r="AA14" s="63">
        <v>6</v>
      </c>
      <c r="AB14" s="63">
        <v>10</v>
      </c>
      <c r="AC14" s="63">
        <v>12</v>
      </c>
      <c r="AD14" s="63">
        <v>8</v>
      </c>
      <c r="AE14" s="61">
        <f t="shared" si="15"/>
        <v>36</v>
      </c>
      <c r="AF14" s="62" t="str">
        <f>IFERROR(IF(AE14=0,"",ROUND((AE14/SUM([1]SETTINGS!$C$26:$C$29))*[1]SETTINGS!$C$30,0)),"")</f>
        <v/>
      </c>
      <c r="AG14" s="63">
        <v>28</v>
      </c>
      <c r="AH14" s="62" t="str">
        <f>IFERROR(IF(ISBLANK(AG14),"",ROUND((AG14/[1]SETTINGS!$C$31)*[1]SETTINGS!$C$32,0)),"")</f>
        <v/>
      </c>
      <c r="AI14" s="62" t="str">
        <f t="shared" si="16"/>
        <v/>
      </c>
      <c r="AJ14" s="64" t="str">
        <f t="shared" si="5"/>
        <v/>
      </c>
      <c r="AK14" s="75" t="str">
        <f t="shared" si="17"/>
        <v/>
      </c>
      <c r="AL14" s="72"/>
      <c r="AM14" s="63">
        <v>7</v>
      </c>
      <c r="AN14" s="63">
        <v>11</v>
      </c>
      <c r="AO14" s="63">
        <v>12</v>
      </c>
      <c r="AP14" s="63">
        <v>15</v>
      </c>
      <c r="AQ14" s="61">
        <f t="shared" si="18"/>
        <v>45</v>
      </c>
      <c r="AR14" s="62" t="str">
        <f>IFERROR(IF(AQ14=0,"",ROUND((AQ14/SUM([1]SETTINGS!$C$26:$C$29))*[1]SETTINGS!$C$30,0)),"")</f>
        <v/>
      </c>
      <c r="AS14" s="63">
        <v>25</v>
      </c>
      <c r="AT14" s="62" t="str">
        <f>IFERROR(IF(ISBLANK(AS14),"",ROUND((AS14/[1]SETTINGS!$C$31)*[1]SETTINGS!$C$32,0)),"")</f>
        <v/>
      </c>
      <c r="AU14" s="62" t="str">
        <f t="shared" si="19"/>
        <v/>
      </c>
      <c r="AV14" s="64" t="str">
        <f t="shared" si="6"/>
        <v/>
      </c>
      <c r="AW14" s="65" t="str">
        <f t="shared" si="20"/>
        <v/>
      </c>
      <c r="AX14" s="72"/>
      <c r="AY14" s="63">
        <v>12</v>
      </c>
      <c r="AZ14" s="63">
        <v>6</v>
      </c>
      <c r="BA14" s="63">
        <v>10</v>
      </c>
      <c r="BB14" s="63">
        <v>8</v>
      </c>
      <c r="BC14" s="61">
        <f t="shared" si="21"/>
        <v>36</v>
      </c>
      <c r="BD14" s="62" t="str">
        <f>IFERROR(IF(BC14=0,"",ROUND((BC14/SUM([1]SETTINGS!$C$26:$C$29))*[1]SETTINGS!$C$30,0)),"")</f>
        <v/>
      </c>
      <c r="BE14" s="63">
        <v>15</v>
      </c>
      <c r="BF14" s="62" t="str">
        <f>IFERROR(IF(ISBLANK(BE14),"",ROUND((BE14/[1]SETTINGS!$C$31)*[1]SETTINGS!$C$32,0)),"")</f>
        <v/>
      </c>
      <c r="BG14" s="62" t="str">
        <f t="shared" si="22"/>
        <v/>
      </c>
      <c r="BH14" s="64" t="str">
        <f t="shared" si="7"/>
        <v/>
      </c>
      <c r="BI14" s="75" t="str">
        <f t="shared" si="23"/>
        <v/>
      </c>
      <c r="BJ14" s="72"/>
      <c r="BK14" s="63">
        <v>9</v>
      </c>
      <c r="BL14" s="63">
        <v>9</v>
      </c>
      <c r="BM14" s="63">
        <v>4</v>
      </c>
      <c r="BN14" s="63">
        <v>6</v>
      </c>
      <c r="BO14" s="61">
        <f t="shared" si="24"/>
        <v>28</v>
      </c>
      <c r="BP14" s="62" t="str">
        <f>IFERROR(IF(BO14=0,"",ROUND((BO14/SUM([1]SETTINGS!$C$26:$C$29))*[1]SETTINGS!$C$30,0)),"")</f>
        <v/>
      </c>
      <c r="BQ14" s="63">
        <v>44</v>
      </c>
      <c r="BR14" s="62" t="str">
        <f>IFERROR(IF(ISBLANK(BQ14),"",ROUND((BQ14/[1]SETTINGS!$C$31)*[1]SETTINGS!$C$32,0)),"")</f>
        <v/>
      </c>
      <c r="BS14" s="62" t="str">
        <f t="shared" si="25"/>
        <v/>
      </c>
      <c r="BT14" s="64" t="str">
        <f t="shared" si="8"/>
        <v/>
      </c>
      <c r="BU14" s="65" t="str">
        <f t="shared" si="26"/>
        <v/>
      </c>
      <c r="BV14" s="72"/>
      <c r="BW14" s="63">
        <v>7</v>
      </c>
      <c r="BX14" s="63">
        <v>1</v>
      </c>
      <c r="BY14" s="63">
        <v>7</v>
      </c>
      <c r="BZ14" s="63">
        <v>8</v>
      </c>
      <c r="CA14" s="61">
        <f t="shared" si="27"/>
        <v>23</v>
      </c>
      <c r="CB14" s="62" t="str">
        <f>IFERROR(IF(CA14=0,"",ROUND((CA14/SUM([1]SETTINGS!$C$26:$C$29))*[1]SETTINGS!$C$30,0)),"")</f>
        <v/>
      </c>
      <c r="CC14" s="63">
        <v>24</v>
      </c>
      <c r="CD14" s="62" t="str">
        <f>IFERROR(IF(ISBLANK(CC14),"",ROUND((CC14/[1]SETTINGS!$C$31)*[1]SETTINGS!$C$32,0)),"")</f>
        <v/>
      </c>
      <c r="CE14" s="62" t="str">
        <f t="shared" si="28"/>
        <v/>
      </c>
      <c r="CF14" s="64" t="str">
        <f t="shared" si="9"/>
        <v/>
      </c>
      <c r="CG14" s="65" t="str">
        <f t="shared" si="29"/>
        <v/>
      </c>
      <c r="CH14" s="72"/>
      <c r="CI14" s="63">
        <v>3</v>
      </c>
      <c r="CJ14" s="63">
        <v>15</v>
      </c>
      <c r="CK14" s="63">
        <v>1</v>
      </c>
      <c r="CL14" s="63">
        <v>10</v>
      </c>
      <c r="CM14" s="61">
        <f t="shared" si="30"/>
        <v>29</v>
      </c>
      <c r="CN14" s="62" t="str">
        <f>IFERROR(IF(CM14=0,"",ROUND((CM14/SUM([1]SETTINGS!$C$26:$C$29))*[1]SETTINGS!$C$30,0)),"")</f>
        <v/>
      </c>
      <c r="CO14" s="63">
        <v>23</v>
      </c>
      <c r="CP14" s="62" t="str">
        <f>IFERROR(IF(ISBLANK(CO14),"",ROUND((CO14/[1]SETTINGS!$C$31)*[1]SETTINGS!$C$32,0)),"")</f>
        <v/>
      </c>
      <c r="CQ14" s="62" t="str">
        <f t="shared" si="31"/>
        <v/>
      </c>
      <c r="CR14" s="64" t="str">
        <f t="shared" si="10"/>
        <v/>
      </c>
      <c r="CS14" s="65" t="str">
        <f t="shared" si="32"/>
        <v/>
      </c>
      <c r="CT14" s="72"/>
      <c r="CU14" s="63">
        <v>10</v>
      </c>
      <c r="CV14" s="63">
        <v>14</v>
      </c>
      <c r="CW14" s="63">
        <v>8</v>
      </c>
      <c r="CX14" s="63">
        <v>6</v>
      </c>
      <c r="CY14" s="61">
        <f t="shared" si="33"/>
        <v>38</v>
      </c>
      <c r="CZ14" s="62" t="str">
        <f>IFERROR(IF(CY14=0,"",ROUND((CY14/SUM([1]SETTINGS!$C$26:$C$29))*[1]SETTINGS!$C$30,0)),"")</f>
        <v/>
      </c>
      <c r="DA14" s="63">
        <v>10</v>
      </c>
      <c r="DB14" s="62" t="str">
        <f>IFERROR(IF(ISBLANK(DA14),"",ROUND((DA14/[1]SETTINGS!$C$31)*[1]SETTINGS!$C$32,0)),"")</f>
        <v/>
      </c>
      <c r="DC14" s="62" t="str">
        <f t="shared" si="34"/>
        <v/>
      </c>
      <c r="DD14" s="64" t="str">
        <f t="shared" si="11"/>
        <v/>
      </c>
      <c r="DE14" s="65" t="str">
        <f t="shared" si="35"/>
        <v/>
      </c>
      <c r="DF14" s="64" t="str">
        <f t="shared" si="12"/>
        <v/>
      </c>
      <c r="DG14" s="64" t="str">
        <f>IFERROR(IF(AND(K14,W14,AI14,AU14,BG14,BS14,CE14,CQ14,DC14)="","",SUM(K14,W14,AI14,AU14,LARGE((BG14,BS14,CE14,CQ14,DC14),{1,2}))),"")</f>
        <v/>
      </c>
      <c r="DH14" s="64" t="str">
        <f>IFERROR(IF(AND(M14,Y14,AK14,AW14,,BI14,BU14,CG14,CS14,DE14)="","",SUM(M14,Y14,AK14,AW14,SMALL((BI14,BU14,CG14,CS14,DE14),{1,2}))),"")</f>
        <v/>
      </c>
      <c r="DI14" s="76" t="str">
        <f>IFERROR(pos&amp;IF(AND(MOD(ABS(18),100)&gt;10,MOD(ABS(pos),100)&lt;14),"th", CHOOSE(MOD(ABS(pos),10)+1,"th","st","nd","rd","th","th","th","th","th","th")),"")</f>
        <v/>
      </c>
      <c r="DJ14" s="15">
        <f>ROWS($B$12:$B14)</f>
        <v>3</v>
      </c>
      <c r="DK14" s="15">
        <f>IF($B14=[1]REPORT_CARD!$B$9,$DJ14,"")</f>
        <v>3</v>
      </c>
      <c r="DM14" s="74"/>
    </row>
    <row r="15" spans="1:1024" ht="19.5" customHeight="1">
      <c r="A15" s="59" t="str">
        <f>IFERROR(IF(ISBLANK([1]PRIMARY_INFO!$A15),"",[1]PRIMARY_INFO!$A15),"")</f>
        <v/>
      </c>
      <c r="B15" s="59" t="str">
        <f>IFERROR(IF(ISBLANK([1]PRIMARY_INFO!$B15),"",[1]PRIMARY_INFO!$B15),"")</f>
        <v/>
      </c>
      <c r="C15" s="63">
        <v>15</v>
      </c>
      <c r="D15" s="63">
        <v>14</v>
      </c>
      <c r="E15" s="63">
        <v>10</v>
      </c>
      <c r="F15" s="63">
        <v>6</v>
      </c>
      <c r="G15" s="61">
        <f t="shared" si="36"/>
        <v>45</v>
      </c>
      <c r="H15" s="62" t="str">
        <f>IFERROR(IF(G15=0,"",ROUND((G15/SUM([1]SETTINGS!$C$26:$C$29))*[1]SETTINGS!$C$30,0)),"")</f>
        <v/>
      </c>
      <c r="I15" s="63">
        <v>40</v>
      </c>
      <c r="J15" s="62" t="str">
        <f>IFERROR(IF(ISBLANK(I15),"",ROUND((I15/[1]SETTINGS!$C$31)*[1]SETTINGS!$C$32,0)),"")</f>
        <v/>
      </c>
      <c r="K15" s="62" t="str">
        <f t="shared" si="13"/>
        <v/>
      </c>
      <c r="L15" s="64" t="str">
        <f t="shared" si="0"/>
        <v/>
      </c>
      <c r="M15" s="65" t="str">
        <f t="shared" si="14"/>
        <v/>
      </c>
      <c r="N15" s="66"/>
      <c r="O15" s="63">
        <v>5</v>
      </c>
      <c r="P15" s="63">
        <v>13</v>
      </c>
      <c r="Q15" s="63">
        <v>13</v>
      </c>
      <c r="R15" s="63">
        <v>10</v>
      </c>
      <c r="S15" s="61">
        <f t="shared" si="1"/>
        <v>41</v>
      </c>
      <c r="T15" s="62" t="str">
        <f>IFERROR(IF(S15=0,"",ROUND((S15/SUM([1]SETTINGS!$C$26:$C$29))*[1]SETTINGS!$C$30,0)),"")</f>
        <v/>
      </c>
      <c r="U15" s="63">
        <v>43</v>
      </c>
      <c r="V15" s="62" t="str">
        <f>IFERROR(IF(ISBLANK(U15),"",ROUND((U15/[1]SETTINGS!$C$31)*[1]SETTINGS!$C$32,0)),"")</f>
        <v/>
      </c>
      <c r="W15" s="62" t="str">
        <f t="shared" si="2"/>
        <v/>
      </c>
      <c r="X15" s="64" t="str">
        <f t="shared" si="3"/>
        <v/>
      </c>
      <c r="Y15" s="65" t="str">
        <f t="shared" si="4"/>
        <v/>
      </c>
      <c r="Z15" s="72"/>
      <c r="AA15" s="63">
        <v>10</v>
      </c>
      <c r="AB15" s="63">
        <v>10</v>
      </c>
      <c r="AC15" s="63">
        <v>10</v>
      </c>
      <c r="AD15" s="63">
        <v>13</v>
      </c>
      <c r="AE15" s="61">
        <f t="shared" si="15"/>
        <v>43</v>
      </c>
      <c r="AF15" s="62" t="str">
        <f>IFERROR(IF(AE15=0,"",ROUND((AE15/SUM([1]SETTINGS!$C$26:$C$29))*[1]SETTINGS!$C$30,0)),"")</f>
        <v/>
      </c>
      <c r="AG15" s="63">
        <v>40</v>
      </c>
      <c r="AH15" s="62" t="str">
        <f>IFERROR(IF(ISBLANK(AG15),"",ROUND((AG15/[1]SETTINGS!$C$31)*[1]SETTINGS!$C$32,0)),"")</f>
        <v/>
      </c>
      <c r="AI15" s="62" t="str">
        <f t="shared" si="16"/>
        <v/>
      </c>
      <c r="AJ15" s="64" t="str">
        <f t="shared" si="5"/>
        <v/>
      </c>
      <c r="AK15" s="75" t="str">
        <f t="shared" si="17"/>
        <v/>
      </c>
      <c r="AL15" s="72"/>
      <c r="AM15" s="63">
        <v>10</v>
      </c>
      <c r="AN15" s="63">
        <v>7</v>
      </c>
      <c r="AO15" s="63">
        <v>8</v>
      </c>
      <c r="AP15" s="63">
        <v>15</v>
      </c>
      <c r="AQ15" s="61">
        <f t="shared" si="18"/>
        <v>40</v>
      </c>
      <c r="AR15" s="62" t="str">
        <f>IFERROR(IF(AQ15=0,"",ROUND((AQ15/SUM([1]SETTINGS!$C$26:$C$29))*[1]SETTINGS!$C$30,0)),"")</f>
        <v/>
      </c>
      <c r="AS15" s="63">
        <v>29</v>
      </c>
      <c r="AT15" s="62" t="str">
        <f>IFERROR(IF(ISBLANK(AS15),"",ROUND((AS15/[1]SETTINGS!$C$31)*[1]SETTINGS!$C$32,0)),"")</f>
        <v/>
      </c>
      <c r="AU15" s="62" t="str">
        <f t="shared" si="19"/>
        <v/>
      </c>
      <c r="AV15" s="64" t="str">
        <f t="shared" si="6"/>
        <v/>
      </c>
      <c r="AW15" s="65" t="str">
        <f t="shared" si="20"/>
        <v/>
      </c>
      <c r="AX15" s="72"/>
      <c r="AY15" s="63">
        <v>12</v>
      </c>
      <c r="AZ15" s="63">
        <v>8</v>
      </c>
      <c r="BA15" s="63">
        <v>5</v>
      </c>
      <c r="BB15" s="63">
        <v>10</v>
      </c>
      <c r="BC15" s="61">
        <f t="shared" si="21"/>
        <v>35</v>
      </c>
      <c r="BD15" s="62" t="str">
        <f>IFERROR(IF(BC15=0,"",ROUND((BC15/SUM([1]SETTINGS!$C$26:$C$29))*[1]SETTINGS!$C$30,0)),"")</f>
        <v/>
      </c>
      <c r="BE15" s="63">
        <v>50</v>
      </c>
      <c r="BF15" s="62" t="str">
        <f>IFERROR(IF(ISBLANK(BE15),"",ROUND((BE15/[1]SETTINGS!$C$31)*[1]SETTINGS!$C$32,0)),"")</f>
        <v/>
      </c>
      <c r="BG15" s="62" t="str">
        <f t="shared" si="22"/>
        <v/>
      </c>
      <c r="BH15" s="64" t="str">
        <f t="shared" si="7"/>
        <v/>
      </c>
      <c r="BI15" s="75" t="str">
        <f t="shared" si="23"/>
        <v/>
      </c>
      <c r="BJ15" s="72"/>
      <c r="BK15" s="63">
        <v>4</v>
      </c>
      <c r="BL15" s="63">
        <v>10</v>
      </c>
      <c r="BM15" s="63">
        <v>15</v>
      </c>
      <c r="BN15" s="63">
        <v>15</v>
      </c>
      <c r="BO15" s="61">
        <f t="shared" si="24"/>
        <v>44</v>
      </c>
      <c r="BP15" s="62" t="str">
        <f>IFERROR(IF(BO15=0,"",ROUND((BO15/SUM([1]SETTINGS!$C$26:$C$29))*[1]SETTINGS!$C$30,0)),"")</f>
        <v/>
      </c>
      <c r="BQ15" s="63">
        <v>32</v>
      </c>
      <c r="BR15" s="62" t="str">
        <f>IFERROR(IF(ISBLANK(BQ15),"",ROUND((BQ15/[1]SETTINGS!$C$31)*[1]SETTINGS!$C$32,0)),"")</f>
        <v/>
      </c>
      <c r="BS15" s="62" t="str">
        <f t="shared" si="25"/>
        <v/>
      </c>
      <c r="BT15" s="64" t="str">
        <f t="shared" si="8"/>
        <v/>
      </c>
      <c r="BU15" s="65" t="str">
        <f t="shared" si="26"/>
        <v/>
      </c>
      <c r="BV15" s="72"/>
      <c r="BW15" s="63">
        <v>10</v>
      </c>
      <c r="BX15" s="63">
        <v>9</v>
      </c>
      <c r="BY15" s="63">
        <v>11</v>
      </c>
      <c r="BZ15" s="63">
        <v>13</v>
      </c>
      <c r="CA15" s="61">
        <f t="shared" si="27"/>
        <v>43</v>
      </c>
      <c r="CB15" s="62" t="str">
        <f>IFERROR(IF(CA15=0,"",ROUND((CA15/SUM([1]SETTINGS!$C$26:$C$29))*[1]SETTINGS!$C$30,0)),"")</f>
        <v/>
      </c>
      <c r="CC15" s="63">
        <v>31</v>
      </c>
      <c r="CD15" s="62" t="str">
        <f>IFERROR(IF(ISBLANK(CC15),"",ROUND((CC15/[1]SETTINGS!$C$31)*[1]SETTINGS!$C$32,0)),"")</f>
        <v/>
      </c>
      <c r="CE15" s="62" t="str">
        <f t="shared" si="28"/>
        <v/>
      </c>
      <c r="CF15" s="64" t="str">
        <f t="shared" si="9"/>
        <v/>
      </c>
      <c r="CG15" s="65" t="str">
        <f t="shared" si="29"/>
        <v/>
      </c>
      <c r="CH15" s="72"/>
      <c r="CI15" s="63">
        <v>10</v>
      </c>
      <c r="CJ15" s="63">
        <v>5</v>
      </c>
      <c r="CK15" s="63">
        <v>10</v>
      </c>
      <c r="CL15" s="63">
        <v>10</v>
      </c>
      <c r="CM15" s="61">
        <f t="shared" si="30"/>
        <v>35</v>
      </c>
      <c r="CN15" s="62" t="str">
        <f>IFERROR(IF(CM15=0,"",ROUND((CM15/SUM([1]SETTINGS!$C$26:$C$29))*[1]SETTINGS!$C$30,0)),"")</f>
        <v/>
      </c>
      <c r="CO15" s="63">
        <v>19</v>
      </c>
      <c r="CP15" s="62" t="str">
        <f>IFERROR(IF(ISBLANK(CO15),"",ROUND((CO15/[1]SETTINGS!$C$31)*[1]SETTINGS!$C$32,0)),"")</f>
        <v/>
      </c>
      <c r="CQ15" s="62" t="str">
        <f t="shared" si="31"/>
        <v/>
      </c>
      <c r="CR15" s="64" t="str">
        <f t="shared" si="10"/>
        <v/>
      </c>
      <c r="CS15" s="65" t="str">
        <f t="shared" si="32"/>
        <v/>
      </c>
      <c r="CT15" s="72"/>
      <c r="CU15" s="63">
        <v>5</v>
      </c>
      <c r="CV15" s="63">
        <v>7</v>
      </c>
      <c r="CW15" s="63">
        <v>10</v>
      </c>
      <c r="CX15" s="63">
        <v>15</v>
      </c>
      <c r="CY15" s="61">
        <f t="shared" si="33"/>
        <v>37</v>
      </c>
      <c r="CZ15" s="62" t="str">
        <f>IFERROR(IF(CY15=0,"",ROUND((CY15/SUM([1]SETTINGS!$C$26:$C$29))*[1]SETTINGS!$C$30,0)),"")</f>
        <v/>
      </c>
      <c r="DA15" s="63">
        <v>20</v>
      </c>
      <c r="DB15" s="62" t="str">
        <f>IFERROR(IF(ISBLANK(DA15),"",ROUND((DA15/[1]SETTINGS!$C$31)*[1]SETTINGS!$C$32,0)),"")</f>
        <v/>
      </c>
      <c r="DC15" s="62" t="str">
        <f t="shared" si="34"/>
        <v/>
      </c>
      <c r="DD15" s="64" t="str">
        <f t="shared" si="11"/>
        <v/>
      </c>
      <c r="DE15" s="65" t="str">
        <f t="shared" si="35"/>
        <v/>
      </c>
      <c r="DF15" s="64" t="str">
        <f t="shared" si="12"/>
        <v/>
      </c>
      <c r="DG15" s="64" t="str">
        <f>IFERROR(IF(AND(K15,W15,AI15,AU15,BG15,BS15,CE15,CQ15,DC15)="","",SUM(K15,W15,AI15,AU15,LARGE((BG15,BS15,CE15,CQ15,DC15),{1,2}))),"")</f>
        <v/>
      </c>
      <c r="DH15" s="64" t="str">
        <f>IFERROR(IF(AND(M15,Y15,AK15,AW15,,BI15,BU15,CG15,CS15,DE15)="","",SUM(M15,Y15,AK15,AW15,SMALL((BI15,BU15,CG15,CS15,DE15),{1,2}))),"")</f>
        <v/>
      </c>
      <c r="DI15" s="76" t="str">
        <f>IFERROR(pos&amp;IF(AND(MOD(ABS(18),100)&gt;10,MOD(ABS(pos),100)&lt;14),"th", CHOOSE(MOD(ABS(pos),10)+1,"th","st","nd","rd","th","th","th","th","th","th")),"")</f>
        <v/>
      </c>
      <c r="DJ15" s="15">
        <f>ROWS($B$12:$B15)</f>
        <v>4</v>
      </c>
      <c r="DK15" s="15">
        <f>IF($B15=[1]REPORT_CARD!$B$9,$DJ15,"")</f>
        <v>4</v>
      </c>
      <c r="DM15" s="74"/>
    </row>
    <row r="16" spans="1:1024" ht="19.5" customHeight="1">
      <c r="A16" s="59" t="str">
        <f>IFERROR(IF(ISBLANK([1]PRIMARY_INFO!$A16),"",[1]PRIMARY_INFO!$A16),"")</f>
        <v/>
      </c>
      <c r="B16" s="59" t="str">
        <f>IFERROR(IF(ISBLANK([1]PRIMARY_INFO!$B16),"",[1]PRIMARY_INFO!$B16),"")</f>
        <v/>
      </c>
      <c r="C16" s="63">
        <v>13</v>
      </c>
      <c r="D16" s="63">
        <v>4</v>
      </c>
      <c r="E16" s="63">
        <v>12</v>
      </c>
      <c r="F16" s="63">
        <v>10</v>
      </c>
      <c r="G16" s="61">
        <f t="shared" si="36"/>
        <v>39</v>
      </c>
      <c r="H16" s="62" t="str">
        <f>IFERROR(IF(G16=0,"",ROUND((G16/SUM([1]SETTINGS!$C$26:$C$29))*[1]SETTINGS!$C$30,0)),"")</f>
        <v/>
      </c>
      <c r="I16" s="63">
        <v>47</v>
      </c>
      <c r="J16" s="62" t="str">
        <f>IFERROR(IF(ISBLANK(I16),"",ROUND((I16/[1]SETTINGS!$C$31)*[1]SETTINGS!$C$32,0)),"")</f>
        <v/>
      </c>
      <c r="K16" s="62" t="str">
        <f t="shared" si="13"/>
        <v/>
      </c>
      <c r="L16" s="64" t="str">
        <f t="shared" si="0"/>
        <v/>
      </c>
      <c r="M16" s="65" t="str">
        <f t="shared" si="14"/>
        <v/>
      </c>
      <c r="N16" s="66"/>
      <c r="O16" s="63">
        <v>5</v>
      </c>
      <c r="P16" s="63">
        <v>14</v>
      </c>
      <c r="Q16" s="63">
        <v>5</v>
      </c>
      <c r="R16" s="63">
        <v>12</v>
      </c>
      <c r="S16" s="61">
        <f t="shared" si="1"/>
        <v>36</v>
      </c>
      <c r="T16" s="62" t="str">
        <f>IFERROR(IF(S16=0,"",ROUND((S16/SUM([1]SETTINGS!$C$26:$C$29))*[1]SETTINGS!$C$30,0)),"")</f>
        <v/>
      </c>
      <c r="U16" s="63">
        <v>56</v>
      </c>
      <c r="V16" s="62" t="str">
        <f>IFERROR(IF(ISBLANK(U16),"",ROUND((U16/[1]SETTINGS!$C$31)*[1]SETTINGS!$C$32,0)),"")</f>
        <v/>
      </c>
      <c r="W16" s="62" t="str">
        <f t="shared" si="2"/>
        <v/>
      </c>
      <c r="X16" s="64" t="str">
        <f t="shared" si="3"/>
        <v/>
      </c>
      <c r="Y16" s="65" t="str">
        <f t="shared" si="4"/>
        <v/>
      </c>
      <c r="Z16" s="72"/>
      <c r="AA16" s="63">
        <v>6</v>
      </c>
      <c r="AB16" s="63">
        <v>8</v>
      </c>
      <c r="AC16" s="63">
        <v>12</v>
      </c>
      <c r="AD16" s="63">
        <v>13</v>
      </c>
      <c r="AE16" s="61">
        <f t="shared" si="15"/>
        <v>39</v>
      </c>
      <c r="AF16" s="62" t="str">
        <f>IFERROR(IF(AE16=0,"",ROUND((AE16/SUM([1]SETTINGS!$C$26:$C$29))*[1]SETTINGS!$C$30,0)),"")</f>
        <v/>
      </c>
      <c r="AG16" s="63">
        <v>69</v>
      </c>
      <c r="AH16" s="62" t="str">
        <f>IFERROR(IF(ISBLANK(AG16),"",ROUND((AG16/[1]SETTINGS!$C$31)*[1]SETTINGS!$C$32,0)),"")</f>
        <v/>
      </c>
      <c r="AI16" s="62" t="str">
        <f t="shared" si="16"/>
        <v/>
      </c>
      <c r="AJ16" s="64" t="str">
        <f t="shared" si="5"/>
        <v/>
      </c>
      <c r="AK16" s="75" t="str">
        <f t="shared" si="17"/>
        <v/>
      </c>
      <c r="AL16" s="72"/>
      <c r="AM16" s="63">
        <v>9</v>
      </c>
      <c r="AN16" s="63">
        <v>10</v>
      </c>
      <c r="AO16" s="63">
        <v>5</v>
      </c>
      <c r="AP16" s="63">
        <v>15</v>
      </c>
      <c r="AQ16" s="61">
        <f t="shared" si="18"/>
        <v>39</v>
      </c>
      <c r="AR16" s="62" t="str">
        <f>IFERROR(IF(AQ16=0,"",ROUND((AQ16/SUM([1]SETTINGS!$C$26:$C$29))*[1]SETTINGS!$C$30,0)),"")</f>
        <v/>
      </c>
      <c r="AS16" s="63">
        <v>28</v>
      </c>
      <c r="AT16" s="62" t="str">
        <f>IFERROR(IF(ISBLANK(AS16),"",ROUND((AS16/[1]SETTINGS!$C$31)*[1]SETTINGS!$C$32,0)),"")</f>
        <v/>
      </c>
      <c r="AU16" s="62" t="str">
        <f t="shared" si="19"/>
        <v/>
      </c>
      <c r="AV16" s="64" t="str">
        <f t="shared" si="6"/>
        <v/>
      </c>
      <c r="AW16" s="65" t="str">
        <f t="shared" si="20"/>
        <v/>
      </c>
      <c r="AX16" s="72"/>
      <c r="AY16" s="63">
        <v>9</v>
      </c>
      <c r="AZ16" s="63">
        <v>11</v>
      </c>
      <c r="BA16" s="63">
        <v>8</v>
      </c>
      <c r="BB16" s="63">
        <v>12</v>
      </c>
      <c r="BC16" s="61">
        <f t="shared" si="21"/>
        <v>40</v>
      </c>
      <c r="BD16" s="62" t="str">
        <f>IFERROR(IF(BC16=0,"",ROUND((BC16/SUM([1]SETTINGS!$C$26:$C$29))*[1]SETTINGS!$C$30,0)),"")</f>
        <v/>
      </c>
      <c r="BE16" s="63">
        <v>54</v>
      </c>
      <c r="BF16" s="62" t="str">
        <f>IFERROR(IF(ISBLANK(BE16),"",ROUND((BE16/[1]SETTINGS!$C$31)*[1]SETTINGS!$C$32,0)),"")</f>
        <v/>
      </c>
      <c r="BG16" s="62" t="str">
        <f t="shared" si="22"/>
        <v/>
      </c>
      <c r="BH16" s="64" t="str">
        <f t="shared" si="7"/>
        <v/>
      </c>
      <c r="BI16" s="75" t="str">
        <f t="shared" si="23"/>
        <v/>
      </c>
      <c r="BJ16" s="72"/>
      <c r="BK16" s="63">
        <v>14</v>
      </c>
      <c r="BL16" s="63">
        <v>15</v>
      </c>
      <c r="BM16" s="63">
        <v>4</v>
      </c>
      <c r="BN16" s="63">
        <v>15</v>
      </c>
      <c r="BO16" s="61">
        <f t="shared" si="24"/>
        <v>48</v>
      </c>
      <c r="BP16" s="62" t="str">
        <f>IFERROR(IF(BO16=0,"",ROUND((BO16/SUM([1]SETTINGS!$C$26:$C$29))*[1]SETTINGS!$C$30,0)),"")</f>
        <v/>
      </c>
      <c r="BQ16" s="63">
        <v>45</v>
      </c>
      <c r="BR16" s="62" t="str">
        <f>IFERROR(IF(ISBLANK(BQ16),"",ROUND((BQ16/[1]SETTINGS!$C$31)*[1]SETTINGS!$C$32,0)),"")</f>
        <v/>
      </c>
      <c r="BS16" s="62" t="str">
        <f t="shared" si="25"/>
        <v/>
      </c>
      <c r="BT16" s="64" t="str">
        <f t="shared" si="8"/>
        <v/>
      </c>
      <c r="BU16" s="65" t="str">
        <f t="shared" si="26"/>
        <v/>
      </c>
      <c r="BV16" s="72"/>
      <c r="BW16" s="63">
        <v>15</v>
      </c>
      <c r="BX16" s="63">
        <v>4</v>
      </c>
      <c r="BY16" s="63">
        <v>11</v>
      </c>
      <c r="BZ16" s="63">
        <v>10</v>
      </c>
      <c r="CA16" s="61">
        <f t="shared" si="27"/>
        <v>40</v>
      </c>
      <c r="CB16" s="62" t="str">
        <f>IFERROR(IF(CA16=0,"",ROUND((CA16/SUM([1]SETTINGS!$C$26:$C$29))*[1]SETTINGS!$C$30,0)),"")</f>
        <v/>
      </c>
      <c r="CC16" s="63">
        <v>68</v>
      </c>
      <c r="CD16" s="62" t="str">
        <f>IFERROR(IF(ISBLANK(CC16),"",ROUND((CC16/[1]SETTINGS!$C$31)*[1]SETTINGS!$C$32,0)),"")</f>
        <v/>
      </c>
      <c r="CE16" s="62" t="str">
        <f t="shared" si="28"/>
        <v/>
      </c>
      <c r="CF16" s="64" t="str">
        <f t="shared" si="9"/>
        <v/>
      </c>
      <c r="CG16" s="65" t="str">
        <f t="shared" si="29"/>
        <v/>
      </c>
      <c r="CH16" s="72"/>
      <c r="CI16" s="63">
        <v>13</v>
      </c>
      <c r="CJ16" s="63">
        <v>15</v>
      </c>
      <c r="CK16" s="63">
        <v>8</v>
      </c>
      <c r="CL16" s="63">
        <v>13</v>
      </c>
      <c r="CM16" s="61">
        <f t="shared" si="30"/>
        <v>49</v>
      </c>
      <c r="CN16" s="62" t="str">
        <f>IFERROR(IF(CM16=0,"",ROUND((CM16/SUM([1]SETTINGS!$C$26:$C$29))*[1]SETTINGS!$C$30,0)),"")</f>
        <v/>
      </c>
      <c r="CO16" s="63">
        <v>32</v>
      </c>
      <c r="CP16" s="62" t="str">
        <f>IFERROR(IF(ISBLANK(CO16),"",ROUND((CO16/[1]SETTINGS!$C$31)*[1]SETTINGS!$C$32,0)),"")</f>
        <v/>
      </c>
      <c r="CQ16" s="62" t="str">
        <f t="shared" si="31"/>
        <v/>
      </c>
      <c r="CR16" s="64" t="str">
        <f t="shared" si="10"/>
        <v/>
      </c>
      <c r="CS16" s="65" t="str">
        <f t="shared" si="32"/>
        <v/>
      </c>
      <c r="CT16" s="72"/>
      <c r="CU16" s="63">
        <v>8</v>
      </c>
      <c r="CV16" s="63">
        <v>10</v>
      </c>
      <c r="CW16" s="63">
        <v>8</v>
      </c>
      <c r="CX16" s="63">
        <v>10</v>
      </c>
      <c r="CY16" s="61">
        <f t="shared" si="33"/>
        <v>36</v>
      </c>
      <c r="CZ16" s="62" t="str">
        <f>IFERROR(IF(CY16=0,"",ROUND((CY16/SUM([1]SETTINGS!$C$26:$C$29))*[1]SETTINGS!$C$30,0)),"")</f>
        <v/>
      </c>
      <c r="DA16" s="63">
        <v>27</v>
      </c>
      <c r="DB16" s="62" t="str">
        <f>IFERROR(IF(ISBLANK(DA16),"",ROUND((DA16/[1]SETTINGS!$C$31)*[1]SETTINGS!$C$32,0)),"")</f>
        <v/>
      </c>
      <c r="DC16" s="62" t="str">
        <f t="shared" si="34"/>
        <v/>
      </c>
      <c r="DD16" s="64" t="str">
        <f t="shared" si="11"/>
        <v/>
      </c>
      <c r="DE16" s="65" t="str">
        <f t="shared" si="35"/>
        <v/>
      </c>
      <c r="DF16" s="64" t="str">
        <f t="shared" si="12"/>
        <v/>
      </c>
      <c r="DG16" s="64" t="str">
        <f>IFERROR(IF(AND(K16,W16,AI16,AU16,BG16,BS16,CE16,CQ16,DC16)="","",SUM(K16,W16,AI16,AU16,LARGE((BG16,BS16,CE16,CQ16,DC16),{1,2}))),"")</f>
        <v/>
      </c>
      <c r="DH16" s="64" t="str">
        <f>IFERROR(IF(AND(M16,Y16,AK16,AW16,,BI16,BU16,CG16,CS16,DE16)="","",SUM(M16,Y16,AK16,AW16,SMALL((BI16,BU16,CG16,CS16,DE16),{1,2}))),"")</f>
        <v/>
      </c>
      <c r="DI16" s="76" t="str">
        <f>IFERROR(pos&amp;IF(AND(MOD(ABS(18),100)&gt;10,MOD(ABS(pos),100)&lt;14),"th", CHOOSE(MOD(ABS(pos),10)+1,"th","st","nd","rd","th","th","th","th","th","th")),"")</f>
        <v/>
      </c>
      <c r="DJ16" s="15">
        <f>ROWS($B$12:$B16)</f>
        <v>5</v>
      </c>
      <c r="DK16" s="15">
        <f>IF($B16=[1]REPORT_CARD!$B$9,$DJ16,"")</f>
        <v>5</v>
      </c>
      <c r="DM16" s="74"/>
    </row>
    <row r="17" spans="1:117" ht="19.5" customHeight="1">
      <c r="A17" s="59" t="str">
        <f>IFERROR(IF(ISBLANK([1]PRIMARY_INFO!$A17),"",[1]PRIMARY_INFO!$A17),"")</f>
        <v/>
      </c>
      <c r="B17" s="59" t="str">
        <f>IFERROR(IF(ISBLANK([1]PRIMARY_INFO!$B17),"",[1]PRIMARY_INFO!$B17),"")</f>
        <v/>
      </c>
      <c r="C17" s="63">
        <v>14</v>
      </c>
      <c r="D17" s="63">
        <v>12</v>
      </c>
      <c r="E17" s="63">
        <v>14</v>
      </c>
      <c r="F17" s="63">
        <v>9</v>
      </c>
      <c r="G17" s="61">
        <f t="shared" si="36"/>
        <v>49</v>
      </c>
      <c r="H17" s="62" t="str">
        <f>IFERROR(IF(G17=0,"",ROUND((G17/SUM([1]SETTINGS!$C$26:$C$29))*[1]SETTINGS!$C$30,0)),"")</f>
        <v/>
      </c>
      <c r="I17" s="63">
        <v>21</v>
      </c>
      <c r="J17" s="62" t="str">
        <f>IFERROR(IF(ISBLANK(I17),"",ROUND((I17/[1]SETTINGS!$C$31)*[1]SETTINGS!$C$32,0)),"")</f>
        <v/>
      </c>
      <c r="K17" s="62" t="str">
        <f t="shared" si="13"/>
        <v/>
      </c>
      <c r="L17" s="64" t="str">
        <f t="shared" si="0"/>
        <v/>
      </c>
      <c r="M17" s="65" t="str">
        <f t="shared" si="14"/>
        <v/>
      </c>
      <c r="N17" s="66"/>
      <c r="O17" s="63">
        <v>7</v>
      </c>
      <c r="P17" s="63">
        <v>12</v>
      </c>
      <c r="Q17" s="63">
        <v>7</v>
      </c>
      <c r="R17" s="63">
        <v>10</v>
      </c>
      <c r="S17" s="61">
        <f t="shared" si="1"/>
        <v>36</v>
      </c>
      <c r="T17" s="62" t="str">
        <f>IFERROR(IF(S17=0,"",ROUND((S17/SUM([1]SETTINGS!$C$26:$C$29))*[1]SETTINGS!$C$30,0)),"")</f>
        <v/>
      </c>
      <c r="U17" s="63">
        <v>8</v>
      </c>
      <c r="V17" s="62" t="str">
        <f>IFERROR(IF(ISBLANK(U17),"",ROUND((U17/[1]SETTINGS!$C$31)*[1]SETTINGS!$C$32,0)),"")</f>
        <v/>
      </c>
      <c r="W17" s="62" t="str">
        <f t="shared" si="2"/>
        <v/>
      </c>
      <c r="X17" s="64" t="str">
        <f t="shared" si="3"/>
        <v/>
      </c>
      <c r="Y17" s="65" t="str">
        <f t="shared" si="4"/>
        <v/>
      </c>
      <c r="Z17" s="72"/>
      <c r="AA17" s="63">
        <v>6</v>
      </c>
      <c r="AB17" s="63">
        <v>10</v>
      </c>
      <c r="AC17" s="63">
        <v>9</v>
      </c>
      <c r="AD17" s="63">
        <v>9</v>
      </c>
      <c r="AE17" s="61">
        <f t="shared" si="15"/>
        <v>34</v>
      </c>
      <c r="AF17" s="62" t="str">
        <f>IFERROR(IF(AE17=0,"",ROUND((AE17/SUM([1]SETTINGS!$C$26:$C$29))*[1]SETTINGS!$C$30,0)),"")</f>
        <v/>
      </c>
      <c r="AG17" s="63">
        <v>21</v>
      </c>
      <c r="AH17" s="62" t="str">
        <f>IFERROR(IF(ISBLANK(AG17),"",ROUND((AG17/[1]SETTINGS!$C$31)*[1]SETTINGS!$C$32,0)),"")</f>
        <v/>
      </c>
      <c r="AI17" s="62" t="str">
        <f t="shared" si="16"/>
        <v/>
      </c>
      <c r="AJ17" s="64" t="str">
        <f t="shared" si="5"/>
        <v/>
      </c>
      <c r="AK17" s="75" t="str">
        <f t="shared" si="17"/>
        <v/>
      </c>
      <c r="AL17" s="72"/>
      <c r="AM17" s="63">
        <v>6</v>
      </c>
      <c r="AN17" s="63">
        <v>11</v>
      </c>
      <c r="AO17" s="63">
        <v>12</v>
      </c>
      <c r="AP17" s="63">
        <v>15</v>
      </c>
      <c r="AQ17" s="61">
        <f t="shared" si="18"/>
        <v>44</v>
      </c>
      <c r="AR17" s="62" t="str">
        <f>IFERROR(IF(AQ17=0,"",ROUND((AQ17/SUM([1]SETTINGS!$C$26:$C$29))*[1]SETTINGS!$C$30,0)),"")</f>
        <v/>
      </c>
      <c r="AS17" s="63">
        <v>34</v>
      </c>
      <c r="AT17" s="62" t="str">
        <f>IFERROR(IF(ISBLANK(AS17),"",ROUND((AS17/[1]SETTINGS!$C$31)*[1]SETTINGS!$C$32,0)),"")</f>
        <v/>
      </c>
      <c r="AU17" s="62" t="str">
        <f t="shared" si="19"/>
        <v/>
      </c>
      <c r="AV17" s="64" t="str">
        <f t="shared" si="6"/>
        <v/>
      </c>
      <c r="AW17" s="65" t="str">
        <f t="shared" si="20"/>
        <v/>
      </c>
      <c r="AX17" s="72"/>
      <c r="AY17" s="63">
        <v>12</v>
      </c>
      <c r="AZ17" s="63">
        <v>15</v>
      </c>
      <c r="BA17" s="63">
        <v>12</v>
      </c>
      <c r="BB17" s="63">
        <v>7</v>
      </c>
      <c r="BC17" s="61">
        <f t="shared" si="21"/>
        <v>46</v>
      </c>
      <c r="BD17" s="62" t="str">
        <f>IFERROR(IF(BC17=0,"",ROUND((BC17/SUM([1]SETTINGS!$C$26:$C$29))*[1]SETTINGS!$C$30,0)),"")</f>
        <v/>
      </c>
      <c r="BE17" s="63">
        <v>31</v>
      </c>
      <c r="BF17" s="62" t="str">
        <f>IFERROR(IF(ISBLANK(BE17),"",ROUND((BE17/[1]SETTINGS!$C$31)*[1]SETTINGS!$C$32,0)),"")</f>
        <v/>
      </c>
      <c r="BG17" s="62" t="str">
        <f t="shared" si="22"/>
        <v/>
      </c>
      <c r="BH17" s="64" t="str">
        <f t="shared" si="7"/>
        <v/>
      </c>
      <c r="BI17" s="75" t="str">
        <f t="shared" si="23"/>
        <v/>
      </c>
      <c r="BJ17" s="72"/>
      <c r="BK17" s="63">
        <v>9</v>
      </c>
      <c r="BL17" s="63">
        <v>3</v>
      </c>
      <c r="BM17" s="63">
        <v>10</v>
      </c>
      <c r="BN17" s="63">
        <v>15</v>
      </c>
      <c r="BO17" s="61">
        <f t="shared" si="24"/>
        <v>37</v>
      </c>
      <c r="BP17" s="62" t="str">
        <f>IFERROR(IF(BO17=0,"",ROUND((BO17/SUM([1]SETTINGS!$C$26:$C$29))*[1]SETTINGS!$C$30,0)),"")</f>
        <v/>
      </c>
      <c r="BQ17" s="63">
        <v>24</v>
      </c>
      <c r="BR17" s="62" t="str">
        <f>IFERROR(IF(ISBLANK(BQ17),"",ROUND((BQ17/[1]SETTINGS!$C$31)*[1]SETTINGS!$C$32,0)),"")</f>
        <v/>
      </c>
      <c r="BS17" s="62" t="str">
        <f t="shared" si="25"/>
        <v/>
      </c>
      <c r="BT17" s="64" t="str">
        <f t="shared" si="8"/>
        <v/>
      </c>
      <c r="BU17" s="65" t="str">
        <f t="shared" si="26"/>
        <v/>
      </c>
      <c r="BV17" s="72"/>
      <c r="BW17" s="63">
        <v>12</v>
      </c>
      <c r="BX17" s="63">
        <v>12</v>
      </c>
      <c r="BY17" s="63">
        <v>3</v>
      </c>
      <c r="BZ17" s="63">
        <v>4</v>
      </c>
      <c r="CA17" s="61">
        <f t="shared" si="27"/>
        <v>31</v>
      </c>
      <c r="CB17" s="62" t="str">
        <f>IFERROR(IF(CA17=0,"",ROUND((CA17/SUM([1]SETTINGS!$C$26:$C$29))*[1]SETTINGS!$C$30,0)),"")</f>
        <v/>
      </c>
      <c r="CC17" s="63">
        <v>24</v>
      </c>
      <c r="CD17" s="62" t="str">
        <f>IFERROR(IF(ISBLANK(CC17),"",ROUND((CC17/[1]SETTINGS!$C$31)*[1]SETTINGS!$C$32,0)),"")</f>
        <v/>
      </c>
      <c r="CE17" s="62" t="str">
        <f t="shared" si="28"/>
        <v/>
      </c>
      <c r="CF17" s="64" t="str">
        <f t="shared" si="9"/>
        <v/>
      </c>
      <c r="CG17" s="65" t="str">
        <f t="shared" si="29"/>
        <v/>
      </c>
      <c r="CH17" s="72"/>
      <c r="CI17" s="63">
        <v>11</v>
      </c>
      <c r="CJ17" s="63">
        <v>13</v>
      </c>
      <c r="CK17" s="63">
        <v>5</v>
      </c>
      <c r="CL17" s="63">
        <v>12</v>
      </c>
      <c r="CM17" s="61">
        <f t="shared" si="30"/>
        <v>41</v>
      </c>
      <c r="CN17" s="62" t="str">
        <f>IFERROR(IF(CM17=0,"",ROUND((CM17/SUM([1]SETTINGS!$C$26:$C$29))*[1]SETTINGS!$C$30,0)),"")</f>
        <v/>
      </c>
      <c r="CO17" s="63">
        <v>18</v>
      </c>
      <c r="CP17" s="62" t="str">
        <f>IFERROR(IF(ISBLANK(CO17),"",ROUND((CO17/[1]SETTINGS!$C$31)*[1]SETTINGS!$C$32,0)),"")</f>
        <v/>
      </c>
      <c r="CQ17" s="62" t="str">
        <f t="shared" si="31"/>
        <v/>
      </c>
      <c r="CR17" s="64" t="str">
        <f t="shared" si="10"/>
        <v/>
      </c>
      <c r="CS17" s="65" t="str">
        <f t="shared" si="32"/>
        <v/>
      </c>
      <c r="CT17" s="72"/>
      <c r="CU17" s="63">
        <v>5</v>
      </c>
      <c r="CV17" s="63">
        <v>11</v>
      </c>
      <c r="CW17" s="63">
        <v>6</v>
      </c>
      <c r="CX17" s="63">
        <v>6</v>
      </c>
      <c r="CY17" s="61">
        <f t="shared" si="33"/>
        <v>28</v>
      </c>
      <c r="CZ17" s="62" t="str">
        <f>IFERROR(IF(CY17=0,"",ROUND((CY17/SUM([1]SETTINGS!$C$26:$C$29))*[1]SETTINGS!$C$30,0)),"")</f>
        <v/>
      </c>
      <c r="DA17" s="63">
        <v>23</v>
      </c>
      <c r="DB17" s="62" t="str">
        <f>IFERROR(IF(ISBLANK(DA17),"",ROUND((DA17/[1]SETTINGS!$C$31)*[1]SETTINGS!$C$32,0)),"")</f>
        <v/>
      </c>
      <c r="DC17" s="62" t="str">
        <f t="shared" si="34"/>
        <v/>
      </c>
      <c r="DD17" s="64" t="str">
        <f t="shared" si="11"/>
        <v/>
      </c>
      <c r="DE17" s="65" t="str">
        <f t="shared" si="35"/>
        <v/>
      </c>
      <c r="DF17" s="64" t="str">
        <f t="shared" si="12"/>
        <v/>
      </c>
      <c r="DG17" s="64" t="str">
        <f>IFERROR(IF(AND(K17,W17,AI17,AU17,BG17,BS17,CE17,CQ17,DC17)="","",SUM(K17,W17,AI17,AU17,LARGE((BG17,BS17,CE17,CQ17,DC17),{1,2}))),"")</f>
        <v/>
      </c>
      <c r="DH17" s="64" t="str">
        <f>IFERROR(IF(AND(M17,Y17,AK17,AW17,,BI17,BU17,CG17,CS17,DE17)="","",SUM(M17,Y17,AK17,AW17,SMALL((BI17,BU17,CG17,CS17,DE17),{1,2}))),"")</f>
        <v/>
      </c>
      <c r="DI17" s="76" t="str">
        <f>IFERROR(pos&amp;IF(AND(MOD(ABS(18),100)&gt;10,MOD(ABS(pos),100)&lt;14),"th", CHOOSE(MOD(ABS(pos),10)+1,"th","st","nd","rd","th","th","th","th","th","th")),"")</f>
        <v/>
      </c>
      <c r="DJ17" s="15">
        <f>ROWS($B$12:$B17)</f>
        <v>6</v>
      </c>
      <c r="DK17" s="15">
        <f>IF($B17=[1]REPORT_CARD!$B$9,$DJ17,"")</f>
        <v>6</v>
      </c>
      <c r="DM17" s="74"/>
    </row>
    <row r="18" spans="1:117" ht="19.5" customHeight="1">
      <c r="A18" s="59" t="str">
        <f>IFERROR(IF(ISBLANK([1]PRIMARY_INFO!$A18),"",[1]PRIMARY_INFO!$A18),"")</f>
        <v/>
      </c>
      <c r="B18" s="59" t="str">
        <f>IFERROR(IF(ISBLANK([1]PRIMARY_INFO!$B18),"",[1]PRIMARY_INFO!$B18),"")</f>
        <v/>
      </c>
      <c r="C18" s="63">
        <v>14</v>
      </c>
      <c r="D18" s="63">
        <v>15</v>
      </c>
      <c r="E18" s="63">
        <v>14</v>
      </c>
      <c r="F18" s="63">
        <v>10</v>
      </c>
      <c r="G18" s="61">
        <f t="shared" si="36"/>
        <v>53</v>
      </c>
      <c r="H18" s="62" t="str">
        <f>IFERROR(IF(G18=0,"",ROUND((G18/SUM([1]SETTINGS!$C$26:$C$29))*[1]SETTINGS!$C$30,0)),"")</f>
        <v/>
      </c>
      <c r="I18" s="63">
        <v>50</v>
      </c>
      <c r="J18" s="62" t="str">
        <f>IFERROR(IF(ISBLANK(I18),"",ROUND((I18/[1]SETTINGS!$C$31)*[1]SETTINGS!$C$32,0)),"")</f>
        <v/>
      </c>
      <c r="K18" s="62" t="str">
        <f t="shared" si="13"/>
        <v/>
      </c>
      <c r="L18" s="64" t="str">
        <f t="shared" si="0"/>
        <v/>
      </c>
      <c r="M18" s="65" t="str">
        <f t="shared" si="14"/>
        <v/>
      </c>
      <c r="N18" s="66"/>
      <c r="O18" s="63">
        <v>13</v>
      </c>
      <c r="P18" s="63">
        <v>13</v>
      </c>
      <c r="Q18" s="63">
        <v>12</v>
      </c>
      <c r="R18" s="63">
        <v>12</v>
      </c>
      <c r="S18" s="61">
        <f t="shared" si="1"/>
        <v>50</v>
      </c>
      <c r="T18" s="62" t="str">
        <f>IFERROR(IF(S18=0,"",ROUND((S18/SUM([1]SETTINGS!$C$26:$C$29))*[1]SETTINGS!$C$30,0)),"")</f>
        <v/>
      </c>
      <c r="U18" s="63">
        <v>53</v>
      </c>
      <c r="V18" s="62" t="str">
        <f>IFERROR(IF(ISBLANK(U18),"",ROUND((U18/[1]SETTINGS!$C$31)*[1]SETTINGS!$C$32,0)),"")</f>
        <v/>
      </c>
      <c r="W18" s="62" t="str">
        <f t="shared" si="2"/>
        <v/>
      </c>
      <c r="X18" s="64" t="str">
        <f t="shared" si="3"/>
        <v/>
      </c>
      <c r="Y18" s="65" t="str">
        <f t="shared" si="4"/>
        <v/>
      </c>
      <c r="Z18" s="72"/>
      <c r="AA18" s="63">
        <v>9</v>
      </c>
      <c r="AB18" s="63">
        <v>10</v>
      </c>
      <c r="AC18" s="63">
        <v>12</v>
      </c>
      <c r="AD18" s="63">
        <v>14</v>
      </c>
      <c r="AE18" s="61">
        <f t="shared" si="15"/>
        <v>45</v>
      </c>
      <c r="AF18" s="62" t="str">
        <f>IFERROR(IF(AE18=0,"",ROUND((AE18/SUM([1]SETTINGS!$C$26:$C$29))*[1]SETTINGS!$C$30,0)),"")</f>
        <v/>
      </c>
      <c r="AG18" s="63">
        <v>63</v>
      </c>
      <c r="AH18" s="62" t="str">
        <f>IFERROR(IF(ISBLANK(AG18),"",ROUND((AG18/[1]SETTINGS!$C$31)*[1]SETTINGS!$C$32,0)),"")</f>
        <v/>
      </c>
      <c r="AI18" s="62" t="str">
        <f t="shared" si="16"/>
        <v/>
      </c>
      <c r="AJ18" s="64" t="str">
        <f t="shared" si="5"/>
        <v/>
      </c>
      <c r="AK18" s="75" t="str">
        <f t="shared" si="17"/>
        <v/>
      </c>
      <c r="AL18" s="72"/>
      <c r="AM18" s="63">
        <v>10</v>
      </c>
      <c r="AN18" s="63">
        <v>10</v>
      </c>
      <c r="AO18" s="63">
        <v>12</v>
      </c>
      <c r="AP18" s="63">
        <v>14</v>
      </c>
      <c r="AQ18" s="61">
        <f t="shared" si="18"/>
        <v>46</v>
      </c>
      <c r="AR18" s="62" t="str">
        <f>IFERROR(IF(AQ18=0,"",ROUND((AQ18/SUM([1]SETTINGS!$C$26:$C$29))*[1]SETTINGS!$C$30,0)),"")</f>
        <v/>
      </c>
      <c r="AS18" s="63">
        <v>47</v>
      </c>
      <c r="AT18" s="62" t="str">
        <f>IFERROR(IF(ISBLANK(AS18),"",ROUND((AS18/[1]SETTINGS!$C$31)*[1]SETTINGS!$C$32,0)),"")</f>
        <v/>
      </c>
      <c r="AU18" s="62" t="str">
        <f t="shared" si="19"/>
        <v/>
      </c>
      <c r="AV18" s="64" t="str">
        <f t="shared" si="6"/>
        <v/>
      </c>
      <c r="AW18" s="65" t="str">
        <f t="shared" si="20"/>
        <v/>
      </c>
      <c r="AX18" s="72"/>
      <c r="AY18" s="63">
        <v>12</v>
      </c>
      <c r="AZ18" s="63">
        <v>8</v>
      </c>
      <c r="BA18" s="63">
        <v>11</v>
      </c>
      <c r="BB18" s="63">
        <v>10</v>
      </c>
      <c r="BC18" s="61">
        <f t="shared" si="21"/>
        <v>41</v>
      </c>
      <c r="BD18" s="62" t="str">
        <f>IFERROR(IF(BC18=0,"",ROUND((BC18/SUM([1]SETTINGS!$C$26:$C$29))*[1]SETTINGS!$C$30,0)),"")</f>
        <v/>
      </c>
      <c r="BE18" s="63">
        <v>80</v>
      </c>
      <c r="BF18" s="62" t="str">
        <f>IFERROR(IF(ISBLANK(BE18),"",ROUND((BE18/[1]SETTINGS!$C$31)*[1]SETTINGS!$C$32,0)),"")</f>
        <v/>
      </c>
      <c r="BG18" s="62" t="str">
        <f t="shared" si="22"/>
        <v/>
      </c>
      <c r="BH18" s="64" t="str">
        <f t="shared" si="7"/>
        <v/>
      </c>
      <c r="BI18" s="75" t="str">
        <f t="shared" si="23"/>
        <v/>
      </c>
      <c r="BJ18" s="72"/>
      <c r="BK18" s="63">
        <v>11</v>
      </c>
      <c r="BL18" s="63">
        <v>13</v>
      </c>
      <c r="BM18" s="63">
        <v>2</v>
      </c>
      <c r="BN18" s="63">
        <v>15</v>
      </c>
      <c r="BO18" s="61">
        <f t="shared" si="24"/>
        <v>41</v>
      </c>
      <c r="BP18" s="62" t="str">
        <f>IFERROR(IF(BO18=0,"",ROUND((BO18/SUM([1]SETTINGS!$C$26:$C$29))*[1]SETTINGS!$C$30,0)),"")</f>
        <v/>
      </c>
      <c r="BQ18" s="63">
        <v>81</v>
      </c>
      <c r="BR18" s="62" t="str">
        <f>IFERROR(IF(ISBLANK(BQ18),"",ROUND((BQ18/[1]SETTINGS!$C$31)*[1]SETTINGS!$C$32,0)),"")</f>
        <v/>
      </c>
      <c r="BS18" s="62" t="str">
        <f t="shared" si="25"/>
        <v/>
      </c>
      <c r="BT18" s="64" t="str">
        <f t="shared" si="8"/>
        <v/>
      </c>
      <c r="BU18" s="65" t="str">
        <f t="shared" si="26"/>
        <v/>
      </c>
      <c r="BV18" s="72"/>
      <c r="BW18" s="63">
        <v>14</v>
      </c>
      <c r="BX18" s="63">
        <v>12</v>
      </c>
      <c r="BY18" s="63">
        <v>15</v>
      </c>
      <c r="BZ18" s="63">
        <v>15</v>
      </c>
      <c r="CA18" s="61">
        <f t="shared" si="27"/>
        <v>56</v>
      </c>
      <c r="CB18" s="62" t="str">
        <f>IFERROR(IF(CA18=0,"",ROUND((CA18/SUM([1]SETTINGS!$C$26:$C$29))*[1]SETTINGS!$C$30,0)),"")</f>
        <v/>
      </c>
      <c r="CC18" s="63">
        <v>68</v>
      </c>
      <c r="CD18" s="62" t="str">
        <f>IFERROR(IF(ISBLANK(CC18),"",ROUND((CC18/[1]SETTINGS!$C$31)*[1]SETTINGS!$C$32,0)),"")</f>
        <v/>
      </c>
      <c r="CE18" s="62" t="str">
        <f t="shared" si="28"/>
        <v/>
      </c>
      <c r="CF18" s="64" t="str">
        <f t="shared" si="9"/>
        <v/>
      </c>
      <c r="CG18" s="65" t="str">
        <f t="shared" si="29"/>
        <v/>
      </c>
      <c r="CH18" s="72"/>
      <c r="CI18" s="63">
        <v>14</v>
      </c>
      <c r="CJ18" s="63">
        <v>13</v>
      </c>
      <c r="CK18" s="63">
        <v>14</v>
      </c>
      <c r="CL18" s="63">
        <v>15</v>
      </c>
      <c r="CM18" s="61">
        <f t="shared" si="30"/>
        <v>56</v>
      </c>
      <c r="CN18" s="62" t="str">
        <f>IFERROR(IF(CM18=0,"",ROUND((CM18/SUM([1]SETTINGS!$C$26:$C$29))*[1]SETTINGS!$C$30,0)),"")</f>
        <v/>
      </c>
      <c r="CO18" s="63">
        <v>63</v>
      </c>
      <c r="CP18" s="62" t="str">
        <f>IFERROR(IF(ISBLANK(CO18),"",ROUND((CO18/[1]SETTINGS!$C$31)*[1]SETTINGS!$C$32,0)),"")</f>
        <v/>
      </c>
      <c r="CQ18" s="62" t="str">
        <f t="shared" si="31"/>
        <v/>
      </c>
      <c r="CR18" s="64" t="str">
        <f t="shared" si="10"/>
        <v/>
      </c>
      <c r="CS18" s="65" t="str">
        <f t="shared" si="32"/>
        <v/>
      </c>
      <c r="CT18" s="72"/>
      <c r="CU18" s="63">
        <v>9</v>
      </c>
      <c r="CV18" s="63">
        <v>10</v>
      </c>
      <c r="CW18" s="63">
        <v>10</v>
      </c>
      <c r="CX18" s="63">
        <v>6</v>
      </c>
      <c r="CY18" s="61">
        <f t="shared" si="33"/>
        <v>35</v>
      </c>
      <c r="CZ18" s="62" t="str">
        <f>IFERROR(IF(CY18=0,"",ROUND((CY18/SUM([1]SETTINGS!$C$26:$C$29))*[1]SETTINGS!$C$30,0)),"")</f>
        <v/>
      </c>
      <c r="DA18" s="63">
        <v>66</v>
      </c>
      <c r="DB18" s="62" t="str">
        <f>IFERROR(IF(ISBLANK(DA18),"",ROUND((DA18/[1]SETTINGS!$C$31)*[1]SETTINGS!$C$32,0)),"")</f>
        <v/>
      </c>
      <c r="DC18" s="62" t="str">
        <f t="shared" si="34"/>
        <v/>
      </c>
      <c r="DD18" s="64" t="str">
        <f t="shared" si="11"/>
        <v/>
      </c>
      <c r="DE18" s="65" t="str">
        <f t="shared" si="35"/>
        <v/>
      </c>
      <c r="DF18" s="64" t="str">
        <f t="shared" si="12"/>
        <v/>
      </c>
      <c r="DG18" s="64" t="str">
        <f>IFERROR(IF(AND(K18,W18,AI18,AU18,BG18,BS18,CE18,CQ18,DC18)="","",SUM(K18,W18,AI18,AU18,LARGE((BG18,BS18,CE18,CQ18,DC18),{1,2}))),"")</f>
        <v/>
      </c>
      <c r="DH18" s="64" t="str">
        <f>IFERROR(IF(AND(M18,Y18,AK18,AW18,,BI18,BU18,CG18,CS18,DE18)="","",SUM(M18,Y18,AK18,AW18,SMALL((BI18,BU18,CG18,CS18,DE18),{1,2}))),"")</f>
        <v/>
      </c>
      <c r="DI18" s="76" t="str">
        <f>IFERROR(pos&amp;IF(AND(MOD(ABS(18),100)&gt;10,MOD(ABS(pos),100)&lt;14),"th", CHOOSE(MOD(ABS(pos),10)+1,"th","st","nd","rd","th","th","th","th","th","th")),"")</f>
        <v/>
      </c>
      <c r="DJ18" s="15">
        <f>ROWS($B$12:$B18)</f>
        <v>7</v>
      </c>
      <c r="DK18" s="15">
        <f>IF($B18=[1]REPORT_CARD!$B$9,$DJ18,"")</f>
        <v>7</v>
      </c>
      <c r="DM18" s="74"/>
    </row>
    <row r="19" spans="1:117" ht="19.5" customHeight="1">
      <c r="A19" s="59" t="str">
        <f>IFERROR(IF(ISBLANK([1]PRIMARY_INFO!$A19),"",[1]PRIMARY_INFO!$A19),"")</f>
        <v/>
      </c>
      <c r="B19" s="59" t="str">
        <f>IFERROR(IF(ISBLANK([1]PRIMARY_INFO!$B19),"",[1]PRIMARY_INFO!$B19),"")</f>
        <v/>
      </c>
      <c r="C19" s="63">
        <v>12</v>
      </c>
      <c r="D19" s="63">
        <v>15</v>
      </c>
      <c r="E19" s="63">
        <v>9</v>
      </c>
      <c r="F19" s="63">
        <v>5</v>
      </c>
      <c r="G19" s="61">
        <f t="shared" si="36"/>
        <v>41</v>
      </c>
      <c r="H19" s="62" t="str">
        <f>IFERROR(IF(G19=0,"",ROUND((G19/SUM([1]SETTINGS!$C$26:$C$29))*[1]SETTINGS!$C$30,0)),"")</f>
        <v/>
      </c>
      <c r="I19" s="63">
        <v>51</v>
      </c>
      <c r="J19" s="62" t="str">
        <f>IFERROR(IF(ISBLANK(I19),"",ROUND((I19/[1]SETTINGS!$C$31)*[1]SETTINGS!$C$32,0)),"")</f>
        <v/>
      </c>
      <c r="K19" s="62" t="str">
        <f t="shared" si="13"/>
        <v/>
      </c>
      <c r="L19" s="64" t="str">
        <f t="shared" si="0"/>
        <v/>
      </c>
      <c r="M19" s="65" t="str">
        <f t="shared" si="14"/>
        <v/>
      </c>
      <c r="N19" s="66"/>
      <c r="O19" s="63">
        <v>5</v>
      </c>
      <c r="P19" s="63">
        <v>13</v>
      </c>
      <c r="Q19" s="63">
        <v>5</v>
      </c>
      <c r="R19" s="63">
        <v>11</v>
      </c>
      <c r="S19" s="61">
        <f t="shared" si="1"/>
        <v>34</v>
      </c>
      <c r="T19" s="62" t="str">
        <f>IFERROR(IF(S19=0,"",ROUND((S19/SUM([1]SETTINGS!$C$26:$C$29))*[1]SETTINGS!$C$30,0)),"")</f>
        <v/>
      </c>
      <c r="U19" s="63">
        <v>35</v>
      </c>
      <c r="V19" s="62" t="str">
        <f>IFERROR(IF(ISBLANK(U19),"",ROUND((U19/[1]SETTINGS!$C$31)*[1]SETTINGS!$C$32,0)),"")</f>
        <v/>
      </c>
      <c r="W19" s="62" t="str">
        <f t="shared" si="2"/>
        <v/>
      </c>
      <c r="X19" s="64" t="str">
        <f t="shared" si="3"/>
        <v/>
      </c>
      <c r="Y19" s="65" t="str">
        <f t="shared" si="4"/>
        <v/>
      </c>
      <c r="Z19" s="72"/>
      <c r="AA19" s="63">
        <v>15</v>
      </c>
      <c r="AB19" s="63">
        <v>10</v>
      </c>
      <c r="AC19" s="63">
        <v>10</v>
      </c>
      <c r="AD19" s="63">
        <v>12</v>
      </c>
      <c r="AE19" s="61">
        <f t="shared" si="15"/>
        <v>47</v>
      </c>
      <c r="AF19" s="62" t="str">
        <f>IFERROR(IF(AE19=0,"",ROUND((AE19/SUM([1]SETTINGS!$C$26:$C$29))*[1]SETTINGS!$C$30,0)),"")</f>
        <v/>
      </c>
      <c r="AG19" s="63">
        <v>39</v>
      </c>
      <c r="AH19" s="62" t="str">
        <f>IFERROR(IF(ISBLANK(AG19),"",ROUND((AG19/[1]SETTINGS!$C$31)*[1]SETTINGS!$C$32,0)),"")</f>
        <v/>
      </c>
      <c r="AI19" s="62" t="str">
        <f t="shared" si="16"/>
        <v/>
      </c>
      <c r="AJ19" s="64" t="str">
        <f t="shared" si="5"/>
        <v/>
      </c>
      <c r="AK19" s="75" t="str">
        <f t="shared" si="17"/>
        <v/>
      </c>
      <c r="AL19" s="72"/>
      <c r="AM19" s="63">
        <v>12</v>
      </c>
      <c r="AN19" s="63">
        <v>10</v>
      </c>
      <c r="AO19" s="63">
        <v>9</v>
      </c>
      <c r="AP19" s="63">
        <v>14</v>
      </c>
      <c r="AQ19" s="61">
        <f t="shared" si="18"/>
        <v>45</v>
      </c>
      <c r="AR19" s="62" t="str">
        <f>IFERROR(IF(AQ19=0,"",ROUND((AQ19/SUM([1]SETTINGS!$C$26:$C$29))*[1]SETTINGS!$C$30,0)),"")</f>
        <v/>
      </c>
      <c r="AS19" s="63">
        <v>26</v>
      </c>
      <c r="AT19" s="62" t="str">
        <f>IFERROR(IF(ISBLANK(AS19),"",ROUND((AS19/[1]SETTINGS!$C$31)*[1]SETTINGS!$C$32,0)),"")</f>
        <v/>
      </c>
      <c r="AU19" s="62" t="str">
        <f t="shared" si="19"/>
        <v/>
      </c>
      <c r="AV19" s="64" t="str">
        <f t="shared" si="6"/>
        <v/>
      </c>
      <c r="AW19" s="65" t="str">
        <f t="shared" si="20"/>
        <v/>
      </c>
      <c r="AX19" s="72"/>
      <c r="AY19" s="63">
        <v>11</v>
      </c>
      <c r="AZ19" s="63">
        <v>10</v>
      </c>
      <c r="BA19" s="63">
        <v>8</v>
      </c>
      <c r="BB19" s="63">
        <v>12</v>
      </c>
      <c r="BC19" s="61">
        <f t="shared" si="21"/>
        <v>41</v>
      </c>
      <c r="BD19" s="62" t="str">
        <f>IFERROR(IF(BC19=0,"",ROUND((BC19/SUM([1]SETTINGS!$C$26:$C$29))*[1]SETTINGS!$C$30,0)),"")</f>
        <v/>
      </c>
      <c r="BE19" s="63">
        <v>57</v>
      </c>
      <c r="BF19" s="62" t="str">
        <f>IFERROR(IF(ISBLANK(BE19),"",ROUND((BE19/[1]SETTINGS!$C$31)*[1]SETTINGS!$C$32,0)),"")</f>
        <v/>
      </c>
      <c r="BG19" s="62" t="str">
        <f t="shared" si="22"/>
        <v/>
      </c>
      <c r="BH19" s="64" t="str">
        <f t="shared" si="7"/>
        <v/>
      </c>
      <c r="BI19" s="75" t="str">
        <f t="shared" si="23"/>
        <v/>
      </c>
      <c r="BJ19" s="72"/>
      <c r="BK19" s="63">
        <v>13</v>
      </c>
      <c r="BL19" s="63">
        <v>3</v>
      </c>
      <c r="BM19" s="63">
        <v>5</v>
      </c>
      <c r="BN19" s="63">
        <v>15</v>
      </c>
      <c r="BO19" s="61">
        <f t="shared" si="24"/>
        <v>36</v>
      </c>
      <c r="BP19" s="62" t="str">
        <f>IFERROR(IF(BO19=0,"",ROUND((BO19/SUM([1]SETTINGS!$C$26:$C$29))*[1]SETTINGS!$C$30,0)),"")</f>
        <v/>
      </c>
      <c r="BQ19" s="63">
        <v>45</v>
      </c>
      <c r="BR19" s="62" t="str">
        <f>IFERROR(IF(ISBLANK(BQ19),"",ROUND((BQ19/[1]SETTINGS!$C$31)*[1]SETTINGS!$C$32,0)),"")</f>
        <v/>
      </c>
      <c r="BS19" s="62" t="str">
        <f t="shared" si="25"/>
        <v/>
      </c>
      <c r="BT19" s="64" t="str">
        <f t="shared" si="8"/>
        <v/>
      </c>
      <c r="BU19" s="65" t="str">
        <f t="shared" si="26"/>
        <v/>
      </c>
      <c r="BV19" s="72"/>
      <c r="BW19" s="63">
        <v>8</v>
      </c>
      <c r="BX19" s="63">
        <v>5</v>
      </c>
      <c r="BY19" s="63">
        <v>13</v>
      </c>
      <c r="BZ19" s="63">
        <v>6</v>
      </c>
      <c r="CA19" s="61">
        <f t="shared" si="27"/>
        <v>32</v>
      </c>
      <c r="CB19" s="62" t="str">
        <f>IFERROR(IF(CA19=0,"",ROUND((CA19/SUM([1]SETTINGS!$C$26:$C$29))*[1]SETTINGS!$C$30,0)),"")</f>
        <v/>
      </c>
      <c r="CC19" s="63">
        <v>35</v>
      </c>
      <c r="CD19" s="62" t="str">
        <f>IFERROR(IF(ISBLANK(CC19),"",ROUND((CC19/[1]SETTINGS!$C$31)*[1]SETTINGS!$C$32,0)),"")</f>
        <v/>
      </c>
      <c r="CE19" s="62" t="str">
        <f t="shared" si="28"/>
        <v/>
      </c>
      <c r="CF19" s="64" t="str">
        <f t="shared" si="9"/>
        <v/>
      </c>
      <c r="CG19" s="65" t="str">
        <f t="shared" si="29"/>
        <v/>
      </c>
      <c r="CH19" s="72"/>
      <c r="CI19" s="63">
        <v>11</v>
      </c>
      <c r="CJ19" s="63">
        <v>13</v>
      </c>
      <c r="CK19" s="63">
        <v>10</v>
      </c>
      <c r="CL19" s="63">
        <v>11</v>
      </c>
      <c r="CM19" s="61">
        <f t="shared" si="30"/>
        <v>45</v>
      </c>
      <c r="CN19" s="62" t="str">
        <f>IFERROR(IF(CM19=0,"",ROUND((CM19/SUM([1]SETTINGS!$C$26:$C$29))*[1]SETTINGS!$C$30,0)),"")</f>
        <v/>
      </c>
      <c r="CO19" s="63">
        <v>28</v>
      </c>
      <c r="CP19" s="62" t="str">
        <f>IFERROR(IF(ISBLANK(CO19),"",ROUND((CO19/[1]SETTINGS!$C$31)*[1]SETTINGS!$C$32,0)),"")</f>
        <v/>
      </c>
      <c r="CQ19" s="62" t="str">
        <f t="shared" si="31"/>
        <v/>
      </c>
      <c r="CR19" s="64" t="str">
        <f t="shared" si="10"/>
        <v/>
      </c>
      <c r="CS19" s="65" t="str">
        <f t="shared" si="32"/>
        <v/>
      </c>
      <c r="CT19" s="72"/>
      <c r="CU19" s="63">
        <v>10</v>
      </c>
      <c r="CV19" s="63">
        <v>14</v>
      </c>
      <c r="CW19" s="63">
        <v>10</v>
      </c>
      <c r="CX19" s="63">
        <v>8</v>
      </c>
      <c r="CY19" s="61">
        <f t="shared" si="33"/>
        <v>42</v>
      </c>
      <c r="CZ19" s="62" t="str">
        <f>IFERROR(IF(CY19=0,"",ROUND((CY19/SUM([1]SETTINGS!$C$26:$C$29))*[1]SETTINGS!$C$30,0)),"")</f>
        <v/>
      </c>
      <c r="DA19" s="63">
        <v>40</v>
      </c>
      <c r="DB19" s="62" t="str">
        <f>IFERROR(IF(ISBLANK(DA19),"",ROUND((DA19/[1]SETTINGS!$C$31)*[1]SETTINGS!$C$32,0)),"")</f>
        <v/>
      </c>
      <c r="DC19" s="62" t="str">
        <f t="shared" si="34"/>
        <v/>
      </c>
      <c r="DD19" s="64" t="str">
        <f t="shared" si="11"/>
        <v/>
      </c>
      <c r="DE19" s="65" t="str">
        <f t="shared" si="35"/>
        <v/>
      </c>
      <c r="DF19" s="64" t="str">
        <f t="shared" si="12"/>
        <v/>
      </c>
      <c r="DG19" s="64" t="str">
        <f>IFERROR(IF(AND(K19,W19,AI19,AU19,BG19,BS19,CE19,CQ19,DC19)="","",SUM(K19,W19,AI19,AU19,LARGE((BG19,BS19,CE19,CQ19,DC19),{1,2}))),"")</f>
        <v/>
      </c>
      <c r="DH19" s="64" t="str">
        <f>IFERROR(IF(AND(M19,Y19,AK19,AW19,,BI19,BU19,CG19,CS19,DE19)="","",SUM(M19,Y19,AK19,AW19,SMALL((BI19,BU19,CG19,CS19,DE19),{1,2}))),"")</f>
        <v/>
      </c>
      <c r="DI19" s="76" t="str">
        <f>IFERROR(pos&amp;IF(AND(MOD(ABS(18),100)&gt;10,MOD(ABS(pos),100)&lt;14),"th", CHOOSE(MOD(ABS(pos),10)+1,"th","st","nd","rd","th","th","th","th","th","th")),"")</f>
        <v/>
      </c>
      <c r="DJ19" s="15">
        <f>ROWS($B$12:$B19)</f>
        <v>8</v>
      </c>
      <c r="DK19" s="15">
        <f>IF($B19=[1]REPORT_CARD!$B$9,$DJ19,"")</f>
        <v>8</v>
      </c>
      <c r="DM19" s="74"/>
    </row>
    <row r="20" spans="1:117" ht="19.5" customHeight="1">
      <c r="A20" s="59" t="str">
        <f>IFERROR(IF(ISBLANK([1]PRIMARY_INFO!$A20),"",[1]PRIMARY_INFO!$A20),"")</f>
        <v/>
      </c>
      <c r="B20" s="59" t="str">
        <f>IFERROR(IF(ISBLANK([1]PRIMARY_INFO!$B20),"",[1]PRIMARY_INFO!$B20),"")</f>
        <v/>
      </c>
      <c r="C20" s="63">
        <v>15</v>
      </c>
      <c r="D20" s="63">
        <v>15</v>
      </c>
      <c r="E20" s="63">
        <v>14</v>
      </c>
      <c r="F20" s="63">
        <v>5</v>
      </c>
      <c r="G20" s="61">
        <f t="shared" si="36"/>
        <v>49</v>
      </c>
      <c r="H20" s="62" t="str">
        <f>IFERROR(IF(G20=0,"",ROUND((G20/SUM([1]SETTINGS!$C$26:$C$29))*[1]SETTINGS!$C$30,0)),"")</f>
        <v/>
      </c>
      <c r="I20" s="63">
        <v>45</v>
      </c>
      <c r="J20" s="62" t="str">
        <f>IFERROR(IF(ISBLANK(I20),"",ROUND((I20/[1]SETTINGS!$C$31)*[1]SETTINGS!$C$32,0)),"")</f>
        <v/>
      </c>
      <c r="K20" s="62" t="str">
        <f t="shared" si="13"/>
        <v/>
      </c>
      <c r="L20" s="64" t="str">
        <f t="shared" si="0"/>
        <v/>
      </c>
      <c r="M20" s="65" t="str">
        <f t="shared" si="14"/>
        <v/>
      </c>
      <c r="N20" s="66"/>
      <c r="O20" s="63">
        <v>15</v>
      </c>
      <c r="P20" s="63">
        <v>13</v>
      </c>
      <c r="Q20" s="63">
        <v>9</v>
      </c>
      <c r="R20" s="63">
        <v>13</v>
      </c>
      <c r="S20" s="61">
        <f t="shared" si="1"/>
        <v>50</v>
      </c>
      <c r="T20" s="62" t="str">
        <f>IFERROR(IF(S20=0,"",ROUND((S20/SUM([1]SETTINGS!$C$26:$C$29))*[1]SETTINGS!$C$30,0)),"")</f>
        <v/>
      </c>
      <c r="U20" s="63">
        <v>68</v>
      </c>
      <c r="V20" s="62" t="str">
        <f>IFERROR(IF(ISBLANK(U20),"",ROUND((U20/[1]SETTINGS!$C$31)*[1]SETTINGS!$C$32,0)),"")</f>
        <v/>
      </c>
      <c r="W20" s="62" t="str">
        <f t="shared" si="2"/>
        <v/>
      </c>
      <c r="X20" s="64" t="str">
        <f t="shared" si="3"/>
        <v/>
      </c>
      <c r="Y20" s="65" t="str">
        <f t="shared" si="4"/>
        <v/>
      </c>
      <c r="Z20" s="72"/>
      <c r="AA20" s="63">
        <v>12</v>
      </c>
      <c r="AB20" s="63">
        <v>10</v>
      </c>
      <c r="AC20" s="63">
        <v>9</v>
      </c>
      <c r="AD20" s="63">
        <v>5</v>
      </c>
      <c r="AE20" s="61">
        <f t="shared" si="15"/>
        <v>36</v>
      </c>
      <c r="AF20" s="62" t="str">
        <f>IFERROR(IF(AE20=0,"",ROUND((AE20/SUM([1]SETTINGS!$C$26:$C$29))*[1]SETTINGS!$C$30,0)),"")</f>
        <v/>
      </c>
      <c r="AG20" s="63">
        <v>51</v>
      </c>
      <c r="AH20" s="62" t="str">
        <f>IFERROR(IF(ISBLANK(AG20),"",ROUND((AG20/[1]SETTINGS!$C$31)*[1]SETTINGS!$C$32,0)),"")</f>
        <v/>
      </c>
      <c r="AI20" s="62" t="str">
        <f t="shared" si="16"/>
        <v/>
      </c>
      <c r="AJ20" s="64" t="str">
        <f t="shared" si="5"/>
        <v/>
      </c>
      <c r="AK20" s="75" t="str">
        <f t="shared" si="17"/>
        <v/>
      </c>
      <c r="AL20" s="72"/>
      <c r="AM20" s="63">
        <v>10</v>
      </c>
      <c r="AN20" s="63">
        <v>12</v>
      </c>
      <c r="AO20" s="63">
        <v>10</v>
      </c>
      <c r="AP20" s="63">
        <v>15</v>
      </c>
      <c r="AQ20" s="61">
        <f t="shared" si="18"/>
        <v>47</v>
      </c>
      <c r="AR20" s="62" t="str">
        <f>IFERROR(IF(AQ20=0,"",ROUND((AQ20/SUM([1]SETTINGS!$C$26:$C$29))*[1]SETTINGS!$C$30,0)),"")</f>
        <v/>
      </c>
      <c r="AS20" s="63">
        <v>44</v>
      </c>
      <c r="AT20" s="62" t="str">
        <f>IFERROR(IF(ISBLANK(AS20),"",ROUND((AS20/[1]SETTINGS!$C$31)*[1]SETTINGS!$C$32,0)),"")</f>
        <v/>
      </c>
      <c r="AU20" s="62" t="str">
        <f t="shared" si="19"/>
        <v/>
      </c>
      <c r="AV20" s="64" t="str">
        <f t="shared" si="6"/>
        <v/>
      </c>
      <c r="AW20" s="65" t="str">
        <f t="shared" si="20"/>
        <v/>
      </c>
      <c r="AX20" s="72"/>
      <c r="AY20" s="63">
        <v>12</v>
      </c>
      <c r="AZ20" s="63">
        <v>8</v>
      </c>
      <c r="BA20" s="63">
        <v>11</v>
      </c>
      <c r="BB20" s="63">
        <v>10</v>
      </c>
      <c r="BC20" s="61">
        <f t="shared" si="21"/>
        <v>41</v>
      </c>
      <c r="BD20" s="62" t="str">
        <f>IFERROR(IF(BC20=0,"",ROUND((BC20/SUM([1]SETTINGS!$C$26:$C$29))*[1]SETTINGS!$C$30,0)),"")</f>
        <v/>
      </c>
      <c r="BE20" s="63">
        <v>80</v>
      </c>
      <c r="BF20" s="62" t="str">
        <f>IFERROR(IF(ISBLANK(BE20),"",ROUND((BE20/[1]SETTINGS!$C$31)*[1]SETTINGS!$C$32,0)),"")</f>
        <v/>
      </c>
      <c r="BG20" s="62" t="str">
        <f t="shared" si="22"/>
        <v/>
      </c>
      <c r="BH20" s="64" t="str">
        <f t="shared" si="7"/>
        <v/>
      </c>
      <c r="BI20" s="75" t="str">
        <f t="shared" si="23"/>
        <v/>
      </c>
      <c r="BJ20" s="72"/>
      <c r="BK20" s="63">
        <v>10</v>
      </c>
      <c r="BL20" s="63">
        <v>9</v>
      </c>
      <c r="BM20" s="63">
        <v>4</v>
      </c>
      <c r="BN20" s="63">
        <v>15</v>
      </c>
      <c r="BO20" s="61">
        <f t="shared" si="24"/>
        <v>38</v>
      </c>
      <c r="BP20" s="62" t="str">
        <f>IFERROR(IF(BO20=0,"",ROUND((BO20/SUM([1]SETTINGS!$C$26:$C$29))*[1]SETTINGS!$C$30,0)),"")</f>
        <v/>
      </c>
      <c r="BQ20" s="63">
        <v>50</v>
      </c>
      <c r="BR20" s="62" t="str">
        <f>IFERROR(IF(ISBLANK(BQ20),"",ROUND((BQ20/[1]SETTINGS!$C$31)*[1]SETTINGS!$C$32,0)),"")</f>
        <v/>
      </c>
      <c r="BS20" s="62" t="str">
        <f t="shared" si="25"/>
        <v/>
      </c>
      <c r="BT20" s="64" t="str">
        <f t="shared" si="8"/>
        <v/>
      </c>
      <c r="BU20" s="65" t="str">
        <f t="shared" si="26"/>
        <v/>
      </c>
      <c r="BV20" s="72"/>
      <c r="BW20" s="63">
        <v>7</v>
      </c>
      <c r="BX20" s="63">
        <v>11</v>
      </c>
      <c r="BY20" s="63">
        <v>15</v>
      </c>
      <c r="BZ20" s="63">
        <v>13</v>
      </c>
      <c r="CA20" s="61">
        <f t="shared" si="27"/>
        <v>46</v>
      </c>
      <c r="CB20" s="62" t="str">
        <f>IFERROR(IF(CA20=0,"",ROUND((CA20/SUM([1]SETTINGS!$C$26:$C$29))*[1]SETTINGS!$C$30,0)),"")</f>
        <v/>
      </c>
      <c r="CC20" s="63">
        <v>55</v>
      </c>
      <c r="CD20" s="62" t="str">
        <f>IFERROR(IF(ISBLANK(CC20),"",ROUND((CC20/[1]SETTINGS!$C$31)*[1]SETTINGS!$C$32,0)),"")</f>
        <v/>
      </c>
      <c r="CE20" s="62" t="str">
        <f t="shared" si="28"/>
        <v/>
      </c>
      <c r="CF20" s="64" t="str">
        <f t="shared" si="9"/>
        <v/>
      </c>
      <c r="CG20" s="65" t="str">
        <f t="shared" si="29"/>
        <v/>
      </c>
      <c r="CH20" s="72"/>
      <c r="CI20" s="63">
        <v>5</v>
      </c>
      <c r="CJ20" s="63">
        <v>13</v>
      </c>
      <c r="CK20" s="63">
        <v>7</v>
      </c>
      <c r="CL20" s="63">
        <v>14</v>
      </c>
      <c r="CM20" s="61">
        <f t="shared" si="30"/>
        <v>39</v>
      </c>
      <c r="CN20" s="62" t="str">
        <f>IFERROR(IF(CM20=0,"",ROUND((CM20/SUM([1]SETTINGS!$C$26:$C$29))*[1]SETTINGS!$C$30,0)),"")</f>
        <v/>
      </c>
      <c r="CO20" s="63">
        <v>22</v>
      </c>
      <c r="CP20" s="62" t="str">
        <f>IFERROR(IF(ISBLANK(CO20),"",ROUND((CO20/[1]SETTINGS!$C$31)*[1]SETTINGS!$C$32,0)),"")</f>
        <v/>
      </c>
      <c r="CQ20" s="62" t="str">
        <f t="shared" si="31"/>
        <v/>
      </c>
      <c r="CR20" s="64" t="str">
        <f t="shared" si="10"/>
        <v/>
      </c>
      <c r="CS20" s="65" t="str">
        <f t="shared" si="32"/>
        <v/>
      </c>
      <c r="CT20" s="72"/>
      <c r="CU20" s="63">
        <v>15</v>
      </c>
      <c r="CV20" s="63">
        <v>11</v>
      </c>
      <c r="CW20" s="63">
        <v>8</v>
      </c>
      <c r="CX20" s="63">
        <v>8</v>
      </c>
      <c r="CY20" s="61">
        <f t="shared" si="33"/>
        <v>42</v>
      </c>
      <c r="CZ20" s="62" t="str">
        <f>IFERROR(IF(CY20=0,"",ROUND((CY20/SUM([1]SETTINGS!$C$26:$C$29))*[1]SETTINGS!$C$30,0)),"")</f>
        <v/>
      </c>
      <c r="DA20" s="63">
        <v>49</v>
      </c>
      <c r="DB20" s="62" t="str">
        <f>IFERROR(IF(ISBLANK(DA20),"",ROUND((DA20/[1]SETTINGS!$C$31)*[1]SETTINGS!$C$32,0)),"")</f>
        <v/>
      </c>
      <c r="DC20" s="62" t="str">
        <f t="shared" si="34"/>
        <v/>
      </c>
      <c r="DD20" s="64" t="str">
        <f t="shared" si="11"/>
        <v/>
      </c>
      <c r="DE20" s="65" t="str">
        <f t="shared" si="35"/>
        <v/>
      </c>
      <c r="DF20" s="64" t="str">
        <f t="shared" si="12"/>
        <v/>
      </c>
      <c r="DG20" s="64" t="str">
        <f>IFERROR(IF(AND(K20,W20,AI20,AU20,BG20,BS20,CE20,CQ20,DC20)="","",SUM(K20,W20,AI20,AU20,LARGE((BG20,BS20,CE20,CQ20,DC20),{1,2}))),"")</f>
        <v/>
      </c>
      <c r="DH20" s="64" t="str">
        <f>IFERROR(IF(AND(M20,Y20,AK20,AW20,,BI20,BU20,CG20,CS20,DE20)="","",SUM(M20,Y20,AK20,AW20,SMALL((BI20,BU20,CG20,CS20,DE20),{1,2}))),"")</f>
        <v/>
      </c>
      <c r="DI20" s="76" t="str">
        <f>IFERROR(pos&amp;IF(AND(MOD(ABS(18),100)&gt;10,MOD(ABS(pos),100)&lt;14),"th", CHOOSE(MOD(ABS(pos),10)+1,"th","st","nd","rd","th","th","th","th","th","th")),"")</f>
        <v/>
      </c>
      <c r="DJ20" s="15">
        <f>ROWS($B$12:$B20)</f>
        <v>9</v>
      </c>
      <c r="DK20" s="15">
        <f>IF($B20=[1]REPORT_CARD!$B$9,$DJ20,"")</f>
        <v>9</v>
      </c>
      <c r="DM20" s="74"/>
    </row>
    <row r="21" spans="1:117" ht="19.5" customHeight="1">
      <c r="A21" s="59" t="str">
        <f>IFERROR(IF(ISBLANK([1]PRIMARY_INFO!$A21),"",[1]PRIMARY_INFO!$A21),"")</f>
        <v/>
      </c>
      <c r="B21" s="59" t="str">
        <f>IFERROR(IF(ISBLANK([1]PRIMARY_INFO!$B21),"",[1]PRIMARY_INFO!$B21),"")</f>
        <v/>
      </c>
      <c r="C21" s="63">
        <v>10</v>
      </c>
      <c r="D21" s="63">
        <v>15</v>
      </c>
      <c r="E21" s="63">
        <v>14</v>
      </c>
      <c r="F21" s="63">
        <v>14</v>
      </c>
      <c r="G21" s="61">
        <f t="shared" si="36"/>
        <v>53</v>
      </c>
      <c r="H21" s="62" t="str">
        <f>IFERROR(IF(G21=0,"",ROUND((G21/SUM([1]SETTINGS!$C$26:$C$29))*[1]SETTINGS!$C$30,0)),"")</f>
        <v/>
      </c>
      <c r="I21" s="63">
        <v>24</v>
      </c>
      <c r="J21" s="62" t="str">
        <f>IFERROR(IF(ISBLANK(I21),"",ROUND((I21/[1]SETTINGS!$C$31)*[1]SETTINGS!$C$32,0)),"")</f>
        <v/>
      </c>
      <c r="K21" s="62" t="str">
        <f t="shared" si="13"/>
        <v/>
      </c>
      <c r="L21" s="64" t="str">
        <f t="shared" si="0"/>
        <v/>
      </c>
      <c r="M21" s="65" t="str">
        <f t="shared" si="14"/>
        <v/>
      </c>
      <c r="N21" s="66"/>
      <c r="O21" s="63">
        <v>2</v>
      </c>
      <c r="P21" s="63">
        <v>14</v>
      </c>
      <c r="Q21" s="63">
        <v>5</v>
      </c>
      <c r="R21" s="63">
        <v>13</v>
      </c>
      <c r="S21" s="61">
        <f t="shared" si="1"/>
        <v>34</v>
      </c>
      <c r="T21" s="62" t="str">
        <f>IFERROR(IF(S21=0,"",ROUND((S21/SUM([1]SETTINGS!$C$26:$C$29))*[1]SETTINGS!$C$30,0)),"")</f>
        <v/>
      </c>
      <c r="U21" s="63">
        <v>21</v>
      </c>
      <c r="V21" s="62" t="str">
        <f>IFERROR(IF(ISBLANK(U21),"",ROUND((U21/[1]SETTINGS!$C$31)*[1]SETTINGS!$C$32,0)),"")</f>
        <v/>
      </c>
      <c r="W21" s="62" t="str">
        <f t="shared" si="2"/>
        <v/>
      </c>
      <c r="X21" s="64" t="str">
        <f t="shared" si="3"/>
        <v/>
      </c>
      <c r="Y21" s="65" t="str">
        <f t="shared" si="4"/>
        <v/>
      </c>
      <c r="Z21" s="72"/>
      <c r="AA21" s="63">
        <v>10</v>
      </c>
      <c r="AB21" s="63">
        <v>10</v>
      </c>
      <c r="AC21" s="63">
        <v>13</v>
      </c>
      <c r="AD21" s="63">
        <v>6</v>
      </c>
      <c r="AE21" s="61">
        <f t="shared" si="15"/>
        <v>39</v>
      </c>
      <c r="AF21" s="62" t="str">
        <f>IFERROR(IF(AE21=0,"",ROUND((AE21/SUM([1]SETTINGS!$C$26:$C$29))*[1]SETTINGS!$C$30,0)),"")</f>
        <v/>
      </c>
      <c r="AG21" s="63">
        <v>32</v>
      </c>
      <c r="AH21" s="62" t="str">
        <f>IFERROR(IF(ISBLANK(AG21),"",ROUND((AG21/[1]SETTINGS!$C$31)*[1]SETTINGS!$C$32,0)),"")</f>
        <v/>
      </c>
      <c r="AI21" s="62" t="str">
        <f t="shared" si="16"/>
        <v/>
      </c>
      <c r="AJ21" s="64" t="str">
        <f t="shared" si="5"/>
        <v/>
      </c>
      <c r="AK21" s="75" t="str">
        <f t="shared" si="17"/>
        <v/>
      </c>
      <c r="AL21" s="72"/>
      <c r="AM21" s="63">
        <v>11</v>
      </c>
      <c r="AN21" s="63">
        <v>12</v>
      </c>
      <c r="AO21" s="63">
        <v>10</v>
      </c>
      <c r="AP21" s="63">
        <v>14</v>
      </c>
      <c r="AQ21" s="61">
        <f t="shared" si="18"/>
        <v>47</v>
      </c>
      <c r="AR21" s="62" t="str">
        <f>IFERROR(IF(AQ21=0,"",ROUND((AQ21/SUM([1]SETTINGS!$C$26:$C$29))*[1]SETTINGS!$C$30,0)),"")</f>
        <v/>
      </c>
      <c r="AS21" s="63">
        <v>27</v>
      </c>
      <c r="AT21" s="62" t="str">
        <f>IFERROR(IF(ISBLANK(AS21),"",ROUND((AS21/[1]SETTINGS!$C$31)*[1]SETTINGS!$C$32,0)),"")</f>
        <v/>
      </c>
      <c r="AU21" s="62" t="str">
        <f t="shared" si="19"/>
        <v/>
      </c>
      <c r="AV21" s="64" t="str">
        <f t="shared" si="6"/>
        <v/>
      </c>
      <c r="AW21" s="65" t="str">
        <f t="shared" si="20"/>
        <v/>
      </c>
      <c r="AX21" s="72"/>
      <c r="AY21" s="63">
        <v>12</v>
      </c>
      <c r="AZ21" s="63">
        <v>5</v>
      </c>
      <c r="BA21" s="63">
        <v>15</v>
      </c>
      <c r="BB21" s="63">
        <v>6</v>
      </c>
      <c r="BC21" s="61">
        <f t="shared" si="21"/>
        <v>38</v>
      </c>
      <c r="BD21" s="62" t="str">
        <f>IFERROR(IF(BC21=0,"",ROUND((BC21/SUM([1]SETTINGS!$C$26:$C$29))*[1]SETTINGS!$C$30,0)),"")</f>
        <v/>
      </c>
      <c r="BE21" s="63">
        <v>38</v>
      </c>
      <c r="BF21" s="62" t="str">
        <f>IFERROR(IF(ISBLANK(BE21),"",ROUND((BE21/[1]SETTINGS!$C$31)*[1]SETTINGS!$C$32,0)),"")</f>
        <v/>
      </c>
      <c r="BG21" s="62" t="str">
        <f t="shared" si="22"/>
        <v/>
      </c>
      <c r="BH21" s="64" t="str">
        <f t="shared" si="7"/>
        <v/>
      </c>
      <c r="BI21" s="75" t="str">
        <f t="shared" si="23"/>
        <v/>
      </c>
      <c r="BJ21" s="72"/>
      <c r="BK21" s="63">
        <v>8</v>
      </c>
      <c r="BL21" s="63">
        <v>1</v>
      </c>
      <c r="BM21" s="63">
        <v>3</v>
      </c>
      <c r="BN21" s="63">
        <v>15</v>
      </c>
      <c r="BO21" s="61">
        <f t="shared" si="24"/>
        <v>27</v>
      </c>
      <c r="BP21" s="62" t="str">
        <f>IFERROR(IF(BO21=0,"",ROUND((BO21/SUM([1]SETTINGS!$C$26:$C$29))*[1]SETTINGS!$C$30,0)),"")</f>
        <v/>
      </c>
      <c r="BQ21" s="63">
        <v>24</v>
      </c>
      <c r="BR21" s="62" t="str">
        <f>IFERROR(IF(ISBLANK(BQ21),"",ROUND((BQ21/[1]SETTINGS!$C$31)*[1]SETTINGS!$C$32,0)),"")</f>
        <v/>
      </c>
      <c r="BS21" s="62" t="str">
        <f t="shared" si="25"/>
        <v/>
      </c>
      <c r="BT21" s="64" t="str">
        <f t="shared" si="8"/>
        <v/>
      </c>
      <c r="BU21" s="65" t="str">
        <f t="shared" si="26"/>
        <v/>
      </c>
      <c r="BV21" s="72"/>
      <c r="BW21" s="63">
        <v>1</v>
      </c>
      <c r="BX21" s="63">
        <v>10</v>
      </c>
      <c r="BY21" s="63">
        <v>14</v>
      </c>
      <c r="BZ21" s="63">
        <v>11</v>
      </c>
      <c r="CA21" s="61">
        <f t="shared" si="27"/>
        <v>36</v>
      </c>
      <c r="CB21" s="62" t="str">
        <f>IFERROR(IF(CA21=0,"",ROUND((CA21/SUM([1]SETTINGS!$C$26:$C$29))*[1]SETTINGS!$C$30,0)),"")</f>
        <v/>
      </c>
      <c r="CC21" s="63">
        <v>31</v>
      </c>
      <c r="CD21" s="62" t="str">
        <f>IFERROR(IF(ISBLANK(CC21),"",ROUND((CC21/[1]SETTINGS!$C$31)*[1]SETTINGS!$C$32,0)),"")</f>
        <v/>
      </c>
      <c r="CE21" s="62" t="str">
        <f t="shared" si="28"/>
        <v/>
      </c>
      <c r="CF21" s="64" t="str">
        <f t="shared" si="9"/>
        <v/>
      </c>
      <c r="CG21" s="65" t="str">
        <f t="shared" si="29"/>
        <v/>
      </c>
      <c r="CH21" s="72"/>
      <c r="CI21" s="63">
        <v>9</v>
      </c>
      <c r="CJ21" s="63">
        <v>13</v>
      </c>
      <c r="CK21" s="63">
        <v>10</v>
      </c>
      <c r="CL21" s="63">
        <v>14</v>
      </c>
      <c r="CM21" s="61">
        <f t="shared" si="30"/>
        <v>46</v>
      </c>
      <c r="CN21" s="62" t="str">
        <f>IFERROR(IF(CM21=0,"",ROUND((CM21/SUM([1]SETTINGS!$C$26:$C$29))*[1]SETTINGS!$C$30,0)),"")</f>
        <v/>
      </c>
      <c r="CO21" s="63">
        <v>27</v>
      </c>
      <c r="CP21" s="62" t="str">
        <f>IFERROR(IF(ISBLANK(CO21),"",ROUND((CO21/[1]SETTINGS!$C$31)*[1]SETTINGS!$C$32,0)),"")</f>
        <v/>
      </c>
      <c r="CQ21" s="62" t="str">
        <f t="shared" si="31"/>
        <v/>
      </c>
      <c r="CR21" s="64" t="str">
        <f t="shared" si="10"/>
        <v/>
      </c>
      <c r="CS21" s="65" t="str">
        <f t="shared" si="32"/>
        <v/>
      </c>
      <c r="CT21" s="72"/>
      <c r="CU21" s="63">
        <v>9</v>
      </c>
      <c r="CV21" s="63">
        <v>10</v>
      </c>
      <c r="CW21" s="63">
        <v>11</v>
      </c>
      <c r="CX21" s="63">
        <v>9</v>
      </c>
      <c r="CY21" s="61">
        <f t="shared" si="33"/>
        <v>39</v>
      </c>
      <c r="CZ21" s="62" t="str">
        <f>IFERROR(IF(CY21=0,"",ROUND((CY21/SUM([1]SETTINGS!$C$26:$C$29))*[1]SETTINGS!$C$30,0)),"")</f>
        <v/>
      </c>
      <c r="DA21" s="63">
        <v>13</v>
      </c>
      <c r="DB21" s="62" t="str">
        <f>IFERROR(IF(ISBLANK(DA21),"",ROUND((DA21/[1]SETTINGS!$C$31)*[1]SETTINGS!$C$32,0)),"")</f>
        <v/>
      </c>
      <c r="DC21" s="62" t="str">
        <f t="shared" si="34"/>
        <v/>
      </c>
      <c r="DD21" s="64" t="str">
        <f t="shared" si="11"/>
        <v/>
      </c>
      <c r="DE21" s="65" t="str">
        <f t="shared" si="35"/>
        <v/>
      </c>
      <c r="DF21" s="64" t="str">
        <f t="shared" si="12"/>
        <v/>
      </c>
      <c r="DG21" s="64" t="str">
        <f>IFERROR(IF(AND(K21,W21,AI21,AU21,BG21,BS21,CE21,CQ21,DC21)="","",SUM(K21,W21,AI21,AU21,LARGE((BG21,BS21,CE21,CQ21,DC21),{1,2}))),"")</f>
        <v/>
      </c>
      <c r="DH21" s="64" t="str">
        <f>IFERROR(IF(AND(M21,Y21,AK21,AW21,,BI21,BU21,CG21,CS21,DE21)="","",SUM(M21,Y21,AK21,AW21,SMALL((BI21,BU21,CG21,CS21,DE21),{1,2}))),"")</f>
        <v/>
      </c>
      <c r="DI21" s="76" t="str">
        <f>IFERROR(pos&amp;IF(AND(MOD(ABS(18),100)&gt;10,MOD(ABS(pos),100)&lt;14),"th", CHOOSE(MOD(ABS(pos),10)+1,"th","st","nd","rd","th","th","th","th","th","th")),"")</f>
        <v/>
      </c>
      <c r="DJ21" s="15">
        <f>ROWS($B$12:$B21)</f>
        <v>10</v>
      </c>
      <c r="DK21" s="15">
        <f>IF($B21=[1]REPORT_CARD!$B$9,$DJ21,"")</f>
        <v>10</v>
      </c>
      <c r="DM21" s="74"/>
    </row>
    <row r="22" spans="1:117" ht="19.5" customHeight="1">
      <c r="A22" s="59" t="str">
        <f>IFERROR(IF(ISBLANK([1]PRIMARY_INFO!$A22),"",[1]PRIMARY_INFO!$A22),"")</f>
        <v/>
      </c>
      <c r="B22" s="59" t="str">
        <f>IFERROR(IF(ISBLANK([1]PRIMARY_INFO!$B22),"",[1]PRIMARY_INFO!$B22),"")</f>
        <v/>
      </c>
      <c r="C22" s="63">
        <v>15</v>
      </c>
      <c r="D22" s="63">
        <v>12</v>
      </c>
      <c r="E22" s="63">
        <v>14</v>
      </c>
      <c r="F22" s="63">
        <v>6</v>
      </c>
      <c r="G22" s="61">
        <f t="shared" si="36"/>
        <v>47</v>
      </c>
      <c r="H22" s="62" t="str">
        <f>IFERROR(IF(G22=0,"",ROUND((G22/SUM([1]SETTINGS!$C$26:$C$29))*[1]SETTINGS!$C$30,0)),"")</f>
        <v/>
      </c>
      <c r="I22" s="63">
        <v>48</v>
      </c>
      <c r="J22" s="62" t="str">
        <f>IFERROR(IF(ISBLANK(I22),"",ROUND((I22/[1]SETTINGS!$C$31)*[1]SETTINGS!$C$32,0)),"")</f>
        <v/>
      </c>
      <c r="K22" s="62" t="str">
        <f t="shared" si="13"/>
        <v/>
      </c>
      <c r="L22" s="64" t="str">
        <f t="shared" si="0"/>
        <v/>
      </c>
      <c r="M22" s="65" t="str">
        <f t="shared" si="14"/>
        <v/>
      </c>
      <c r="N22" s="66"/>
      <c r="O22" s="63">
        <v>7</v>
      </c>
      <c r="P22" s="63">
        <v>14</v>
      </c>
      <c r="Q22" s="63">
        <v>6</v>
      </c>
      <c r="R22" s="63">
        <v>12</v>
      </c>
      <c r="S22" s="61">
        <f t="shared" si="1"/>
        <v>39</v>
      </c>
      <c r="T22" s="62" t="str">
        <f>IFERROR(IF(S22=0,"",ROUND((S22/SUM([1]SETTINGS!$C$26:$C$29))*[1]SETTINGS!$C$30,0)),"")</f>
        <v/>
      </c>
      <c r="U22" s="63">
        <v>48</v>
      </c>
      <c r="V22" s="62" t="str">
        <f>IFERROR(IF(ISBLANK(U22),"",ROUND((U22/[1]SETTINGS!$C$31)*[1]SETTINGS!$C$32,0)),"")</f>
        <v/>
      </c>
      <c r="W22" s="62" t="str">
        <f t="shared" si="2"/>
        <v/>
      </c>
      <c r="X22" s="64" t="str">
        <f t="shared" si="3"/>
        <v/>
      </c>
      <c r="Y22" s="65" t="str">
        <f t="shared" si="4"/>
        <v/>
      </c>
      <c r="Z22" s="72"/>
      <c r="AA22" s="63">
        <v>8</v>
      </c>
      <c r="AB22" s="63">
        <v>10</v>
      </c>
      <c r="AC22" s="63">
        <v>7</v>
      </c>
      <c r="AD22" s="63">
        <v>12</v>
      </c>
      <c r="AE22" s="61">
        <f t="shared" si="15"/>
        <v>37</v>
      </c>
      <c r="AF22" s="62" t="str">
        <f>IFERROR(IF(AE22=0,"",ROUND((AE22/SUM([1]SETTINGS!$C$26:$C$29))*[1]SETTINGS!$C$30,0)),"")</f>
        <v/>
      </c>
      <c r="AG22" s="63">
        <v>65</v>
      </c>
      <c r="AH22" s="62" t="str">
        <f>IFERROR(IF(ISBLANK(AG22),"",ROUND((AG22/[1]SETTINGS!$C$31)*[1]SETTINGS!$C$32,0)),"")</f>
        <v/>
      </c>
      <c r="AI22" s="62" t="str">
        <f t="shared" si="16"/>
        <v/>
      </c>
      <c r="AJ22" s="64" t="str">
        <f t="shared" si="5"/>
        <v/>
      </c>
      <c r="AK22" s="75" t="str">
        <f t="shared" si="17"/>
        <v/>
      </c>
      <c r="AL22" s="72"/>
      <c r="AM22" s="63">
        <v>10</v>
      </c>
      <c r="AN22" s="63">
        <v>11</v>
      </c>
      <c r="AO22" s="63">
        <v>9</v>
      </c>
      <c r="AP22" s="63">
        <v>15</v>
      </c>
      <c r="AQ22" s="61">
        <f t="shared" si="18"/>
        <v>45</v>
      </c>
      <c r="AR22" s="62" t="str">
        <f>IFERROR(IF(AQ22=0,"",ROUND((AQ22/SUM([1]SETTINGS!$C$26:$C$29))*[1]SETTINGS!$C$30,0)),"")</f>
        <v/>
      </c>
      <c r="AS22" s="63">
        <v>47</v>
      </c>
      <c r="AT22" s="62" t="str">
        <f>IFERROR(IF(ISBLANK(AS22),"",ROUND((AS22/[1]SETTINGS!$C$31)*[1]SETTINGS!$C$32,0)),"")</f>
        <v/>
      </c>
      <c r="AU22" s="62" t="str">
        <f t="shared" si="19"/>
        <v/>
      </c>
      <c r="AV22" s="64" t="str">
        <f t="shared" si="6"/>
        <v/>
      </c>
      <c r="AW22" s="65" t="str">
        <f t="shared" si="20"/>
        <v/>
      </c>
      <c r="AX22" s="72"/>
      <c r="AY22" s="63">
        <v>8</v>
      </c>
      <c r="AZ22" s="63">
        <v>10</v>
      </c>
      <c r="BA22" s="63">
        <v>10</v>
      </c>
      <c r="BB22" s="63">
        <v>11</v>
      </c>
      <c r="BC22" s="61">
        <f t="shared" si="21"/>
        <v>39</v>
      </c>
      <c r="BD22" s="62" t="str">
        <f>IFERROR(IF(BC22=0,"",ROUND((BC22/SUM([1]SETTINGS!$C$26:$C$29))*[1]SETTINGS!$C$30,0)),"")</f>
        <v/>
      </c>
      <c r="BE22" s="63">
        <v>71</v>
      </c>
      <c r="BF22" s="62" t="str">
        <f>IFERROR(IF(ISBLANK(BE22),"",ROUND((BE22/[1]SETTINGS!$C$31)*[1]SETTINGS!$C$32,0)),"")</f>
        <v/>
      </c>
      <c r="BG22" s="62" t="str">
        <f t="shared" si="22"/>
        <v/>
      </c>
      <c r="BH22" s="64" t="str">
        <f t="shared" si="7"/>
        <v/>
      </c>
      <c r="BI22" s="75" t="str">
        <f t="shared" si="23"/>
        <v/>
      </c>
      <c r="BJ22" s="72"/>
      <c r="BK22" s="63">
        <v>5</v>
      </c>
      <c r="BL22" s="63">
        <v>7</v>
      </c>
      <c r="BM22" s="63">
        <v>5</v>
      </c>
      <c r="BN22" s="63">
        <v>15</v>
      </c>
      <c r="BO22" s="61">
        <f t="shared" si="24"/>
        <v>32</v>
      </c>
      <c r="BP22" s="62" t="str">
        <f>IFERROR(IF(BO22=0,"",ROUND((BO22/SUM([1]SETTINGS!$C$26:$C$29))*[1]SETTINGS!$C$30,0)),"")</f>
        <v/>
      </c>
      <c r="BQ22" s="63">
        <v>66</v>
      </c>
      <c r="BR22" s="62" t="str">
        <f>IFERROR(IF(ISBLANK(BQ22),"",ROUND((BQ22/[1]SETTINGS!$C$31)*[1]SETTINGS!$C$32,0)),"")</f>
        <v/>
      </c>
      <c r="BS22" s="62" t="str">
        <f t="shared" si="25"/>
        <v/>
      </c>
      <c r="BT22" s="64" t="str">
        <f t="shared" si="8"/>
        <v/>
      </c>
      <c r="BU22" s="65" t="str">
        <f t="shared" si="26"/>
        <v/>
      </c>
      <c r="BV22" s="72"/>
      <c r="BW22" s="63">
        <v>8</v>
      </c>
      <c r="BX22" s="63">
        <v>8</v>
      </c>
      <c r="BY22" s="63">
        <v>15</v>
      </c>
      <c r="BZ22" s="63">
        <v>12</v>
      </c>
      <c r="CA22" s="61">
        <f t="shared" si="27"/>
        <v>43</v>
      </c>
      <c r="CB22" s="62" t="str">
        <f>IFERROR(IF(CA22=0,"",ROUND((CA22/SUM([1]SETTINGS!$C$26:$C$29))*[1]SETTINGS!$C$30,0)),"")</f>
        <v/>
      </c>
      <c r="CC22" s="63">
        <v>59</v>
      </c>
      <c r="CD22" s="62" t="str">
        <f>IFERROR(IF(ISBLANK(CC22),"",ROUND((CC22/[1]SETTINGS!$C$31)*[1]SETTINGS!$C$32,0)),"")</f>
        <v/>
      </c>
      <c r="CE22" s="62" t="str">
        <f t="shared" si="28"/>
        <v/>
      </c>
      <c r="CF22" s="64" t="str">
        <f t="shared" si="9"/>
        <v/>
      </c>
      <c r="CG22" s="65" t="str">
        <f t="shared" si="29"/>
        <v/>
      </c>
      <c r="CH22" s="72"/>
      <c r="CI22" s="63">
        <v>14</v>
      </c>
      <c r="CJ22" s="63">
        <v>15</v>
      </c>
      <c r="CK22" s="63">
        <v>8</v>
      </c>
      <c r="CL22" s="63">
        <v>12</v>
      </c>
      <c r="CM22" s="61">
        <f t="shared" si="30"/>
        <v>49</v>
      </c>
      <c r="CN22" s="62" t="str">
        <f>IFERROR(IF(CM22=0,"",ROUND((CM22/SUM([1]SETTINGS!$C$26:$C$29))*[1]SETTINGS!$C$30,0)),"")</f>
        <v/>
      </c>
      <c r="CO22" s="63">
        <v>31</v>
      </c>
      <c r="CP22" s="62" t="str">
        <f>IFERROR(IF(ISBLANK(CO22),"",ROUND((CO22/[1]SETTINGS!$C$31)*[1]SETTINGS!$C$32,0)),"")</f>
        <v/>
      </c>
      <c r="CQ22" s="62" t="str">
        <f t="shared" si="31"/>
        <v/>
      </c>
      <c r="CR22" s="64" t="str">
        <f t="shared" si="10"/>
        <v/>
      </c>
      <c r="CS22" s="65" t="str">
        <f t="shared" si="32"/>
        <v/>
      </c>
      <c r="CT22" s="72"/>
      <c r="CU22" s="63">
        <v>9</v>
      </c>
      <c r="CV22" s="63">
        <v>13</v>
      </c>
      <c r="CW22" s="63">
        <v>8</v>
      </c>
      <c r="CX22" s="63">
        <v>12</v>
      </c>
      <c r="CY22" s="61">
        <f t="shared" si="33"/>
        <v>42</v>
      </c>
      <c r="CZ22" s="62" t="str">
        <f>IFERROR(IF(CY22=0,"",ROUND((CY22/SUM([1]SETTINGS!$C$26:$C$29))*[1]SETTINGS!$C$30,0)),"")</f>
        <v/>
      </c>
      <c r="DA22" s="63">
        <v>50</v>
      </c>
      <c r="DB22" s="62" t="str">
        <f>IFERROR(IF(ISBLANK(DA22),"",ROUND((DA22/[1]SETTINGS!$C$31)*[1]SETTINGS!$C$32,0)),"")</f>
        <v/>
      </c>
      <c r="DC22" s="62" t="str">
        <f t="shared" si="34"/>
        <v/>
      </c>
      <c r="DD22" s="64" t="str">
        <f t="shared" si="11"/>
        <v/>
      </c>
      <c r="DE22" s="65" t="str">
        <f t="shared" si="35"/>
        <v/>
      </c>
      <c r="DF22" s="64" t="str">
        <f t="shared" si="12"/>
        <v/>
      </c>
      <c r="DG22" s="64" t="str">
        <f>IFERROR(IF(AND(K22,W22,AI22,AU22,BG22,BS22,CE22,CQ22,DC22)="","",SUM(K22,W22,AI22,AU22,LARGE((BG22,BS22,CE22,CQ22,DC22),{1,2}))),"")</f>
        <v/>
      </c>
      <c r="DH22" s="64" t="str">
        <f>IFERROR(IF(AND(M22,Y22,AK22,AW22,,BI22,BU22,CG22,CS22,DE22)="","",SUM(M22,Y22,AK22,AW22,SMALL((BI22,BU22,CG22,CS22,DE22),{1,2}))),"")</f>
        <v/>
      </c>
      <c r="DI22" s="76" t="str">
        <f>IFERROR(pos&amp;IF(AND(MOD(ABS(18),100)&gt;10,MOD(ABS(pos),100)&lt;14),"th", CHOOSE(MOD(ABS(pos),10)+1,"th","st","nd","rd","th","th","th","th","th","th")),"")</f>
        <v/>
      </c>
      <c r="DJ22" s="15">
        <f>ROWS($B$12:$B22)</f>
        <v>11</v>
      </c>
      <c r="DK22" s="15">
        <f>IF($B22=[1]REPORT_CARD!$B$9,$DJ22,"")</f>
        <v>11</v>
      </c>
      <c r="DM22" s="74"/>
    </row>
    <row r="23" spans="1:117" ht="19.5" customHeight="1">
      <c r="A23" s="59" t="str">
        <f>IFERROR(IF(ISBLANK([1]PRIMARY_INFO!$A23),"",[1]PRIMARY_INFO!$A23),"")</f>
        <v/>
      </c>
      <c r="B23" s="59" t="str">
        <f>IFERROR(IF(ISBLANK([1]PRIMARY_INFO!$B23),"",[1]PRIMARY_INFO!$B23),"")</f>
        <v/>
      </c>
      <c r="C23" s="63">
        <v>6</v>
      </c>
      <c r="D23" s="63">
        <v>12</v>
      </c>
      <c r="E23" s="63">
        <v>15</v>
      </c>
      <c r="F23" s="63">
        <v>5</v>
      </c>
      <c r="G23" s="61">
        <f t="shared" si="36"/>
        <v>38</v>
      </c>
      <c r="H23" s="62" t="str">
        <f>IFERROR(IF(G23=0,"",ROUND((G23/SUM([1]SETTINGS!$C$26:$C$29))*[1]SETTINGS!$C$30,0)),"")</f>
        <v/>
      </c>
      <c r="I23" s="63">
        <v>9</v>
      </c>
      <c r="J23" s="62" t="str">
        <f>IFERROR(IF(ISBLANK(I23),"",ROUND((I23/[1]SETTINGS!$C$31)*[1]SETTINGS!$C$32,0)),"")</f>
        <v/>
      </c>
      <c r="K23" s="62" t="str">
        <f t="shared" si="13"/>
        <v/>
      </c>
      <c r="L23" s="64" t="str">
        <f t="shared" si="0"/>
        <v/>
      </c>
      <c r="M23" s="65" t="str">
        <f t="shared" si="14"/>
        <v/>
      </c>
      <c r="N23" s="66"/>
      <c r="O23" s="63">
        <v>5</v>
      </c>
      <c r="P23" s="63">
        <v>13</v>
      </c>
      <c r="Q23" s="63">
        <v>7</v>
      </c>
      <c r="R23" s="63">
        <v>8</v>
      </c>
      <c r="S23" s="61">
        <f t="shared" si="1"/>
        <v>33</v>
      </c>
      <c r="T23" s="62" t="str">
        <f>IFERROR(IF(S23=0,"",ROUND((S23/SUM([1]SETTINGS!$C$26:$C$29))*[1]SETTINGS!$C$30,0)),"")</f>
        <v/>
      </c>
      <c r="U23" s="63">
        <v>14</v>
      </c>
      <c r="V23" s="62" t="str">
        <f>IFERROR(IF(ISBLANK(U23),"",ROUND((U23/[1]SETTINGS!$C$31)*[1]SETTINGS!$C$32,0)),"")</f>
        <v/>
      </c>
      <c r="W23" s="62" t="str">
        <f t="shared" si="2"/>
        <v/>
      </c>
      <c r="X23" s="64" t="str">
        <f t="shared" si="3"/>
        <v/>
      </c>
      <c r="Y23" s="65" t="str">
        <f t="shared" si="4"/>
        <v/>
      </c>
      <c r="Z23" s="72"/>
      <c r="AA23" s="63">
        <v>8</v>
      </c>
      <c r="AB23" s="63">
        <v>11</v>
      </c>
      <c r="AC23" s="63">
        <v>8</v>
      </c>
      <c r="AD23" s="63">
        <v>8</v>
      </c>
      <c r="AE23" s="61">
        <f t="shared" si="15"/>
        <v>35</v>
      </c>
      <c r="AF23" s="62" t="str">
        <f>IFERROR(IF(AE23=0,"",ROUND((AE23/SUM([1]SETTINGS!$C$26:$C$29))*[1]SETTINGS!$C$30,0)),"")</f>
        <v/>
      </c>
      <c r="AG23" s="63">
        <v>25</v>
      </c>
      <c r="AH23" s="62" t="str">
        <f>IFERROR(IF(ISBLANK(AG23),"",ROUND((AG23/[1]SETTINGS!$C$31)*[1]SETTINGS!$C$32,0)),"")</f>
        <v/>
      </c>
      <c r="AI23" s="62" t="str">
        <f t="shared" si="16"/>
        <v/>
      </c>
      <c r="AJ23" s="64" t="str">
        <f t="shared" si="5"/>
        <v/>
      </c>
      <c r="AK23" s="75" t="str">
        <f t="shared" si="17"/>
        <v/>
      </c>
      <c r="AL23" s="72"/>
      <c r="AM23" s="63">
        <v>7</v>
      </c>
      <c r="AN23" s="63">
        <v>10</v>
      </c>
      <c r="AO23" s="63">
        <v>12</v>
      </c>
      <c r="AP23" s="63">
        <v>14</v>
      </c>
      <c r="AQ23" s="61">
        <f t="shared" si="18"/>
        <v>43</v>
      </c>
      <c r="AR23" s="62" t="str">
        <f>IFERROR(IF(AQ23=0,"",ROUND((AQ23/SUM([1]SETTINGS!$C$26:$C$29))*[1]SETTINGS!$C$30,0)),"")</f>
        <v/>
      </c>
      <c r="AS23" s="63">
        <v>21</v>
      </c>
      <c r="AT23" s="62" t="str">
        <f>IFERROR(IF(ISBLANK(AS23),"",ROUND((AS23/[1]SETTINGS!$C$31)*[1]SETTINGS!$C$32,0)),"")</f>
        <v/>
      </c>
      <c r="AU23" s="62" t="str">
        <f t="shared" si="19"/>
        <v/>
      </c>
      <c r="AV23" s="64" t="str">
        <f t="shared" si="6"/>
        <v/>
      </c>
      <c r="AW23" s="65" t="str">
        <f t="shared" si="20"/>
        <v/>
      </c>
      <c r="AX23" s="72"/>
      <c r="AY23" s="63">
        <v>6</v>
      </c>
      <c r="AZ23" s="63">
        <v>8</v>
      </c>
      <c r="BA23" s="63">
        <v>10</v>
      </c>
      <c r="BB23" s="63">
        <v>15</v>
      </c>
      <c r="BC23" s="61">
        <f t="shared" si="21"/>
        <v>39</v>
      </c>
      <c r="BD23" s="62" t="str">
        <f>IFERROR(IF(BC23=0,"",ROUND((BC23/SUM([1]SETTINGS!$C$26:$C$29))*[1]SETTINGS!$C$30,0)),"")</f>
        <v/>
      </c>
      <c r="BE23" s="63">
        <v>18</v>
      </c>
      <c r="BF23" s="62" t="str">
        <f>IFERROR(IF(ISBLANK(BE23),"",ROUND((BE23/[1]SETTINGS!$C$31)*[1]SETTINGS!$C$32,0)),"")</f>
        <v/>
      </c>
      <c r="BG23" s="62" t="str">
        <f t="shared" si="22"/>
        <v/>
      </c>
      <c r="BH23" s="64" t="str">
        <f t="shared" si="7"/>
        <v/>
      </c>
      <c r="BI23" s="75" t="str">
        <f t="shared" si="23"/>
        <v/>
      </c>
      <c r="BJ23" s="72"/>
      <c r="BK23" s="63">
        <v>4</v>
      </c>
      <c r="BL23" s="63">
        <v>10</v>
      </c>
      <c r="BM23" s="63">
        <v>7</v>
      </c>
      <c r="BN23" s="63">
        <v>15</v>
      </c>
      <c r="BO23" s="61">
        <f t="shared" si="24"/>
        <v>36</v>
      </c>
      <c r="BP23" s="62" t="str">
        <f>IFERROR(IF(BO23=0,"",ROUND((BO23/SUM([1]SETTINGS!$C$26:$C$29))*[1]SETTINGS!$C$30,0)),"")</f>
        <v/>
      </c>
      <c r="BQ23" s="63">
        <v>26</v>
      </c>
      <c r="BR23" s="62" t="str">
        <f>IFERROR(IF(ISBLANK(BQ23),"",ROUND((BQ23/[1]SETTINGS!$C$31)*[1]SETTINGS!$C$32,0)),"")</f>
        <v/>
      </c>
      <c r="BS23" s="62" t="str">
        <f t="shared" si="25"/>
        <v/>
      </c>
      <c r="BT23" s="64" t="str">
        <f t="shared" si="8"/>
        <v/>
      </c>
      <c r="BU23" s="65" t="str">
        <f t="shared" si="26"/>
        <v/>
      </c>
      <c r="BV23" s="72"/>
      <c r="BW23" s="63">
        <v>7</v>
      </c>
      <c r="BX23" s="63">
        <v>12</v>
      </c>
      <c r="BY23" s="63">
        <v>15</v>
      </c>
      <c r="BZ23" s="63">
        <v>3</v>
      </c>
      <c r="CA23" s="61">
        <f t="shared" si="27"/>
        <v>37</v>
      </c>
      <c r="CB23" s="62" t="str">
        <f>IFERROR(IF(CA23=0,"",ROUND((CA23/SUM([1]SETTINGS!$C$26:$C$29))*[1]SETTINGS!$C$30,0)),"")</f>
        <v/>
      </c>
      <c r="CC23" s="63">
        <v>17</v>
      </c>
      <c r="CD23" s="62" t="str">
        <f>IFERROR(IF(ISBLANK(CC23),"",ROUND((CC23/[1]SETTINGS!$C$31)*[1]SETTINGS!$C$32,0)),"")</f>
        <v/>
      </c>
      <c r="CE23" s="62" t="str">
        <f t="shared" si="28"/>
        <v/>
      </c>
      <c r="CF23" s="64" t="str">
        <f t="shared" si="9"/>
        <v/>
      </c>
      <c r="CG23" s="65" t="str">
        <f t="shared" si="29"/>
        <v/>
      </c>
      <c r="CH23" s="72"/>
      <c r="CI23" s="63">
        <v>5</v>
      </c>
      <c r="CJ23" s="63">
        <v>13</v>
      </c>
      <c r="CK23" s="63">
        <v>10</v>
      </c>
      <c r="CL23" s="63">
        <v>9</v>
      </c>
      <c r="CM23" s="61">
        <f t="shared" si="30"/>
        <v>37</v>
      </c>
      <c r="CN23" s="62" t="str">
        <f>IFERROR(IF(CM23=0,"",ROUND((CM23/SUM([1]SETTINGS!$C$26:$C$29))*[1]SETTINGS!$C$30,0)),"")</f>
        <v/>
      </c>
      <c r="CO23" s="63">
        <v>20</v>
      </c>
      <c r="CP23" s="62" t="str">
        <f>IFERROR(IF(ISBLANK(CO23),"",ROUND((CO23/[1]SETTINGS!$C$31)*[1]SETTINGS!$C$32,0)),"")</f>
        <v/>
      </c>
      <c r="CQ23" s="62" t="str">
        <f t="shared" si="31"/>
        <v/>
      </c>
      <c r="CR23" s="64" t="str">
        <f t="shared" si="10"/>
        <v/>
      </c>
      <c r="CS23" s="65" t="str">
        <f t="shared" si="32"/>
        <v/>
      </c>
      <c r="CT23" s="72"/>
      <c r="CU23" s="63">
        <v>9</v>
      </c>
      <c r="CV23" s="63">
        <v>6</v>
      </c>
      <c r="CW23" s="63">
        <v>5</v>
      </c>
      <c r="CX23" s="63">
        <v>4</v>
      </c>
      <c r="CY23" s="61">
        <f t="shared" si="33"/>
        <v>24</v>
      </c>
      <c r="CZ23" s="62" t="str">
        <f>IFERROR(IF(CY23=0,"",ROUND((CY23/SUM([1]SETTINGS!$C$26:$C$29))*[1]SETTINGS!$C$30,0)),"")</f>
        <v/>
      </c>
      <c r="DA23" s="63">
        <v>17</v>
      </c>
      <c r="DB23" s="62" t="str">
        <f>IFERROR(IF(ISBLANK(DA23),"",ROUND((DA23/[1]SETTINGS!$C$31)*[1]SETTINGS!$C$32,0)),"")</f>
        <v/>
      </c>
      <c r="DC23" s="62" t="str">
        <f t="shared" si="34"/>
        <v/>
      </c>
      <c r="DD23" s="64" t="str">
        <f t="shared" si="11"/>
        <v/>
      </c>
      <c r="DE23" s="65" t="str">
        <f t="shared" si="35"/>
        <v/>
      </c>
      <c r="DF23" s="64" t="str">
        <f t="shared" si="12"/>
        <v/>
      </c>
      <c r="DG23" s="64" t="str">
        <f>IFERROR(IF(AND(K23,W23,AI23,AU23,BG23,BS23,CE23,CQ23,DC23)="","",SUM(K23,W23,AI23,AU23,LARGE((BG23,BS23,CE23,CQ23,DC23),{1,2}))),"")</f>
        <v/>
      </c>
      <c r="DH23" s="64" t="str">
        <f>IFERROR(IF(AND(M23,Y23,AK23,AW23,,BI23,BU23,CG23,CS23,DE23)="","",SUM(M23,Y23,AK23,AW23,SMALL((BI23,BU23,CG23,CS23,DE23),{1,2}))),"")</f>
        <v/>
      </c>
      <c r="DI23" s="76" t="str">
        <f>IFERROR(pos&amp;IF(AND(MOD(ABS(18),100)&gt;10,MOD(ABS(pos),100)&lt;14),"th", CHOOSE(MOD(ABS(pos),10)+1,"th","st","nd","rd","th","th","th","th","th","th")),"")</f>
        <v/>
      </c>
      <c r="DJ23" s="15">
        <f>ROWS($B$12:$B23)</f>
        <v>12</v>
      </c>
      <c r="DK23" s="15">
        <f>IF($B23=[1]REPORT_CARD!$B$9,$DJ23,"")</f>
        <v>12</v>
      </c>
      <c r="DM23" s="74"/>
    </row>
    <row r="24" spans="1:117" ht="19.5" customHeight="1">
      <c r="A24" s="59" t="str">
        <f>IFERROR(IF(ISBLANK([1]PRIMARY_INFO!$A24),"",[1]PRIMARY_INFO!$A24),"")</f>
        <v/>
      </c>
      <c r="B24" s="59" t="str">
        <f>IFERROR(IF(ISBLANK([1]PRIMARY_INFO!$B24),"",[1]PRIMARY_INFO!$B24),"")</f>
        <v/>
      </c>
      <c r="C24" s="63">
        <v>15</v>
      </c>
      <c r="D24" s="63">
        <v>12</v>
      </c>
      <c r="E24" s="63">
        <v>14</v>
      </c>
      <c r="F24" s="63">
        <v>9</v>
      </c>
      <c r="G24" s="61">
        <f t="shared" si="36"/>
        <v>50</v>
      </c>
      <c r="H24" s="62" t="str">
        <f>IFERROR(IF(G24=0,"",ROUND((G24/SUM([1]SETTINGS!$C$26:$C$29))*[1]SETTINGS!$C$30,0)),"")</f>
        <v/>
      </c>
      <c r="I24" s="63">
        <v>36</v>
      </c>
      <c r="J24" s="62" t="str">
        <f>IFERROR(IF(ISBLANK(I24),"",ROUND((I24/[1]SETTINGS!$C$31)*[1]SETTINGS!$C$32,0)),"")</f>
        <v/>
      </c>
      <c r="K24" s="62" t="str">
        <f t="shared" si="13"/>
        <v/>
      </c>
      <c r="L24" s="64" t="str">
        <f t="shared" si="0"/>
        <v/>
      </c>
      <c r="M24" s="65" t="str">
        <f t="shared" si="14"/>
        <v/>
      </c>
      <c r="N24" s="66"/>
      <c r="O24" s="63">
        <v>5</v>
      </c>
      <c r="P24" s="63">
        <v>13</v>
      </c>
      <c r="Q24" s="63">
        <v>5</v>
      </c>
      <c r="R24" s="63">
        <v>8</v>
      </c>
      <c r="S24" s="61">
        <f t="shared" si="1"/>
        <v>31</v>
      </c>
      <c r="T24" s="62" t="str">
        <f>IFERROR(IF(S24=0,"",ROUND((S24/SUM([1]SETTINGS!$C$26:$C$29))*[1]SETTINGS!$C$30,0)),"")</f>
        <v/>
      </c>
      <c r="U24" s="63">
        <v>31</v>
      </c>
      <c r="V24" s="62" t="str">
        <f>IFERROR(IF(ISBLANK(U24),"",ROUND((U24/[1]SETTINGS!$C$31)*[1]SETTINGS!$C$32,0)),"")</f>
        <v/>
      </c>
      <c r="W24" s="62" t="str">
        <f t="shared" si="2"/>
        <v/>
      </c>
      <c r="X24" s="64" t="str">
        <f t="shared" si="3"/>
        <v/>
      </c>
      <c r="Y24" s="65" t="str">
        <f t="shared" si="4"/>
        <v/>
      </c>
      <c r="Z24" s="72"/>
      <c r="AA24" s="63">
        <v>11</v>
      </c>
      <c r="AB24" s="63">
        <v>9</v>
      </c>
      <c r="AC24" s="63">
        <v>7</v>
      </c>
      <c r="AD24" s="63">
        <v>9</v>
      </c>
      <c r="AE24" s="61">
        <f t="shared" si="15"/>
        <v>36</v>
      </c>
      <c r="AF24" s="62" t="str">
        <f>IFERROR(IF(AE24=0,"",ROUND((AE24/SUM([1]SETTINGS!$C$26:$C$29))*[1]SETTINGS!$C$30,0)),"")</f>
        <v/>
      </c>
      <c r="AG24" s="63">
        <v>46</v>
      </c>
      <c r="AH24" s="62" t="str">
        <f>IFERROR(IF(ISBLANK(AG24),"",ROUND((AG24/[1]SETTINGS!$C$31)*[1]SETTINGS!$C$32,0)),"")</f>
        <v/>
      </c>
      <c r="AI24" s="62" t="str">
        <f t="shared" si="16"/>
        <v/>
      </c>
      <c r="AJ24" s="64" t="str">
        <f t="shared" si="5"/>
        <v/>
      </c>
      <c r="AK24" s="75" t="str">
        <f t="shared" si="17"/>
        <v/>
      </c>
      <c r="AL24" s="72"/>
      <c r="AM24" s="63">
        <v>11</v>
      </c>
      <c r="AN24" s="63">
        <v>6</v>
      </c>
      <c r="AO24" s="63">
        <v>13</v>
      </c>
      <c r="AP24" s="63">
        <v>15</v>
      </c>
      <c r="AQ24" s="61">
        <f t="shared" si="18"/>
        <v>45</v>
      </c>
      <c r="AR24" s="62" t="str">
        <f>IFERROR(IF(AQ24=0,"",ROUND((AQ24/SUM([1]SETTINGS!$C$26:$C$29))*[1]SETTINGS!$C$30,0)),"")</f>
        <v/>
      </c>
      <c r="AS24" s="63">
        <v>29</v>
      </c>
      <c r="AT24" s="62" t="str">
        <f>IFERROR(IF(ISBLANK(AS24),"",ROUND((AS24/[1]SETTINGS!$C$31)*[1]SETTINGS!$C$32,0)),"")</f>
        <v/>
      </c>
      <c r="AU24" s="62" t="str">
        <f t="shared" si="19"/>
        <v/>
      </c>
      <c r="AV24" s="64" t="str">
        <f t="shared" si="6"/>
        <v/>
      </c>
      <c r="AW24" s="65" t="str">
        <f t="shared" si="20"/>
        <v/>
      </c>
      <c r="AX24" s="72"/>
      <c r="AY24" s="63">
        <v>10</v>
      </c>
      <c r="AZ24" s="63">
        <v>12</v>
      </c>
      <c r="BA24" s="63">
        <v>8</v>
      </c>
      <c r="BB24" s="63">
        <v>5</v>
      </c>
      <c r="BC24" s="61">
        <f t="shared" si="21"/>
        <v>35</v>
      </c>
      <c r="BD24" s="62" t="str">
        <f>IFERROR(IF(BC24=0,"",ROUND((BC24/SUM([1]SETTINGS!$C$26:$C$29))*[1]SETTINGS!$C$30,0)),"")</f>
        <v/>
      </c>
      <c r="BE24" s="63">
        <v>59</v>
      </c>
      <c r="BF24" s="62" t="str">
        <f>IFERROR(IF(ISBLANK(BE24),"",ROUND((BE24/[1]SETTINGS!$C$31)*[1]SETTINGS!$C$32,0)),"")</f>
        <v/>
      </c>
      <c r="BG24" s="62" t="str">
        <f t="shared" si="22"/>
        <v/>
      </c>
      <c r="BH24" s="64" t="str">
        <f t="shared" si="7"/>
        <v/>
      </c>
      <c r="BI24" s="75" t="str">
        <f t="shared" si="23"/>
        <v/>
      </c>
      <c r="BJ24" s="72"/>
      <c r="BK24" s="63">
        <v>5</v>
      </c>
      <c r="BL24" s="63">
        <v>7</v>
      </c>
      <c r="BM24" s="63">
        <v>1</v>
      </c>
      <c r="BN24" s="63">
        <v>16</v>
      </c>
      <c r="BO24" s="61">
        <f t="shared" si="24"/>
        <v>29</v>
      </c>
      <c r="BP24" s="62" t="str">
        <f>IFERROR(IF(BO24=0,"",ROUND((BO24/SUM([1]SETTINGS!$C$26:$C$29))*[1]SETTINGS!$C$30,0)),"")</f>
        <v/>
      </c>
      <c r="BQ24" s="63">
        <v>44</v>
      </c>
      <c r="BR24" s="62" t="str">
        <f>IFERROR(IF(ISBLANK(BQ24),"",ROUND((BQ24/[1]SETTINGS!$C$31)*[1]SETTINGS!$C$32,0)),"")</f>
        <v/>
      </c>
      <c r="BS24" s="62" t="str">
        <f t="shared" si="25"/>
        <v/>
      </c>
      <c r="BT24" s="64" t="str">
        <f t="shared" si="8"/>
        <v/>
      </c>
      <c r="BU24" s="65" t="str">
        <f t="shared" si="26"/>
        <v/>
      </c>
      <c r="BV24" s="72"/>
      <c r="BW24" s="63">
        <v>12</v>
      </c>
      <c r="BX24" s="63">
        <v>15</v>
      </c>
      <c r="BY24" s="63">
        <v>3</v>
      </c>
      <c r="BZ24" s="63">
        <v>11</v>
      </c>
      <c r="CA24" s="61">
        <f t="shared" si="27"/>
        <v>41</v>
      </c>
      <c r="CB24" s="62" t="str">
        <f>IFERROR(IF(CA24=0,"",ROUND((CA24/SUM([1]SETTINGS!$C$26:$C$29))*[1]SETTINGS!$C$30,0)),"")</f>
        <v/>
      </c>
      <c r="CC24" s="63">
        <v>60</v>
      </c>
      <c r="CD24" s="62" t="str">
        <f>IFERROR(IF(ISBLANK(CC24),"",ROUND((CC24/[1]SETTINGS!$C$31)*[1]SETTINGS!$C$32,0)),"")</f>
        <v/>
      </c>
      <c r="CE24" s="62" t="str">
        <f t="shared" si="28"/>
        <v/>
      </c>
      <c r="CF24" s="64" t="str">
        <f t="shared" si="9"/>
        <v/>
      </c>
      <c r="CG24" s="65" t="str">
        <f t="shared" si="29"/>
        <v/>
      </c>
      <c r="CH24" s="72"/>
      <c r="CI24" s="63">
        <v>12</v>
      </c>
      <c r="CJ24" s="63">
        <v>13</v>
      </c>
      <c r="CK24" s="63">
        <v>11</v>
      </c>
      <c r="CL24" s="63">
        <v>9</v>
      </c>
      <c r="CM24" s="61">
        <f t="shared" si="30"/>
        <v>45</v>
      </c>
      <c r="CN24" s="62" t="str">
        <f>IFERROR(IF(CM24=0,"",ROUND((CM24/SUM([1]SETTINGS!$C$26:$C$29))*[1]SETTINGS!$C$30,0)),"")</f>
        <v/>
      </c>
      <c r="CO24" s="63">
        <v>25</v>
      </c>
      <c r="CP24" s="62" t="str">
        <f>IFERROR(IF(ISBLANK(CO24),"",ROUND((CO24/[1]SETTINGS!$C$31)*[1]SETTINGS!$C$32,0)),"")</f>
        <v/>
      </c>
      <c r="CQ24" s="62" t="str">
        <f t="shared" si="31"/>
        <v/>
      </c>
      <c r="CR24" s="64" t="str">
        <f t="shared" si="10"/>
        <v/>
      </c>
      <c r="CS24" s="65" t="str">
        <f t="shared" si="32"/>
        <v/>
      </c>
      <c r="CT24" s="72"/>
      <c r="CU24" s="63">
        <v>5</v>
      </c>
      <c r="CV24" s="63">
        <v>5</v>
      </c>
      <c r="CW24" s="63">
        <v>5</v>
      </c>
      <c r="CX24" s="63">
        <v>5</v>
      </c>
      <c r="CY24" s="61">
        <f t="shared" si="33"/>
        <v>20</v>
      </c>
      <c r="CZ24" s="62" t="str">
        <f>IFERROR(IF(CY24=0,"",ROUND((CY24/SUM([1]SETTINGS!$C$26:$C$29))*[1]SETTINGS!$C$30,0)),"")</f>
        <v/>
      </c>
      <c r="DA24" s="63">
        <v>33</v>
      </c>
      <c r="DB24" s="62" t="str">
        <f>IFERROR(IF(ISBLANK(DA24),"",ROUND((DA24/[1]SETTINGS!$C$31)*[1]SETTINGS!$C$32,0)),"")</f>
        <v/>
      </c>
      <c r="DC24" s="62" t="str">
        <f t="shared" si="34"/>
        <v/>
      </c>
      <c r="DD24" s="64" t="str">
        <f t="shared" si="11"/>
        <v/>
      </c>
      <c r="DE24" s="65" t="str">
        <f t="shared" si="35"/>
        <v/>
      </c>
      <c r="DF24" s="64" t="str">
        <f t="shared" si="12"/>
        <v/>
      </c>
      <c r="DG24" s="64" t="str">
        <f>IFERROR(IF(AND(K24,W24,AI24,AU24,BG24,BS24,CE24,CQ24,DC24)="","",SUM(K24,W24,AI24,AU24,LARGE((BG24,BS24,CE24,CQ24,DC24),{1,2}))),"")</f>
        <v/>
      </c>
      <c r="DH24" s="64" t="str">
        <f>IFERROR(IF(AND(M24,Y24,AK24,AW24,,BI24,BU24,CG24,CS24,DE24)="","",SUM(M24,Y24,AK24,AW24,SMALL((BI24,BU24,CG24,CS24,DE24),{1,2}))),"")</f>
        <v/>
      </c>
      <c r="DI24" s="76" t="str">
        <f>IFERROR(pos&amp;IF(AND(MOD(ABS(18),100)&gt;10,MOD(ABS(pos),100)&lt;14),"th", CHOOSE(MOD(ABS(pos),10)+1,"th","st","nd","rd","th","th","th","th","th","th")),"")</f>
        <v/>
      </c>
      <c r="DJ24" s="15">
        <f>ROWS($B$12:$B24)</f>
        <v>13</v>
      </c>
      <c r="DK24" s="15">
        <f>IF($B24=[1]REPORT_CARD!$B$9,$DJ24,"")</f>
        <v>13</v>
      </c>
      <c r="DM24" s="74"/>
    </row>
    <row r="25" spans="1:117" ht="19.5" customHeight="1">
      <c r="A25" s="59" t="str">
        <f>IFERROR(IF(ISBLANK([1]PRIMARY_INFO!$A25),"",[1]PRIMARY_INFO!$A25),"")</f>
        <v/>
      </c>
      <c r="B25" s="59" t="str">
        <f>IFERROR(IF(ISBLANK([1]PRIMARY_INFO!$B25),"",[1]PRIMARY_INFO!$B25),"")</f>
        <v/>
      </c>
      <c r="C25" s="63">
        <v>15</v>
      </c>
      <c r="D25" s="63">
        <v>15</v>
      </c>
      <c r="E25" s="63">
        <v>14</v>
      </c>
      <c r="F25" s="63">
        <v>10</v>
      </c>
      <c r="G25" s="61">
        <f t="shared" si="36"/>
        <v>54</v>
      </c>
      <c r="H25" s="62" t="str">
        <f>IFERROR(IF(G25=0,"",ROUND((G25/SUM([1]SETTINGS!$C$26:$C$29))*[1]SETTINGS!$C$30,0)),"")</f>
        <v/>
      </c>
      <c r="I25" s="63">
        <v>67</v>
      </c>
      <c r="J25" s="62" t="str">
        <f>IFERROR(IF(ISBLANK(I25),"",ROUND((I25/[1]SETTINGS!$C$31)*[1]SETTINGS!$C$32,0)),"")</f>
        <v/>
      </c>
      <c r="K25" s="62" t="str">
        <f t="shared" si="13"/>
        <v/>
      </c>
      <c r="L25" s="64" t="str">
        <f t="shared" si="0"/>
        <v/>
      </c>
      <c r="M25" s="65" t="str">
        <f t="shared" si="14"/>
        <v/>
      </c>
      <c r="N25" s="66"/>
      <c r="O25" s="63">
        <v>15</v>
      </c>
      <c r="P25" s="63">
        <v>13</v>
      </c>
      <c r="Q25" s="63">
        <v>13</v>
      </c>
      <c r="R25" s="63">
        <v>12</v>
      </c>
      <c r="S25" s="61">
        <f t="shared" si="1"/>
        <v>53</v>
      </c>
      <c r="T25" s="62" t="str">
        <f>IFERROR(IF(S25=0,"",ROUND((S25/SUM([1]SETTINGS!$C$26:$C$29))*[1]SETTINGS!$C$30,0)),"")</f>
        <v/>
      </c>
      <c r="U25" s="63">
        <v>66</v>
      </c>
      <c r="V25" s="62" t="str">
        <f>IFERROR(IF(ISBLANK(U25),"",ROUND((U25/[1]SETTINGS!$C$31)*[1]SETTINGS!$C$32,0)),"")</f>
        <v/>
      </c>
      <c r="W25" s="62" t="str">
        <f t="shared" si="2"/>
        <v/>
      </c>
      <c r="X25" s="64" t="str">
        <f t="shared" si="3"/>
        <v/>
      </c>
      <c r="Y25" s="65" t="str">
        <f t="shared" si="4"/>
        <v/>
      </c>
      <c r="Z25" s="72"/>
      <c r="AA25" s="63">
        <v>15</v>
      </c>
      <c r="AB25" s="63">
        <v>12</v>
      </c>
      <c r="AC25" s="63">
        <v>12</v>
      </c>
      <c r="AD25" s="63">
        <v>15</v>
      </c>
      <c r="AE25" s="61">
        <f t="shared" si="15"/>
        <v>54</v>
      </c>
      <c r="AF25" s="62" t="str">
        <f>IFERROR(IF(AE25=0,"",ROUND((AE25/SUM([1]SETTINGS!$C$26:$C$29))*[1]SETTINGS!$C$30,0)),"")</f>
        <v/>
      </c>
      <c r="AG25" s="63">
        <v>87</v>
      </c>
      <c r="AH25" s="62" t="str">
        <f>IFERROR(IF(ISBLANK(AG25),"",ROUND((AG25/[1]SETTINGS!$C$31)*[1]SETTINGS!$C$32,0)),"")</f>
        <v/>
      </c>
      <c r="AI25" s="62" t="str">
        <f t="shared" si="16"/>
        <v/>
      </c>
      <c r="AJ25" s="64" t="str">
        <f t="shared" si="5"/>
        <v/>
      </c>
      <c r="AK25" s="75" t="str">
        <f t="shared" si="17"/>
        <v/>
      </c>
      <c r="AL25" s="72"/>
      <c r="AM25" s="63">
        <v>15</v>
      </c>
      <c r="AN25" s="63">
        <v>12</v>
      </c>
      <c r="AO25" s="63">
        <v>13</v>
      </c>
      <c r="AP25" s="63">
        <v>14</v>
      </c>
      <c r="AQ25" s="61">
        <f t="shared" si="18"/>
        <v>54</v>
      </c>
      <c r="AR25" s="62" t="str">
        <f>IFERROR(IF(AQ25=0,"",ROUND((AQ25/SUM([1]SETTINGS!$C$26:$C$29))*[1]SETTINGS!$C$30,0)),"")</f>
        <v/>
      </c>
      <c r="AS25" s="63">
        <v>80</v>
      </c>
      <c r="AT25" s="62" t="str">
        <f>IFERROR(IF(ISBLANK(AS25),"",ROUND((AS25/[1]SETTINGS!$C$31)*[1]SETTINGS!$C$32,0)),"")</f>
        <v/>
      </c>
      <c r="AU25" s="62" t="str">
        <f t="shared" si="19"/>
        <v/>
      </c>
      <c r="AV25" s="64" t="str">
        <f t="shared" si="6"/>
        <v/>
      </c>
      <c r="AW25" s="65" t="str">
        <f t="shared" si="20"/>
        <v/>
      </c>
      <c r="AX25" s="72"/>
      <c r="AY25" s="63">
        <v>15</v>
      </c>
      <c r="AZ25" s="63">
        <v>15</v>
      </c>
      <c r="BA25" s="63">
        <v>14</v>
      </c>
      <c r="BB25" s="63">
        <v>14</v>
      </c>
      <c r="BC25" s="61">
        <f t="shared" si="21"/>
        <v>58</v>
      </c>
      <c r="BD25" s="62" t="str">
        <f>IFERROR(IF(BC25=0,"",ROUND((BC25/SUM([1]SETTINGS!$C$26:$C$29))*[1]SETTINGS!$C$30,0)),"")</f>
        <v/>
      </c>
      <c r="BE25" s="63">
        <v>92</v>
      </c>
      <c r="BF25" s="62" t="str">
        <f>IFERROR(IF(ISBLANK(BE25),"",ROUND((BE25/[1]SETTINGS!$C$31)*[1]SETTINGS!$C$32,0)),"")</f>
        <v/>
      </c>
      <c r="BG25" s="62" t="str">
        <f t="shared" si="22"/>
        <v/>
      </c>
      <c r="BH25" s="64" t="str">
        <f t="shared" si="7"/>
        <v/>
      </c>
      <c r="BI25" s="75" t="str">
        <f t="shared" si="23"/>
        <v/>
      </c>
      <c r="BJ25" s="72"/>
      <c r="BK25" s="63">
        <v>12</v>
      </c>
      <c r="BL25" s="63">
        <v>13</v>
      </c>
      <c r="BM25" s="63">
        <v>15</v>
      </c>
      <c r="BN25" s="63">
        <v>15</v>
      </c>
      <c r="BO25" s="61">
        <f t="shared" si="24"/>
        <v>55</v>
      </c>
      <c r="BP25" s="62" t="str">
        <f>IFERROR(IF(BO25=0,"",ROUND((BO25/SUM([1]SETTINGS!$C$26:$C$29))*[1]SETTINGS!$C$30,0)),"")</f>
        <v/>
      </c>
      <c r="BQ25" s="63">
        <v>78</v>
      </c>
      <c r="BR25" s="62" t="str">
        <f>IFERROR(IF(ISBLANK(BQ25),"",ROUND((BQ25/[1]SETTINGS!$C$31)*[1]SETTINGS!$C$32,0)),"")</f>
        <v/>
      </c>
      <c r="BS25" s="62" t="str">
        <f t="shared" si="25"/>
        <v/>
      </c>
      <c r="BT25" s="64" t="str">
        <f t="shared" si="8"/>
        <v/>
      </c>
      <c r="BU25" s="65" t="str">
        <f t="shared" si="26"/>
        <v/>
      </c>
      <c r="BV25" s="72"/>
      <c r="BW25" s="63">
        <v>15</v>
      </c>
      <c r="BX25" s="63">
        <v>12</v>
      </c>
      <c r="BY25" s="63">
        <v>15</v>
      </c>
      <c r="BZ25" s="63">
        <v>15</v>
      </c>
      <c r="CA25" s="61">
        <f t="shared" si="27"/>
        <v>57</v>
      </c>
      <c r="CB25" s="62" t="str">
        <f>IFERROR(IF(CA25=0,"",ROUND((CA25/SUM([1]SETTINGS!$C$26:$C$29))*[1]SETTINGS!$C$30,0)),"")</f>
        <v/>
      </c>
      <c r="CC25" s="63">
        <v>73</v>
      </c>
      <c r="CD25" s="62" t="str">
        <f>IFERROR(IF(ISBLANK(CC25),"",ROUND((CC25/[1]SETTINGS!$C$31)*[1]SETTINGS!$C$32,0)),"")</f>
        <v/>
      </c>
      <c r="CE25" s="62" t="str">
        <f t="shared" si="28"/>
        <v/>
      </c>
      <c r="CF25" s="64" t="str">
        <f t="shared" si="9"/>
        <v/>
      </c>
      <c r="CG25" s="65" t="str">
        <f t="shared" si="29"/>
        <v/>
      </c>
      <c r="CH25" s="72"/>
      <c r="CI25" s="63">
        <v>15</v>
      </c>
      <c r="CJ25" s="63">
        <v>13</v>
      </c>
      <c r="CK25" s="63">
        <v>15</v>
      </c>
      <c r="CL25" s="63">
        <v>15</v>
      </c>
      <c r="CM25" s="61">
        <f t="shared" si="30"/>
        <v>58</v>
      </c>
      <c r="CN25" s="62" t="str">
        <f>IFERROR(IF(CM25=0,"",ROUND((CM25/SUM([1]SETTINGS!$C$26:$C$29))*[1]SETTINGS!$C$30,0)),"")</f>
        <v/>
      </c>
      <c r="CO25" s="63">
        <v>72</v>
      </c>
      <c r="CP25" s="62" t="str">
        <f>IFERROR(IF(ISBLANK(CO25),"",ROUND((CO25/[1]SETTINGS!$C$31)*[1]SETTINGS!$C$32,0)),"")</f>
        <v/>
      </c>
      <c r="CQ25" s="62" t="str">
        <f t="shared" si="31"/>
        <v/>
      </c>
      <c r="CR25" s="64" t="str">
        <f t="shared" si="10"/>
        <v/>
      </c>
      <c r="CS25" s="65" t="str">
        <f t="shared" si="32"/>
        <v/>
      </c>
      <c r="CT25" s="72"/>
      <c r="CU25" s="63">
        <v>13</v>
      </c>
      <c r="CV25" s="63">
        <v>15</v>
      </c>
      <c r="CW25" s="63">
        <v>14</v>
      </c>
      <c r="CX25" s="63">
        <v>13</v>
      </c>
      <c r="CY25" s="61">
        <f t="shared" si="33"/>
        <v>55</v>
      </c>
      <c r="CZ25" s="62" t="str">
        <f>IFERROR(IF(CY25=0,"",ROUND((CY25/SUM([1]SETTINGS!$C$26:$C$29))*[1]SETTINGS!$C$30,0)),"")</f>
        <v/>
      </c>
      <c r="DA25" s="63">
        <v>79</v>
      </c>
      <c r="DB25" s="62" t="str">
        <f>IFERROR(IF(ISBLANK(DA25),"",ROUND((DA25/[1]SETTINGS!$C$31)*[1]SETTINGS!$C$32,0)),"")</f>
        <v/>
      </c>
      <c r="DC25" s="62" t="str">
        <f t="shared" si="34"/>
        <v/>
      </c>
      <c r="DD25" s="64" t="str">
        <f t="shared" si="11"/>
        <v/>
      </c>
      <c r="DE25" s="65" t="str">
        <f t="shared" si="35"/>
        <v/>
      </c>
      <c r="DF25" s="64" t="str">
        <f t="shared" si="12"/>
        <v/>
      </c>
      <c r="DG25" s="64" t="str">
        <f>IFERROR(IF(AND(K25,W25,AI25,AU25,BG25,BS25,CE25,CQ25,DC25)="","",SUM(K25,W25,AI25,AU25,LARGE((BG25,BS25,CE25,CQ25,DC25),{1,2}))),"")</f>
        <v/>
      </c>
      <c r="DH25" s="64" t="str">
        <f>IFERROR(IF(AND(M25,Y25,AK25,AW25,,BI25,BU25,CG25,CS25,DE25)="","",SUM(M25,Y25,AK25,AW25,SMALL((BI25,BU25,CG25,CS25,DE25),{1,2}))),"")</f>
        <v/>
      </c>
      <c r="DI25" s="76" t="str">
        <f>IFERROR(pos&amp;IF(AND(MOD(ABS(18),100)&gt;10,MOD(ABS(pos),100)&lt;14),"th", CHOOSE(MOD(ABS(pos),10)+1,"th","st","nd","rd","th","th","th","th","th","th")),"")</f>
        <v/>
      </c>
      <c r="DJ25" s="15">
        <f>ROWS($B$12:$B25)</f>
        <v>14</v>
      </c>
      <c r="DK25" s="15">
        <f>IF($B25=[1]REPORT_CARD!$B$9,$DJ25,"")</f>
        <v>14</v>
      </c>
      <c r="DM25" s="74"/>
    </row>
    <row r="26" spans="1:117" ht="19.5" customHeight="1">
      <c r="A26" s="59" t="str">
        <f>IFERROR(IF(ISBLANK([1]PRIMARY_INFO!$A26),"",[1]PRIMARY_INFO!$A26),"")</f>
        <v/>
      </c>
      <c r="B26" s="59" t="str">
        <f>IFERROR(IF(ISBLANK([1]PRIMARY_INFO!$B26),"",[1]PRIMARY_INFO!$B26),"")</f>
        <v/>
      </c>
      <c r="C26" s="63">
        <v>15</v>
      </c>
      <c r="D26" s="63">
        <v>15</v>
      </c>
      <c r="E26" s="63">
        <v>9</v>
      </c>
      <c r="F26" s="63">
        <v>10</v>
      </c>
      <c r="G26" s="61">
        <f t="shared" si="36"/>
        <v>49</v>
      </c>
      <c r="H26" s="62" t="str">
        <f>IFERROR(IF(G26=0,"",ROUND((G26/SUM([1]SETTINGS!$C$26:$C$29))*[1]SETTINGS!$C$30,0)),"")</f>
        <v/>
      </c>
      <c r="I26" s="63">
        <v>40</v>
      </c>
      <c r="J26" s="62" t="str">
        <f>IFERROR(IF(ISBLANK(I26),"",ROUND((I26/[1]SETTINGS!$C$31)*[1]SETTINGS!$C$32,0)),"")</f>
        <v/>
      </c>
      <c r="K26" s="62" t="str">
        <f t="shared" si="13"/>
        <v/>
      </c>
      <c r="L26" s="64" t="str">
        <f t="shared" si="0"/>
        <v/>
      </c>
      <c r="M26" s="65" t="str">
        <f t="shared" si="14"/>
        <v/>
      </c>
      <c r="N26" s="66"/>
      <c r="O26" s="63">
        <v>5</v>
      </c>
      <c r="P26" s="63">
        <v>13</v>
      </c>
      <c r="Q26" s="63">
        <v>7</v>
      </c>
      <c r="R26" s="63">
        <v>13</v>
      </c>
      <c r="S26" s="61">
        <f t="shared" si="1"/>
        <v>38</v>
      </c>
      <c r="T26" s="62" t="str">
        <f>IFERROR(IF(S26=0,"",ROUND((S26/SUM([1]SETTINGS!$C$26:$C$29))*[1]SETTINGS!$C$30,0)),"")</f>
        <v/>
      </c>
      <c r="U26" s="63">
        <v>40</v>
      </c>
      <c r="V26" s="62" t="str">
        <f>IFERROR(IF(ISBLANK(U26),"",ROUND((U26/[1]SETTINGS!$C$31)*[1]SETTINGS!$C$32,0)),"")</f>
        <v/>
      </c>
      <c r="W26" s="62" t="str">
        <f t="shared" si="2"/>
        <v/>
      </c>
      <c r="X26" s="64" t="str">
        <f t="shared" si="3"/>
        <v/>
      </c>
      <c r="Y26" s="65" t="str">
        <f t="shared" si="4"/>
        <v/>
      </c>
      <c r="Z26" s="72"/>
      <c r="AA26" s="63">
        <v>8</v>
      </c>
      <c r="AB26" s="63">
        <v>10</v>
      </c>
      <c r="AC26" s="63">
        <v>8</v>
      </c>
      <c r="AD26" s="63">
        <v>10</v>
      </c>
      <c r="AE26" s="61">
        <f t="shared" si="15"/>
        <v>36</v>
      </c>
      <c r="AF26" s="62" t="str">
        <f>IFERROR(IF(AE26=0,"",ROUND((AE26/SUM([1]SETTINGS!$C$26:$C$29))*[1]SETTINGS!$C$30,0)),"")</f>
        <v/>
      </c>
      <c r="AG26" s="63">
        <v>51</v>
      </c>
      <c r="AH26" s="62" t="str">
        <f>IFERROR(IF(ISBLANK(AG26),"",ROUND((AG26/[1]SETTINGS!$C$31)*[1]SETTINGS!$C$32,0)),"")</f>
        <v/>
      </c>
      <c r="AI26" s="62" t="str">
        <f t="shared" si="16"/>
        <v/>
      </c>
      <c r="AJ26" s="64" t="str">
        <f t="shared" si="5"/>
        <v/>
      </c>
      <c r="AK26" s="75" t="str">
        <f t="shared" si="17"/>
        <v/>
      </c>
      <c r="AL26" s="72"/>
      <c r="AM26" s="63">
        <v>10</v>
      </c>
      <c r="AN26" s="63">
        <v>11</v>
      </c>
      <c r="AO26" s="63">
        <v>4</v>
      </c>
      <c r="AP26" s="63">
        <v>14</v>
      </c>
      <c r="AQ26" s="61">
        <f t="shared" si="18"/>
        <v>39</v>
      </c>
      <c r="AR26" s="62" t="str">
        <f>IFERROR(IF(AQ26=0,"",ROUND((AQ26/SUM([1]SETTINGS!$C$26:$C$29))*[1]SETTINGS!$C$30,0)),"")</f>
        <v/>
      </c>
      <c r="AS26" s="63">
        <v>41</v>
      </c>
      <c r="AT26" s="62" t="str">
        <f>IFERROR(IF(ISBLANK(AS26),"",ROUND((AS26/[1]SETTINGS!$C$31)*[1]SETTINGS!$C$32,0)),"")</f>
        <v/>
      </c>
      <c r="AU26" s="62" t="str">
        <f t="shared" si="19"/>
        <v/>
      </c>
      <c r="AV26" s="64" t="str">
        <f t="shared" si="6"/>
        <v/>
      </c>
      <c r="AW26" s="65" t="str">
        <f t="shared" si="20"/>
        <v/>
      </c>
      <c r="AX26" s="72"/>
      <c r="AY26" s="63">
        <v>11</v>
      </c>
      <c r="AZ26" s="63">
        <v>10</v>
      </c>
      <c r="BA26" s="63">
        <v>8</v>
      </c>
      <c r="BB26" s="63">
        <v>10</v>
      </c>
      <c r="BC26" s="61">
        <f t="shared" si="21"/>
        <v>39</v>
      </c>
      <c r="BD26" s="62" t="str">
        <f>IFERROR(IF(BC26=0,"",ROUND((BC26/SUM([1]SETTINGS!$C$26:$C$29))*[1]SETTINGS!$C$30,0)),"")</f>
        <v/>
      </c>
      <c r="BE26" s="63">
        <v>58</v>
      </c>
      <c r="BF26" s="62" t="str">
        <f>IFERROR(IF(ISBLANK(BE26),"",ROUND((BE26/[1]SETTINGS!$C$31)*[1]SETTINGS!$C$32,0)),"")</f>
        <v/>
      </c>
      <c r="BG26" s="62" t="str">
        <f t="shared" si="22"/>
        <v/>
      </c>
      <c r="BH26" s="64" t="str">
        <f t="shared" si="7"/>
        <v/>
      </c>
      <c r="BI26" s="75" t="str">
        <f t="shared" si="23"/>
        <v/>
      </c>
      <c r="BJ26" s="72"/>
      <c r="BK26" s="63">
        <v>14</v>
      </c>
      <c r="BL26" s="63">
        <v>6</v>
      </c>
      <c r="BM26" s="63">
        <v>2</v>
      </c>
      <c r="BN26" s="63">
        <v>15</v>
      </c>
      <c r="BO26" s="61">
        <f t="shared" si="24"/>
        <v>37</v>
      </c>
      <c r="BP26" s="62" t="str">
        <f>IFERROR(IF(BO26=0,"",ROUND((BO26/SUM([1]SETTINGS!$C$26:$C$29))*[1]SETTINGS!$C$30,0)),"")</f>
        <v/>
      </c>
      <c r="BQ26" s="63">
        <v>41</v>
      </c>
      <c r="BR26" s="62" t="str">
        <f>IFERROR(IF(ISBLANK(BQ26),"",ROUND((BQ26/[1]SETTINGS!$C$31)*[1]SETTINGS!$C$32,0)),"")</f>
        <v/>
      </c>
      <c r="BS26" s="62" t="str">
        <f t="shared" si="25"/>
        <v/>
      </c>
      <c r="BT26" s="64" t="str">
        <f t="shared" si="8"/>
        <v/>
      </c>
      <c r="BU26" s="65" t="str">
        <f t="shared" si="26"/>
        <v/>
      </c>
      <c r="BV26" s="72"/>
      <c r="BW26" s="63">
        <v>8</v>
      </c>
      <c r="BX26" s="63">
        <v>13</v>
      </c>
      <c r="BY26" s="63">
        <v>14</v>
      </c>
      <c r="BZ26" s="63">
        <v>12</v>
      </c>
      <c r="CA26" s="61">
        <f t="shared" si="27"/>
        <v>47</v>
      </c>
      <c r="CB26" s="62" t="str">
        <f>IFERROR(IF(CA26=0,"",ROUND((CA26/SUM([1]SETTINGS!$C$26:$C$29))*[1]SETTINGS!$C$30,0)),"")</f>
        <v/>
      </c>
      <c r="CC26" s="63">
        <v>56</v>
      </c>
      <c r="CD26" s="62" t="str">
        <f>IFERROR(IF(ISBLANK(CC26),"",ROUND((CC26/[1]SETTINGS!$C$31)*[1]SETTINGS!$C$32,0)),"")</f>
        <v/>
      </c>
      <c r="CE26" s="62" t="str">
        <f t="shared" si="28"/>
        <v/>
      </c>
      <c r="CF26" s="64" t="str">
        <f t="shared" si="9"/>
        <v/>
      </c>
      <c r="CG26" s="65" t="str">
        <f t="shared" si="29"/>
        <v/>
      </c>
      <c r="CH26" s="72"/>
      <c r="CI26" s="63">
        <v>9</v>
      </c>
      <c r="CJ26" s="63">
        <v>13</v>
      </c>
      <c r="CK26" s="63">
        <v>9</v>
      </c>
      <c r="CL26" s="63">
        <v>7</v>
      </c>
      <c r="CM26" s="61">
        <f t="shared" si="30"/>
        <v>38</v>
      </c>
      <c r="CN26" s="62" t="str">
        <f>IFERROR(IF(CM26=0,"",ROUND((CM26/SUM([1]SETTINGS!$C$26:$C$29))*[1]SETTINGS!$C$30,0)),"")</f>
        <v/>
      </c>
      <c r="CO26" s="63">
        <v>24</v>
      </c>
      <c r="CP26" s="62" t="str">
        <f>IFERROR(IF(ISBLANK(CO26),"",ROUND((CO26/[1]SETTINGS!$C$31)*[1]SETTINGS!$C$32,0)),"")</f>
        <v/>
      </c>
      <c r="CQ26" s="62" t="str">
        <f t="shared" si="31"/>
        <v/>
      </c>
      <c r="CR26" s="64" t="str">
        <f t="shared" si="10"/>
        <v/>
      </c>
      <c r="CS26" s="65" t="str">
        <f t="shared" si="32"/>
        <v/>
      </c>
      <c r="CT26" s="72"/>
      <c r="CU26" s="63">
        <v>5</v>
      </c>
      <c r="CV26" s="63">
        <v>12</v>
      </c>
      <c r="CW26" s="63">
        <v>5</v>
      </c>
      <c r="CX26" s="63">
        <v>7</v>
      </c>
      <c r="CY26" s="61">
        <f t="shared" si="33"/>
        <v>29</v>
      </c>
      <c r="CZ26" s="62" t="str">
        <f>IFERROR(IF(CY26=0,"",ROUND((CY26/SUM([1]SETTINGS!$C$26:$C$29))*[1]SETTINGS!$C$30,0)),"")</f>
        <v/>
      </c>
      <c r="DA26" s="63">
        <v>27</v>
      </c>
      <c r="DB26" s="62" t="str">
        <f>IFERROR(IF(ISBLANK(DA26),"",ROUND((DA26/[1]SETTINGS!$C$31)*[1]SETTINGS!$C$32,0)),"")</f>
        <v/>
      </c>
      <c r="DC26" s="62" t="str">
        <f t="shared" si="34"/>
        <v/>
      </c>
      <c r="DD26" s="64" t="str">
        <f t="shared" si="11"/>
        <v/>
      </c>
      <c r="DE26" s="65" t="str">
        <f t="shared" si="35"/>
        <v/>
      </c>
      <c r="DF26" s="64" t="str">
        <f t="shared" si="12"/>
        <v/>
      </c>
      <c r="DG26" s="64" t="str">
        <f>IFERROR(IF(AND(K26,W26,AI26,AU26,BG26,BS26,CE26,CQ26,DC26)="","",SUM(K26,W26,AI26,AU26,LARGE((BG26,BS26,CE26,CQ26,DC26),{1,2}))),"")</f>
        <v/>
      </c>
      <c r="DH26" s="64" t="str">
        <f>IFERROR(IF(AND(M26,Y26,AK26,AW26,,BI26,BU26,CG26,CS26,DE26)="","",SUM(M26,Y26,AK26,AW26,SMALL((BI26,BU26,CG26,CS26,DE26),{1,2}))),"")</f>
        <v/>
      </c>
      <c r="DI26" s="76" t="str">
        <f>IFERROR(pos&amp;IF(AND(MOD(ABS(18),100)&gt;10,MOD(ABS(pos),100)&lt;14),"th", CHOOSE(MOD(ABS(pos),10)+1,"th","st","nd","rd","th","th","th","th","th","th")),"")</f>
        <v/>
      </c>
      <c r="DJ26" s="15">
        <f>ROWS($B$12:$B26)</f>
        <v>15</v>
      </c>
      <c r="DK26" s="15">
        <f>IF($B26=[1]REPORT_CARD!$B$9,$DJ26,"")</f>
        <v>15</v>
      </c>
      <c r="DM26" s="74"/>
    </row>
    <row r="27" spans="1:117" ht="19.5" customHeight="1">
      <c r="A27" s="59" t="str">
        <f>IFERROR(IF(ISBLANK([1]PRIMARY_INFO!$A27),"",[1]PRIMARY_INFO!$A27),"")</f>
        <v/>
      </c>
      <c r="B27" s="59" t="str">
        <f>IFERROR(IF(ISBLANK([1]PRIMARY_INFO!$B27),"",[1]PRIMARY_INFO!$B27),"")</f>
        <v/>
      </c>
      <c r="C27" s="63">
        <v>15</v>
      </c>
      <c r="D27" s="63">
        <v>14</v>
      </c>
      <c r="E27" s="63">
        <v>15</v>
      </c>
      <c r="F27" s="63">
        <v>7</v>
      </c>
      <c r="G27" s="61">
        <f t="shared" si="36"/>
        <v>51</v>
      </c>
      <c r="H27" s="62" t="str">
        <f>IFERROR(IF(G27=0,"",ROUND((G27/SUM([1]SETTINGS!$C$26:$C$29))*[1]SETTINGS!$C$30,0)),"")</f>
        <v/>
      </c>
      <c r="I27" s="63">
        <v>20</v>
      </c>
      <c r="J27" s="62" t="str">
        <f>IFERROR(IF(ISBLANK(I27),"",ROUND((I27/[1]SETTINGS!$C$31)*[1]SETTINGS!$C$32,0)),"")</f>
        <v/>
      </c>
      <c r="K27" s="62" t="str">
        <f t="shared" si="13"/>
        <v/>
      </c>
      <c r="L27" s="64" t="str">
        <f t="shared" si="0"/>
        <v/>
      </c>
      <c r="M27" s="65" t="str">
        <f t="shared" si="14"/>
        <v/>
      </c>
      <c r="N27" s="66"/>
      <c r="O27" s="63">
        <v>5</v>
      </c>
      <c r="P27" s="63">
        <v>13</v>
      </c>
      <c r="Q27" s="63">
        <v>5</v>
      </c>
      <c r="R27" s="63">
        <v>14</v>
      </c>
      <c r="S27" s="61">
        <f t="shared" si="1"/>
        <v>37</v>
      </c>
      <c r="T27" s="62" t="str">
        <f>IFERROR(IF(S27=0,"",ROUND((S27/SUM([1]SETTINGS!$C$26:$C$29))*[1]SETTINGS!$C$30,0)),"")</f>
        <v/>
      </c>
      <c r="U27" s="63">
        <v>24</v>
      </c>
      <c r="V27" s="62" t="str">
        <f>IFERROR(IF(ISBLANK(U27),"",ROUND((U27/[1]SETTINGS!$C$31)*[1]SETTINGS!$C$32,0)),"")</f>
        <v/>
      </c>
      <c r="W27" s="62" t="str">
        <f t="shared" si="2"/>
        <v/>
      </c>
      <c r="X27" s="64" t="str">
        <f t="shared" si="3"/>
        <v/>
      </c>
      <c r="Y27" s="65" t="str">
        <f t="shared" si="4"/>
        <v/>
      </c>
      <c r="Z27" s="72"/>
      <c r="AA27" s="63">
        <v>7</v>
      </c>
      <c r="AB27" s="63">
        <v>10</v>
      </c>
      <c r="AC27" s="63">
        <v>10</v>
      </c>
      <c r="AD27" s="63">
        <v>9</v>
      </c>
      <c r="AE27" s="61">
        <f t="shared" si="15"/>
        <v>36</v>
      </c>
      <c r="AF27" s="62" t="str">
        <f>IFERROR(IF(AE27=0,"",ROUND((AE27/SUM([1]SETTINGS!$C$26:$C$29))*[1]SETTINGS!$C$30,0)),"")</f>
        <v/>
      </c>
      <c r="AG27" s="63">
        <v>23</v>
      </c>
      <c r="AH27" s="62" t="str">
        <f>IFERROR(IF(ISBLANK(AG27),"",ROUND((AG27/[1]SETTINGS!$C$31)*[1]SETTINGS!$C$32,0)),"")</f>
        <v/>
      </c>
      <c r="AI27" s="62" t="str">
        <f t="shared" si="16"/>
        <v/>
      </c>
      <c r="AJ27" s="64" t="str">
        <f t="shared" si="5"/>
        <v/>
      </c>
      <c r="AK27" s="75" t="str">
        <f t="shared" si="17"/>
        <v/>
      </c>
      <c r="AL27" s="72"/>
      <c r="AM27" s="63">
        <v>12</v>
      </c>
      <c r="AN27" s="63">
        <v>10</v>
      </c>
      <c r="AO27" s="63">
        <v>9</v>
      </c>
      <c r="AP27" s="63">
        <v>14</v>
      </c>
      <c r="AQ27" s="61">
        <f t="shared" si="18"/>
        <v>45</v>
      </c>
      <c r="AR27" s="62" t="str">
        <f>IFERROR(IF(AQ27=0,"",ROUND((AQ27/SUM([1]SETTINGS!$C$26:$C$29))*[1]SETTINGS!$C$30,0)),"")</f>
        <v/>
      </c>
      <c r="AS27" s="63">
        <v>29</v>
      </c>
      <c r="AT27" s="62" t="str">
        <f>IFERROR(IF(ISBLANK(AS27),"",ROUND((AS27/[1]SETTINGS!$C$31)*[1]SETTINGS!$C$32,0)),"")</f>
        <v/>
      </c>
      <c r="AU27" s="62" t="str">
        <f t="shared" si="19"/>
        <v/>
      </c>
      <c r="AV27" s="64" t="str">
        <f t="shared" si="6"/>
        <v/>
      </c>
      <c r="AW27" s="65" t="str">
        <f t="shared" si="20"/>
        <v/>
      </c>
      <c r="AX27" s="72"/>
      <c r="AY27" s="63">
        <v>12</v>
      </c>
      <c r="AZ27" s="63">
        <v>10</v>
      </c>
      <c r="BA27" s="63">
        <v>10</v>
      </c>
      <c r="BB27" s="63">
        <v>8</v>
      </c>
      <c r="BC27" s="61">
        <f t="shared" si="21"/>
        <v>40</v>
      </c>
      <c r="BD27" s="62" t="str">
        <f>IFERROR(IF(BC27=0,"",ROUND((BC27/SUM([1]SETTINGS!$C$26:$C$29))*[1]SETTINGS!$C$30,0)),"")</f>
        <v/>
      </c>
      <c r="BE27" s="63">
        <v>42</v>
      </c>
      <c r="BF27" s="62" t="str">
        <f>IFERROR(IF(ISBLANK(BE27),"",ROUND((BE27/[1]SETTINGS!$C$31)*[1]SETTINGS!$C$32,0)),"")</f>
        <v/>
      </c>
      <c r="BG27" s="62" t="str">
        <f t="shared" si="22"/>
        <v/>
      </c>
      <c r="BH27" s="64" t="str">
        <f t="shared" si="7"/>
        <v/>
      </c>
      <c r="BI27" s="75" t="str">
        <f t="shared" si="23"/>
        <v/>
      </c>
      <c r="BJ27" s="72"/>
      <c r="BK27" s="63">
        <v>8</v>
      </c>
      <c r="BL27" s="63">
        <v>9</v>
      </c>
      <c r="BM27" s="63">
        <v>5</v>
      </c>
      <c r="BN27" s="63">
        <v>15</v>
      </c>
      <c r="BO27" s="61">
        <f t="shared" si="24"/>
        <v>37</v>
      </c>
      <c r="BP27" s="62" t="str">
        <f>IFERROR(IF(BO27=0,"",ROUND((BO27/SUM([1]SETTINGS!$C$26:$C$29))*[1]SETTINGS!$C$30,0)),"")</f>
        <v/>
      </c>
      <c r="BQ27" s="63">
        <v>22</v>
      </c>
      <c r="BR27" s="62" t="str">
        <f>IFERROR(IF(ISBLANK(BQ27),"",ROUND((BQ27/[1]SETTINGS!$C$31)*[1]SETTINGS!$C$32,0)),"")</f>
        <v/>
      </c>
      <c r="BS27" s="62" t="str">
        <f t="shared" si="25"/>
        <v/>
      </c>
      <c r="BT27" s="64" t="str">
        <f t="shared" si="8"/>
        <v/>
      </c>
      <c r="BU27" s="65" t="str">
        <f t="shared" si="26"/>
        <v/>
      </c>
      <c r="BV27" s="72"/>
      <c r="BW27" s="63">
        <v>4</v>
      </c>
      <c r="BX27" s="63">
        <v>11</v>
      </c>
      <c r="BY27" s="63">
        <v>12</v>
      </c>
      <c r="BZ27" s="63">
        <v>8</v>
      </c>
      <c r="CA27" s="61">
        <f t="shared" si="27"/>
        <v>35</v>
      </c>
      <c r="CB27" s="62" t="str">
        <f>IFERROR(IF(CA27=0,"",ROUND((CA27/SUM([1]SETTINGS!$C$26:$C$29))*[1]SETTINGS!$C$30,0)),"")</f>
        <v/>
      </c>
      <c r="CC27" s="63">
        <v>41</v>
      </c>
      <c r="CD27" s="62" t="str">
        <f>IFERROR(IF(ISBLANK(CC27),"",ROUND((CC27/[1]SETTINGS!$C$31)*[1]SETTINGS!$C$32,0)),"")</f>
        <v/>
      </c>
      <c r="CE27" s="62" t="str">
        <f t="shared" si="28"/>
        <v/>
      </c>
      <c r="CF27" s="64" t="str">
        <f t="shared" si="9"/>
        <v/>
      </c>
      <c r="CG27" s="65" t="str">
        <f t="shared" si="29"/>
        <v/>
      </c>
      <c r="CH27" s="72"/>
      <c r="CI27" s="63">
        <v>10</v>
      </c>
      <c r="CJ27" s="63">
        <v>13</v>
      </c>
      <c r="CK27" s="63">
        <v>7</v>
      </c>
      <c r="CL27" s="63">
        <v>10</v>
      </c>
      <c r="CM27" s="61">
        <f t="shared" si="30"/>
        <v>40</v>
      </c>
      <c r="CN27" s="62" t="str">
        <f>IFERROR(IF(CM27=0,"",ROUND((CM27/SUM([1]SETTINGS!$C$26:$C$29))*[1]SETTINGS!$C$30,0)),"")</f>
        <v/>
      </c>
      <c r="CO27" s="63">
        <v>29</v>
      </c>
      <c r="CP27" s="62" t="str">
        <f>IFERROR(IF(ISBLANK(CO27),"",ROUND((CO27/[1]SETTINGS!$C$31)*[1]SETTINGS!$C$32,0)),"")</f>
        <v/>
      </c>
      <c r="CQ27" s="62" t="str">
        <f t="shared" si="31"/>
        <v/>
      </c>
      <c r="CR27" s="64" t="str">
        <f t="shared" si="10"/>
        <v/>
      </c>
      <c r="CS27" s="65" t="str">
        <f t="shared" si="32"/>
        <v/>
      </c>
      <c r="CT27" s="72"/>
      <c r="CU27" s="63">
        <v>7</v>
      </c>
      <c r="CV27" s="63">
        <v>14</v>
      </c>
      <c r="CW27" s="63">
        <v>12</v>
      </c>
      <c r="CX27" s="63">
        <v>6</v>
      </c>
      <c r="CY27" s="61">
        <f t="shared" si="33"/>
        <v>39</v>
      </c>
      <c r="CZ27" s="62" t="str">
        <f>IFERROR(IF(CY27=0,"",ROUND((CY27/SUM([1]SETTINGS!$C$26:$C$29))*[1]SETTINGS!$C$30,0)),"")</f>
        <v/>
      </c>
      <c r="DA27" s="63">
        <v>14</v>
      </c>
      <c r="DB27" s="62" t="str">
        <f>IFERROR(IF(ISBLANK(DA27),"",ROUND((DA27/[1]SETTINGS!$C$31)*[1]SETTINGS!$C$32,0)),"")</f>
        <v/>
      </c>
      <c r="DC27" s="62" t="str">
        <f t="shared" si="34"/>
        <v/>
      </c>
      <c r="DD27" s="64" t="str">
        <f t="shared" si="11"/>
        <v/>
      </c>
      <c r="DE27" s="65" t="str">
        <f t="shared" si="35"/>
        <v/>
      </c>
      <c r="DF27" s="64" t="str">
        <f t="shared" si="12"/>
        <v/>
      </c>
      <c r="DG27" s="64" t="str">
        <f>IFERROR(IF(AND(K27,W27,AI27,AU27,BG27,BS27,CE27,CQ27,DC27)="","",SUM(K27,W27,AI27,AU27,LARGE((BG27,BS27,CE27,CQ27,DC27),{1,2}))),"")</f>
        <v/>
      </c>
      <c r="DH27" s="64" t="str">
        <f>IFERROR(IF(AND(M27,Y27,AK27,AW27,,BI27,BU27,CG27,CS27,DE27)="","",SUM(M27,Y27,AK27,AW27,SMALL((BI27,BU27,CG27,CS27,DE27),{1,2}))),"")</f>
        <v/>
      </c>
      <c r="DI27" s="76" t="str">
        <f>IFERROR(pos&amp;IF(AND(MOD(ABS(18),100)&gt;10,MOD(ABS(pos),100)&lt;14),"th", CHOOSE(MOD(ABS(pos),10)+1,"th","st","nd","rd","th","th","th","th","th","th")),"")</f>
        <v/>
      </c>
      <c r="DJ27" s="15">
        <f>ROWS($B$12:$B27)</f>
        <v>16</v>
      </c>
      <c r="DK27" s="15">
        <f>IF($B27=[1]REPORT_CARD!$B$9,$DJ27,"")</f>
        <v>16</v>
      </c>
      <c r="DM27" s="74"/>
    </row>
    <row r="28" spans="1:117" ht="19.5" customHeight="1">
      <c r="A28" s="59" t="str">
        <f>IFERROR(IF(ISBLANK([1]PRIMARY_INFO!$A28),"",[1]PRIMARY_INFO!$A28),"")</f>
        <v/>
      </c>
      <c r="B28" s="59" t="str">
        <f>IFERROR(IF(ISBLANK([1]PRIMARY_INFO!$B28),"",[1]PRIMARY_INFO!$B28),"")</f>
        <v/>
      </c>
      <c r="C28" s="63">
        <v>15</v>
      </c>
      <c r="D28" s="63">
        <v>14</v>
      </c>
      <c r="E28" s="63">
        <v>15</v>
      </c>
      <c r="F28" s="63">
        <v>9</v>
      </c>
      <c r="G28" s="61">
        <f t="shared" si="36"/>
        <v>53</v>
      </c>
      <c r="H28" s="62" t="str">
        <f>IFERROR(IF(G28=0,"",ROUND((G28/SUM([1]SETTINGS!$C$26:$C$29))*[1]SETTINGS!$C$30,0)),"")</f>
        <v/>
      </c>
      <c r="I28" s="63">
        <v>45</v>
      </c>
      <c r="J28" s="62" t="str">
        <f>IFERROR(IF(ISBLANK(I28),"",ROUND((I28/[1]SETTINGS!$C$31)*[1]SETTINGS!$C$32,0)),"")</f>
        <v/>
      </c>
      <c r="K28" s="62" t="str">
        <f t="shared" si="13"/>
        <v/>
      </c>
      <c r="L28" s="64" t="str">
        <f t="shared" si="0"/>
        <v/>
      </c>
      <c r="M28" s="65" t="str">
        <f t="shared" si="14"/>
        <v/>
      </c>
      <c r="N28" s="66"/>
      <c r="O28" s="63">
        <v>5</v>
      </c>
      <c r="P28" s="63">
        <v>13</v>
      </c>
      <c r="Q28" s="63">
        <v>11</v>
      </c>
      <c r="R28" s="63">
        <v>12</v>
      </c>
      <c r="S28" s="61">
        <f t="shared" si="1"/>
        <v>41</v>
      </c>
      <c r="T28" s="62" t="str">
        <f>IFERROR(IF(S28=0,"",ROUND((S28/SUM([1]SETTINGS!$C$26:$C$29))*[1]SETTINGS!$C$30,0)),"")</f>
        <v/>
      </c>
      <c r="U28" s="63">
        <v>39</v>
      </c>
      <c r="V28" s="62" t="str">
        <f>IFERROR(IF(ISBLANK(U28),"",ROUND((U28/[1]SETTINGS!$C$31)*[1]SETTINGS!$C$32,0)),"")</f>
        <v/>
      </c>
      <c r="W28" s="62" t="str">
        <f t="shared" si="2"/>
        <v/>
      </c>
      <c r="X28" s="64" t="str">
        <f t="shared" si="3"/>
        <v/>
      </c>
      <c r="Y28" s="65" t="str">
        <f t="shared" si="4"/>
        <v/>
      </c>
      <c r="Z28" s="72"/>
      <c r="AA28" s="63">
        <v>11</v>
      </c>
      <c r="AB28" s="63">
        <v>10</v>
      </c>
      <c r="AC28" s="63">
        <v>7</v>
      </c>
      <c r="AD28" s="63">
        <v>14</v>
      </c>
      <c r="AE28" s="61">
        <f t="shared" si="15"/>
        <v>42</v>
      </c>
      <c r="AF28" s="62" t="str">
        <f>IFERROR(IF(AE28=0,"",ROUND((AE28/SUM([1]SETTINGS!$C$26:$C$29))*[1]SETTINGS!$C$30,0)),"")</f>
        <v/>
      </c>
      <c r="AG28" s="63">
        <v>72</v>
      </c>
      <c r="AH28" s="62" t="str">
        <f>IFERROR(IF(ISBLANK(AG28),"",ROUND((AG28/[1]SETTINGS!$C$31)*[1]SETTINGS!$C$32,0)),"")</f>
        <v/>
      </c>
      <c r="AI28" s="62" t="str">
        <f t="shared" si="16"/>
        <v/>
      </c>
      <c r="AJ28" s="64" t="str">
        <f t="shared" si="5"/>
        <v/>
      </c>
      <c r="AK28" s="75" t="str">
        <f t="shared" si="17"/>
        <v/>
      </c>
      <c r="AL28" s="72"/>
      <c r="AM28" s="63">
        <v>11</v>
      </c>
      <c r="AN28" s="63">
        <v>10</v>
      </c>
      <c r="AO28" s="63">
        <v>12</v>
      </c>
      <c r="AP28" s="63">
        <v>15</v>
      </c>
      <c r="AQ28" s="61">
        <f t="shared" si="18"/>
        <v>48</v>
      </c>
      <c r="AR28" s="62" t="str">
        <f>IFERROR(IF(AQ28=0,"",ROUND((AQ28/SUM([1]SETTINGS!$C$26:$C$29))*[1]SETTINGS!$C$30,0)),"")</f>
        <v/>
      </c>
      <c r="AS28" s="63">
        <v>34</v>
      </c>
      <c r="AT28" s="62" t="str">
        <f>IFERROR(IF(ISBLANK(AS28),"",ROUND((AS28/[1]SETTINGS!$C$31)*[1]SETTINGS!$C$32,0)),"")</f>
        <v/>
      </c>
      <c r="AU28" s="62" t="str">
        <f t="shared" si="19"/>
        <v/>
      </c>
      <c r="AV28" s="64" t="str">
        <f t="shared" si="6"/>
        <v/>
      </c>
      <c r="AW28" s="65" t="str">
        <f t="shared" si="20"/>
        <v/>
      </c>
      <c r="AX28" s="72"/>
      <c r="AY28" s="63">
        <v>15</v>
      </c>
      <c r="AZ28" s="63">
        <v>9</v>
      </c>
      <c r="BA28" s="63">
        <v>12</v>
      </c>
      <c r="BB28" s="63">
        <v>10</v>
      </c>
      <c r="BC28" s="61">
        <f t="shared" si="21"/>
        <v>46</v>
      </c>
      <c r="BD28" s="62" t="str">
        <f>IFERROR(IF(BC28=0,"",ROUND((BC28/SUM([1]SETTINGS!$C$26:$C$29))*[1]SETTINGS!$C$30,0)),"")</f>
        <v/>
      </c>
      <c r="BE28" s="63">
        <v>51</v>
      </c>
      <c r="BF28" s="62" t="str">
        <f>IFERROR(IF(ISBLANK(BE28),"",ROUND((BE28/[1]SETTINGS!$C$31)*[1]SETTINGS!$C$32,0)),"")</f>
        <v/>
      </c>
      <c r="BG28" s="62" t="str">
        <f t="shared" si="22"/>
        <v/>
      </c>
      <c r="BH28" s="64" t="str">
        <f t="shared" si="7"/>
        <v/>
      </c>
      <c r="BI28" s="75" t="str">
        <f t="shared" si="23"/>
        <v/>
      </c>
      <c r="BJ28" s="72"/>
      <c r="BK28" s="63">
        <v>15</v>
      </c>
      <c r="BL28" s="63">
        <v>15</v>
      </c>
      <c r="BM28" s="63">
        <v>4</v>
      </c>
      <c r="BN28" s="63">
        <v>15</v>
      </c>
      <c r="BO28" s="61">
        <f t="shared" si="24"/>
        <v>49</v>
      </c>
      <c r="BP28" s="62" t="str">
        <f>IFERROR(IF(BO28=0,"",ROUND((BO28/SUM([1]SETTINGS!$C$26:$C$29))*[1]SETTINGS!$C$30,0)),"")</f>
        <v/>
      </c>
      <c r="BQ28" s="63">
        <v>45</v>
      </c>
      <c r="BR28" s="62" t="str">
        <f>IFERROR(IF(ISBLANK(BQ28),"",ROUND((BQ28/[1]SETTINGS!$C$31)*[1]SETTINGS!$C$32,0)),"")</f>
        <v/>
      </c>
      <c r="BS28" s="62" t="str">
        <f t="shared" si="25"/>
        <v/>
      </c>
      <c r="BT28" s="64" t="str">
        <f t="shared" si="8"/>
        <v/>
      </c>
      <c r="BU28" s="65" t="str">
        <f t="shared" si="26"/>
        <v/>
      </c>
      <c r="BV28" s="72"/>
      <c r="BW28" s="63">
        <v>15</v>
      </c>
      <c r="BX28" s="63">
        <v>13</v>
      </c>
      <c r="BY28" s="63">
        <v>12</v>
      </c>
      <c r="BZ28" s="63">
        <v>12</v>
      </c>
      <c r="CA28" s="61">
        <f t="shared" si="27"/>
        <v>52</v>
      </c>
      <c r="CB28" s="62" t="str">
        <f>IFERROR(IF(CA28=0,"",ROUND((CA28/SUM([1]SETTINGS!$C$26:$C$29))*[1]SETTINGS!$C$30,0)),"")</f>
        <v/>
      </c>
      <c r="CC28" s="63">
        <v>49</v>
      </c>
      <c r="CD28" s="62" t="str">
        <f>IFERROR(IF(ISBLANK(CC28),"",ROUND((CC28/[1]SETTINGS!$C$31)*[1]SETTINGS!$C$32,0)),"")</f>
        <v/>
      </c>
      <c r="CE28" s="62" t="str">
        <f t="shared" si="28"/>
        <v/>
      </c>
      <c r="CF28" s="64" t="str">
        <f t="shared" si="9"/>
        <v/>
      </c>
      <c r="CG28" s="65" t="str">
        <f t="shared" si="29"/>
        <v/>
      </c>
      <c r="CH28" s="72"/>
      <c r="CI28" s="63">
        <v>12</v>
      </c>
      <c r="CJ28" s="63">
        <v>13</v>
      </c>
      <c r="CK28" s="63">
        <v>9</v>
      </c>
      <c r="CL28" s="63">
        <v>13</v>
      </c>
      <c r="CM28" s="61">
        <f t="shared" si="30"/>
        <v>47</v>
      </c>
      <c r="CN28" s="62" t="str">
        <f>IFERROR(IF(CM28=0,"",ROUND((CM28/SUM([1]SETTINGS!$C$26:$C$29))*[1]SETTINGS!$C$30,0)),"")</f>
        <v/>
      </c>
      <c r="CO28" s="63">
        <v>52</v>
      </c>
      <c r="CP28" s="62" t="str">
        <f>IFERROR(IF(ISBLANK(CO28),"",ROUND((CO28/[1]SETTINGS!$C$31)*[1]SETTINGS!$C$32,0)),"")</f>
        <v/>
      </c>
      <c r="CQ28" s="62" t="str">
        <f t="shared" si="31"/>
        <v/>
      </c>
      <c r="CR28" s="64" t="str">
        <f t="shared" si="10"/>
        <v/>
      </c>
      <c r="CS28" s="65" t="str">
        <f t="shared" si="32"/>
        <v/>
      </c>
      <c r="CT28" s="72"/>
      <c r="CU28" s="63">
        <v>13</v>
      </c>
      <c r="CV28" s="63">
        <v>9</v>
      </c>
      <c r="CW28" s="63">
        <v>10</v>
      </c>
      <c r="CX28" s="63">
        <v>6</v>
      </c>
      <c r="CY28" s="61">
        <f t="shared" si="33"/>
        <v>38</v>
      </c>
      <c r="CZ28" s="62" t="str">
        <f>IFERROR(IF(CY28=0,"",ROUND((CY28/SUM([1]SETTINGS!$C$26:$C$29))*[1]SETTINGS!$C$30,0)),"")</f>
        <v/>
      </c>
      <c r="DA28" s="63">
        <v>47</v>
      </c>
      <c r="DB28" s="62" t="str">
        <f>IFERROR(IF(ISBLANK(DA28),"",ROUND((DA28/[1]SETTINGS!$C$31)*[1]SETTINGS!$C$32,0)),"")</f>
        <v/>
      </c>
      <c r="DC28" s="62" t="str">
        <f t="shared" si="34"/>
        <v/>
      </c>
      <c r="DD28" s="64" t="str">
        <f t="shared" si="11"/>
        <v/>
      </c>
      <c r="DE28" s="65" t="str">
        <f t="shared" si="35"/>
        <v/>
      </c>
      <c r="DF28" s="64" t="str">
        <f t="shared" si="12"/>
        <v/>
      </c>
      <c r="DG28" s="64" t="str">
        <f>IFERROR(IF(AND(K28,W28,AI28,AU28,BG28,BS28,CE28,CQ28,DC28)="","",SUM(K28,W28,AI28,AU28,LARGE((BG28,BS28,CE28,CQ28,DC28),{1,2}))),"")</f>
        <v/>
      </c>
      <c r="DH28" s="64" t="str">
        <f>IFERROR(IF(AND(M28,Y28,AK28,AW28,,BI28,BU28,CG28,CS28,DE28)="","",SUM(M28,Y28,AK28,AW28,SMALL((BI28,BU28,CG28,CS28,DE28),{1,2}))),"")</f>
        <v/>
      </c>
      <c r="DI28" s="76" t="str">
        <f>IFERROR(pos&amp;IF(AND(MOD(ABS(18),100)&gt;10,MOD(ABS(pos),100)&lt;14),"th", CHOOSE(MOD(ABS(pos),10)+1,"th","st","nd","rd","th","th","th","th","th","th")),"")</f>
        <v/>
      </c>
      <c r="DJ28" s="15">
        <f>ROWS($B$12:$B28)</f>
        <v>17</v>
      </c>
      <c r="DK28" s="15">
        <f>IF($B28=[1]REPORT_CARD!$B$9,$DJ28,"")</f>
        <v>17</v>
      </c>
      <c r="DM28" s="74"/>
    </row>
    <row r="29" spans="1:117" ht="19.5" customHeight="1">
      <c r="A29" s="59" t="str">
        <f>IFERROR(IF(ISBLANK([1]PRIMARY_INFO!$A29),"",[1]PRIMARY_INFO!$A29),"")</f>
        <v/>
      </c>
      <c r="B29" s="59" t="str">
        <f>IFERROR(IF(ISBLANK([1]PRIMARY_INFO!$B29),"",[1]PRIMARY_INFO!$B29),"")</f>
        <v/>
      </c>
      <c r="C29" s="63">
        <v>15</v>
      </c>
      <c r="D29" s="63">
        <v>14</v>
      </c>
      <c r="E29" s="63">
        <v>15</v>
      </c>
      <c r="F29" s="63">
        <v>9</v>
      </c>
      <c r="G29" s="61">
        <f t="shared" si="36"/>
        <v>53</v>
      </c>
      <c r="H29" s="62" t="str">
        <f>IFERROR(IF(G29=0,"",ROUND((G29/SUM([1]SETTINGS!$C$26:$C$29))*[1]SETTINGS!$C$30,0)),"")</f>
        <v/>
      </c>
      <c r="I29" s="63">
        <v>58</v>
      </c>
      <c r="J29" s="62" t="str">
        <f>IFERROR(IF(ISBLANK(I29),"",ROUND((I29/[1]SETTINGS!$C$31)*[1]SETTINGS!$C$32,0)),"")</f>
        <v/>
      </c>
      <c r="K29" s="62" t="str">
        <f t="shared" si="13"/>
        <v/>
      </c>
      <c r="L29" s="64" t="str">
        <f t="shared" si="0"/>
        <v/>
      </c>
      <c r="M29" s="65" t="str">
        <f t="shared" si="14"/>
        <v/>
      </c>
      <c r="N29" s="66"/>
      <c r="O29" s="63">
        <v>15</v>
      </c>
      <c r="P29" s="63">
        <v>13</v>
      </c>
      <c r="Q29" s="63">
        <v>12</v>
      </c>
      <c r="R29" s="63">
        <v>12</v>
      </c>
      <c r="S29" s="61">
        <f t="shared" si="1"/>
        <v>52</v>
      </c>
      <c r="T29" s="62" t="str">
        <f>IFERROR(IF(S29=0,"",ROUND((S29/SUM([1]SETTINGS!$C$26:$C$29))*[1]SETTINGS!$C$30,0)),"")</f>
        <v/>
      </c>
      <c r="U29" s="63">
        <v>64</v>
      </c>
      <c r="V29" s="62" t="str">
        <f>IFERROR(IF(ISBLANK(U29),"",ROUND((U29/[1]SETTINGS!$C$31)*[1]SETTINGS!$C$32,0)),"")</f>
        <v/>
      </c>
      <c r="W29" s="62" t="str">
        <f t="shared" si="2"/>
        <v/>
      </c>
      <c r="X29" s="64" t="str">
        <f t="shared" si="3"/>
        <v/>
      </c>
      <c r="Y29" s="65" t="str">
        <f t="shared" si="4"/>
        <v/>
      </c>
      <c r="Z29" s="72"/>
      <c r="AA29" s="63">
        <v>12</v>
      </c>
      <c r="AB29" s="63">
        <v>12</v>
      </c>
      <c r="AC29" s="63">
        <v>13</v>
      </c>
      <c r="AD29" s="63">
        <v>14</v>
      </c>
      <c r="AE29" s="61">
        <f t="shared" si="15"/>
        <v>51</v>
      </c>
      <c r="AF29" s="62" t="str">
        <f>IFERROR(IF(AE29=0,"",ROUND((AE29/SUM([1]SETTINGS!$C$26:$C$29))*[1]SETTINGS!$C$30,0)),"")</f>
        <v/>
      </c>
      <c r="AG29" s="63">
        <v>84</v>
      </c>
      <c r="AH29" s="62" t="str">
        <f>IFERROR(IF(ISBLANK(AG29),"",ROUND((AG29/[1]SETTINGS!$C$31)*[1]SETTINGS!$C$32,0)),"")</f>
        <v/>
      </c>
      <c r="AI29" s="62" t="str">
        <f t="shared" si="16"/>
        <v/>
      </c>
      <c r="AJ29" s="64" t="str">
        <f t="shared" si="5"/>
        <v/>
      </c>
      <c r="AK29" s="75" t="str">
        <f t="shared" si="17"/>
        <v/>
      </c>
      <c r="AL29" s="72"/>
      <c r="AM29" s="63">
        <v>12</v>
      </c>
      <c r="AN29" s="63">
        <v>9</v>
      </c>
      <c r="AO29" s="63">
        <v>10</v>
      </c>
      <c r="AP29" s="63">
        <v>15</v>
      </c>
      <c r="AQ29" s="61">
        <f t="shared" si="18"/>
        <v>46</v>
      </c>
      <c r="AR29" s="62" t="str">
        <f>IFERROR(IF(AQ29=0,"",ROUND((AQ29/SUM([1]SETTINGS!$C$26:$C$29))*[1]SETTINGS!$C$30,0)),"")</f>
        <v/>
      </c>
      <c r="AS29" s="63">
        <v>51</v>
      </c>
      <c r="AT29" s="62" t="str">
        <f>IFERROR(IF(ISBLANK(AS29),"",ROUND((AS29/[1]SETTINGS!$C$31)*[1]SETTINGS!$C$32,0)),"")</f>
        <v/>
      </c>
      <c r="AU29" s="62" t="str">
        <f t="shared" si="19"/>
        <v/>
      </c>
      <c r="AV29" s="64" t="str">
        <f t="shared" si="6"/>
        <v/>
      </c>
      <c r="AW29" s="65" t="str">
        <f t="shared" si="20"/>
        <v/>
      </c>
      <c r="AX29" s="72"/>
      <c r="AY29" s="63">
        <v>13</v>
      </c>
      <c r="AZ29" s="63">
        <v>13</v>
      </c>
      <c r="BA29" s="63">
        <v>15</v>
      </c>
      <c r="BB29" s="63">
        <v>15</v>
      </c>
      <c r="BC29" s="61">
        <f t="shared" si="21"/>
        <v>56</v>
      </c>
      <c r="BD29" s="62" t="str">
        <f>IFERROR(IF(BC29=0,"",ROUND((BC29/SUM([1]SETTINGS!$C$26:$C$29))*[1]SETTINGS!$C$30,0)),"")</f>
        <v/>
      </c>
      <c r="BE29" s="63">
        <v>86</v>
      </c>
      <c r="BF29" s="62" t="str">
        <f>IFERROR(IF(ISBLANK(BE29),"",ROUND((BE29/[1]SETTINGS!$C$31)*[1]SETTINGS!$C$32,0)),"")</f>
        <v/>
      </c>
      <c r="BG29" s="62" t="str">
        <f t="shared" si="22"/>
        <v/>
      </c>
      <c r="BH29" s="64" t="str">
        <f t="shared" si="7"/>
        <v/>
      </c>
      <c r="BI29" s="75" t="str">
        <f t="shared" si="23"/>
        <v/>
      </c>
      <c r="BJ29" s="72"/>
      <c r="BK29" s="63">
        <v>14</v>
      </c>
      <c r="BL29" s="63">
        <v>9</v>
      </c>
      <c r="BM29" s="63">
        <v>5</v>
      </c>
      <c r="BN29" s="63">
        <v>15</v>
      </c>
      <c r="BO29" s="61">
        <f t="shared" si="24"/>
        <v>43</v>
      </c>
      <c r="BP29" s="62" t="str">
        <f>IFERROR(IF(BO29=0,"",ROUND((BO29/SUM([1]SETTINGS!$C$26:$C$29))*[1]SETTINGS!$C$30,0)),"")</f>
        <v/>
      </c>
      <c r="BQ29" s="63">
        <v>59</v>
      </c>
      <c r="BR29" s="62" t="str">
        <f>IFERROR(IF(ISBLANK(BQ29),"",ROUND((BQ29/[1]SETTINGS!$C$31)*[1]SETTINGS!$C$32,0)),"")</f>
        <v/>
      </c>
      <c r="BS29" s="62" t="str">
        <f t="shared" si="25"/>
        <v/>
      </c>
      <c r="BT29" s="64" t="str">
        <f t="shared" si="8"/>
        <v/>
      </c>
      <c r="BU29" s="65" t="str">
        <f t="shared" si="26"/>
        <v/>
      </c>
      <c r="BV29" s="72"/>
      <c r="BW29" s="63">
        <v>13</v>
      </c>
      <c r="BX29" s="63">
        <v>13</v>
      </c>
      <c r="BY29" s="63">
        <v>15</v>
      </c>
      <c r="BZ29" s="63">
        <v>15</v>
      </c>
      <c r="CA29" s="61">
        <f t="shared" si="27"/>
        <v>56</v>
      </c>
      <c r="CB29" s="62" t="str">
        <f>IFERROR(IF(CA29=0,"",ROUND((CA29/SUM([1]SETTINGS!$C$26:$C$29))*[1]SETTINGS!$C$30,0)),"")</f>
        <v/>
      </c>
      <c r="CC29" s="63">
        <v>74</v>
      </c>
      <c r="CD29" s="62" t="str">
        <f>IFERROR(IF(ISBLANK(CC29),"",ROUND((CC29/[1]SETTINGS!$C$31)*[1]SETTINGS!$C$32,0)),"")</f>
        <v/>
      </c>
      <c r="CE29" s="62" t="str">
        <f t="shared" si="28"/>
        <v/>
      </c>
      <c r="CF29" s="64" t="str">
        <f t="shared" si="9"/>
        <v/>
      </c>
      <c r="CG29" s="65" t="str">
        <f t="shared" si="29"/>
        <v/>
      </c>
      <c r="CH29" s="72"/>
      <c r="CI29" s="63">
        <v>15</v>
      </c>
      <c r="CJ29" s="63">
        <v>13</v>
      </c>
      <c r="CK29" s="63">
        <v>13</v>
      </c>
      <c r="CL29" s="63">
        <v>15</v>
      </c>
      <c r="CM29" s="61">
        <f t="shared" si="30"/>
        <v>56</v>
      </c>
      <c r="CN29" s="62" t="str">
        <f>IFERROR(IF(CM29=0,"",ROUND((CM29/SUM([1]SETTINGS!$C$26:$C$29))*[1]SETTINGS!$C$30,0)),"")</f>
        <v/>
      </c>
      <c r="CO29" s="63">
        <v>53</v>
      </c>
      <c r="CP29" s="62" t="str">
        <f>IFERROR(IF(ISBLANK(CO29),"",ROUND((CO29/[1]SETTINGS!$C$31)*[1]SETTINGS!$C$32,0)),"")</f>
        <v/>
      </c>
      <c r="CQ29" s="62" t="str">
        <f t="shared" si="31"/>
        <v/>
      </c>
      <c r="CR29" s="64" t="str">
        <f t="shared" si="10"/>
        <v/>
      </c>
      <c r="CS29" s="65" t="str">
        <f t="shared" si="32"/>
        <v/>
      </c>
      <c r="CT29" s="72"/>
      <c r="CU29" s="63">
        <v>14</v>
      </c>
      <c r="CV29" s="63">
        <v>15</v>
      </c>
      <c r="CW29" s="63">
        <v>12</v>
      </c>
      <c r="CX29" s="63">
        <v>14</v>
      </c>
      <c r="CY29" s="61">
        <f t="shared" si="33"/>
        <v>55</v>
      </c>
      <c r="CZ29" s="62" t="str">
        <f>IFERROR(IF(CY29=0,"",ROUND((CY29/SUM([1]SETTINGS!$C$26:$C$29))*[1]SETTINGS!$C$30,0)),"")</f>
        <v/>
      </c>
      <c r="DA29" s="63">
        <v>45</v>
      </c>
      <c r="DB29" s="62" t="str">
        <f>IFERROR(IF(ISBLANK(DA29),"",ROUND((DA29/[1]SETTINGS!$C$31)*[1]SETTINGS!$C$32,0)),"")</f>
        <v/>
      </c>
      <c r="DC29" s="62" t="str">
        <f t="shared" si="34"/>
        <v/>
      </c>
      <c r="DD29" s="64" t="str">
        <f t="shared" si="11"/>
        <v/>
      </c>
      <c r="DE29" s="65" t="str">
        <f t="shared" si="35"/>
        <v/>
      </c>
      <c r="DF29" s="64" t="str">
        <f t="shared" si="12"/>
        <v/>
      </c>
      <c r="DG29" s="64" t="str">
        <f>IFERROR(IF(AND(K29,W29,AI29,AU29,BG29,BS29,CE29,CQ29,DC29)="","",SUM(K29,W29,AI29,AU29,LARGE((BG29,BS29,CE29,CQ29,DC29),{1,2}))),"")</f>
        <v/>
      </c>
      <c r="DH29" s="64" t="str">
        <f>IFERROR(IF(AND(M29,Y29,AK29,AW29,,BI29,BU29,CG29,CS29,DE29)="","",SUM(M29,Y29,AK29,AW29,SMALL((BI29,BU29,CG29,CS29,DE29),{1,2}))),"")</f>
        <v/>
      </c>
      <c r="DI29" s="76" t="str">
        <f>IFERROR(pos&amp;IF(AND(MOD(ABS(18),100)&gt;10,MOD(ABS(pos),100)&lt;14),"th", CHOOSE(MOD(ABS(pos),10)+1,"th","st","nd","rd","th","th","th","th","th","th")),"")</f>
        <v/>
      </c>
      <c r="DJ29" s="15">
        <f>ROWS($B$12:$B29)</f>
        <v>18</v>
      </c>
      <c r="DK29" s="15">
        <f>IF($B29=[1]REPORT_CARD!$B$9,$DJ29,"")</f>
        <v>18</v>
      </c>
      <c r="DM29" s="74"/>
    </row>
    <row r="30" spans="1:117" ht="19.5" customHeight="1">
      <c r="A30" s="59" t="str">
        <f>IFERROR(IF(ISBLANK([1]PRIMARY_INFO!$A30),"",[1]PRIMARY_INFO!$A30),"")</f>
        <v/>
      </c>
      <c r="B30" s="59" t="str">
        <f>IFERROR(IF(ISBLANK([1]PRIMARY_INFO!$B30),"",[1]PRIMARY_INFO!$B30),"")</f>
        <v/>
      </c>
      <c r="C30" s="63">
        <v>12</v>
      </c>
      <c r="D30" s="63">
        <v>14</v>
      </c>
      <c r="E30" s="63">
        <v>8</v>
      </c>
      <c r="F30" s="63">
        <v>10</v>
      </c>
      <c r="G30" s="61">
        <f t="shared" si="36"/>
        <v>44</v>
      </c>
      <c r="H30" s="62" t="str">
        <f>IFERROR(IF(G30=0,"",ROUND((G30/SUM([1]SETTINGS!$C$26:$C$29))*[1]SETTINGS!$C$30,0)),"")</f>
        <v/>
      </c>
      <c r="I30" s="63">
        <v>53</v>
      </c>
      <c r="J30" s="62" t="str">
        <f>IFERROR(IF(ISBLANK(I30),"",ROUND((I30/[1]SETTINGS!$C$31)*[1]SETTINGS!$C$32,0)),"")</f>
        <v/>
      </c>
      <c r="K30" s="62" t="str">
        <f t="shared" si="13"/>
        <v/>
      </c>
      <c r="L30" s="64" t="str">
        <f t="shared" si="0"/>
        <v/>
      </c>
      <c r="M30" s="65" t="str">
        <f t="shared" si="14"/>
        <v/>
      </c>
      <c r="N30" s="66"/>
      <c r="O30" s="63">
        <v>5</v>
      </c>
      <c r="P30" s="63">
        <v>13</v>
      </c>
      <c r="Q30" s="63">
        <v>5</v>
      </c>
      <c r="R30" s="63">
        <v>11</v>
      </c>
      <c r="S30" s="61">
        <f t="shared" si="1"/>
        <v>34</v>
      </c>
      <c r="T30" s="62" t="str">
        <f>IFERROR(IF(S30=0,"",ROUND((S30/SUM([1]SETTINGS!$C$26:$C$29))*[1]SETTINGS!$C$30,0)),"")</f>
        <v/>
      </c>
      <c r="U30" s="63">
        <v>50</v>
      </c>
      <c r="V30" s="62" t="str">
        <f>IFERROR(IF(ISBLANK(U30),"",ROUND((U30/[1]SETTINGS!$C$31)*[1]SETTINGS!$C$32,0)),"")</f>
        <v/>
      </c>
      <c r="W30" s="62" t="str">
        <f t="shared" si="2"/>
        <v/>
      </c>
      <c r="X30" s="64" t="str">
        <f t="shared" si="3"/>
        <v/>
      </c>
      <c r="Y30" s="65" t="str">
        <f t="shared" si="4"/>
        <v/>
      </c>
      <c r="Z30" s="72"/>
      <c r="AA30" s="63">
        <v>13</v>
      </c>
      <c r="AB30" s="63">
        <v>10</v>
      </c>
      <c r="AC30" s="63">
        <v>12</v>
      </c>
      <c r="AD30" s="63">
        <v>14</v>
      </c>
      <c r="AE30" s="61">
        <f t="shared" si="15"/>
        <v>49</v>
      </c>
      <c r="AF30" s="62" t="str">
        <f>IFERROR(IF(AE30=0,"",ROUND((AE30/SUM([1]SETTINGS!$C$26:$C$29))*[1]SETTINGS!$C$30,0)),"")</f>
        <v/>
      </c>
      <c r="AG30" s="63">
        <v>65</v>
      </c>
      <c r="AH30" s="62" t="str">
        <f>IFERROR(IF(ISBLANK(AG30),"",ROUND((AG30/[1]SETTINGS!$C$31)*[1]SETTINGS!$C$32,0)),"")</f>
        <v/>
      </c>
      <c r="AI30" s="62" t="str">
        <f t="shared" si="16"/>
        <v/>
      </c>
      <c r="AJ30" s="64" t="str">
        <f t="shared" si="5"/>
        <v/>
      </c>
      <c r="AK30" s="75" t="str">
        <f t="shared" si="17"/>
        <v/>
      </c>
      <c r="AL30" s="72"/>
      <c r="AM30" s="63">
        <v>9</v>
      </c>
      <c r="AN30" s="63">
        <v>10</v>
      </c>
      <c r="AO30" s="63">
        <v>11</v>
      </c>
      <c r="AP30" s="63">
        <v>15</v>
      </c>
      <c r="AQ30" s="61">
        <f t="shared" si="18"/>
        <v>45</v>
      </c>
      <c r="AR30" s="62" t="str">
        <f>IFERROR(IF(AQ30=0,"",ROUND((AQ30/SUM([1]SETTINGS!$C$26:$C$29))*[1]SETTINGS!$C$30,0)),"")</f>
        <v/>
      </c>
      <c r="AS30" s="63">
        <v>47</v>
      </c>
      <c r="AT30" s="62" t="str">
        <f>IFERROR(IF(ISBLANK(AS30),"",ROUND((AS30/[1]SETTINGS!$C$31)*[1]SETTINGS!$C$32,0)),"")</f>
        <v/>
      </c>
      <c r="AU30" s="62" t="str">
        <f t="shared" si="19"/>
        <v/>
      </c>
      <c r="AV30" s="64" t="str">
        <f t="shared" si="6"/>
        <v/>
      </c>
      <c r="AW30" s="65" t="str">
        <f t="shared" si="20"/>
        <v/>
      </c>
      <c r="AX30" s="72"/>
      <c r="AY30" s="63">
        <v>12</v>
      </c>
      <c r="AZ30" s="63">
        <v>11</v>
      </c>
      <c r="BA30" s="63">
        <v>10</v>
      </c>
      <c r="BB30" s="63">
        <v>12</v>
      </c>
      <c r="BC30" s="61">
        <f t="shared" si="21"/>
        <v>45</v>
      </c>
      <c r="BD30" s="62" t="str">
        <f>IFERROR(IF(BC30=0,"",ROUND((BC30/SUM([1]SETTINGS!$C$26:$C$29))*[1]SETTINGS!$C$30,0)),"")</f>
        <v/>
      </c>
      <c r="BE30" s="63">
        <v>75</v>
      </c>
      <c r="BF30" s="62" t="str">
        <f>IFERROR(IF(ISBLANK(BE30),"",ROUND((BE30/[1]SETTINGS!$C$31)*[1]SETTINGS!$C$32,0)),"")</f>
        <v/>
      </c>
      <c r="BG30" s="62" t="str">
        <f t="shared" si="22"/>
        <v/>
      </c>
      <c r="BH30" s="64" t="str">
        <f t="shared" si="7"/>
        <v/>
      </c>
      <c r="BI30" s="75" t="str">
        <f t="shared" si="23"/>
        <v/>
      </c>
      <c r="BJ30" s="72"/>
      <c r="BK30" s="63">
        <v>15</v>
      </c>
      <c r="BL30" s="63">
        <v>12</v>
      </c>
      <c r="BM30" s="63">
        <v>3</v>
      </c>
      <c r="BN30" s="63">
        <v>15</v>
      </c>
      <c r="BO30" s="61">
        <f t="shared" si="24"/>
        <v>45</v>
      </c>
      <c r="BP30" s="62" t="str">
        <f>IFERROR(IF(BO30=0,"",ROUND((BO30/SUM([1]SETTINGS!$C$26:$C$29))*[1]SETTINGS!$C$30,0)),"")</f>
        <v/>
      </c>
      <c r="BQ30" s="63">
        <v>54</v>
      </c>
      <c r="BR30" s="62" t="str">
        <f>IFERROR(IF(ISBLANK(BQ30),"",ROUND((BQ30/[1]SETTINGS!$C$31)*[1]SETTINGS!$C$32,0)),"")</f>
        <v/>
      </c>
      <c r="BS30" s="62" t="str">
        <f t="shared" si="25"/>
        <v/>
      </c>
      <c r="BT30" s="64" t="str">
        <f t="shared" si="8"/>
        <v/>
      </c>
      <c r="BU30" s="65" t="str">
        <f t="shared" si="26"/>
        <v/>
      </c>
      <c r="BV30" s="72"/>
      <c r="BW30" s="63">
        <v>10</v>
      </c>
      <c r="BX30" s="63">
        <v>13</v>
      </c>
      <c r="BY30" s="63">
        <v>13</v>
      </c>
      <c r="BZ30" s="63">
        <v>14</v>
      </c>
      <c r="CA30" s="61">
        <f t="shared" si="27"/>
        <v>50</v>
      </c>
      <c r="CB30" s="62" t="str">
        <f>IFERROR(IF(CA30=0,"",ROUND((CA30/SUM([1]SETTINGS!$C$26:$C$29))*[1]SETTINGS!$C$30,0)),"")</f>
        <v/>
      </c>
      <c r="CC30" s="63">
        <v>69</v>
      </c>
      <c r="CD30" s="62" t="str">
        <f>IFERROR(IF(ISBLANK(CC30),"",ROUND((CC30/[1]SETTINGS!$C$31)*[1]SETTINGS!$C$32,0)),"")</f>
        <v/>
      </c>
      <c r="CE30" s="62" t="str">
        <f t="shared" si="28"/>
        <v/>
      </c>
      <c r="CF30" s="64" t="str">
        <f t="shared" si="9"/>
        <v/>
      </c>
      <c r="CG30" s="65" t="str">
        <f t="shared" si="29"/>
        <v/>
      </c>
      <c r="CH30" s="72"/>
      <c r="CI30" s="63">
        <v>11</v>
      </c>
      <c r="CJ30" s="63">
        <v>13</v>
      </c>
      <c r="CK30" s="63">
        <v>12</v>
      </c>
      <c r="CL30" s="63">
        <v>15</v>
      </c>
      <c r="CM30" s="61">
        <f t="shared" si="30"/>
        <v>51</v>
      </c>
      <c r="CN30" s="62" t="str">
        <f>IFERROR(IF(CM30=0,"",ROUND((CM30/SUM([1]SETTINGS!$C$26:$C$29))*[1]SETTINGS!$C$30,0)),"")</f>
        <v/>
      </c>
      <c r="CO30" s="63">
        <v>49</v>
      </c>
      <c r="CP30" s="62" t="str">
        <f>IFERROR(IF(ISBLANK(CO30),"",ROUND((CO30/[1]SETTINGS!$C$31)*[1]SETTINGS!$C$32,0)),"")</f>
        <v/>
      </c>
      <c r="CQ30" s="62" t="str">
        <f t="shared" si="31"/>
        <v/>
      </c>
      <c r="CR30" s="64" t="str">
        <f t="shared" si="10"/>
        <v/>
      </c>
      <c r="CS30" s="65" t="str">
        <f t="shared" si="32"/>
        <v/>
      </c>
      <c r="CT30" s="72"/>
      <c r="CU30" s="63">
        <v>15</v>
      </c>
      <c r="CV30" s="63">
        <v>9</v>
      </c>
      <c r="CW30" s="63">
        <v>12</v>
      </c>
      <c r="CX30" s="63">
        <v>8</v>
      </c>
      <c r="CY30" s="61">
        <f t="shared" si="33"/>
        <v>44</v>
      </c>
      <c r="CZ30" s="62" t="str">
        <f>IFERROR(IF(CY30=0,"",ROUND((CY30/SUM([1]SETTINGS!$C$26:$C$29))*[1]SETTINGS!$C$30,0)),"")</f>
        <v/>
      </c>
      <c r="DA30" s="63">
        <v>44</v>
      </c>
      <c r="DB30" s="62" t="str">
        <f>IFERROR(IF(ISBLANK(DA30),"",ROUND((DA30/[1]SETTINGS!$C$31)*[1]SETTINGS!$C$32,0)),"")</f>
        <v/>
      </c>
      <c r="DC30" s="62" t="str">
        <f t="shared" si="34"/>
        <v/>
      </c>
      <c r="DD30" s="64" t="str">
        <f t="shared" si="11"/>
        <v/>
      </c>
      <c r="DE30" s="65" t="str">
        <f t="shared" si="35"/>
        <v/>
      </c>
      <c r="DF30" s="64" t="str">
        <f t="shared" si="12"/>
        <v/>
      </c>
      <c r="DG30" s="64" t="str">
        <f>IFERROR(IF(AND(K30,W30,AI30,AU30,BG30,BS30,CE30,CQ30,DC30)="","",SUM(K30,W30,AI30,AU30,LARGE((BG30,BS30,CE30,CQ30,DC30),{1,2}))),"")</f>
        <v/>
      </c>
      <c r="DH30" s="64" t="str">
        <f>IFERROR(IF(AND(M30,Y30,AK30,AW30,,BI30,BU30,CG30,CS30,DE30)="","",SUM(M30,Y30,AK30,AW30,SMALL((BI30,BU30,CG30,CS30,DE30),{1,2}))),"")</f>
        <v/>
      </c>
      <c r="DI30" s="76" t="str">
        <f>IFERROR(pos&amp;IF(AND(MOD(ABS(18),100)&gt;10,MOD(ABS(pos),100)&lt;14),"th", CHOOSE(MOD(ABS(pos),10)+1,"th","st","nd","rd","th","th","th","th","th","th")),"")</f>
        <v/>
      </c>
      <c r="DJ30" s="15">
        <f>ROWS($B$12:$B30)</f>
        <v>19</v>
      </c>
      <c r="DK30" s="15">
        <f>IF($B30=[1]REPORT_CARD!$B$9,$DJ30,"")</f>
        <v>19</v>
      </c>
      <c r="DM30" s="74"/>
    </row>
    <row r="31" spans="1:117" ht="19.5" customHeight="1">
      <c r="A31" s="59" t="str">
        <f>IFERROR(IF(ISBLANK([1]PRIMARY_INFO!$A31),"",[1]PRIMARY_INFO!$A31),"")</f>
        <v/>
      </c>
      <c r="B31" s="59" t="str">
        <f>IFERROR(IF(ISBLANK([1]PRIMARY_INFO!$B31),"",[1]PRIMARY_INFO!$B31),"")</f>
        <v/>
      </c>
      <c r="C31" s="63">
        <v>14</v>
      </c>
      <c r="D31" s="63">
        <v>9</v>
      </c>
      <c r="E31" s="63">
        <v>5</v>
      </c>
      <c r="F31" s="63">
        <v>10</v>
      </c>
      <c r="G31" s="61">
        <f t="shared" si="36"/>
        <v>38</v>
      </c>
      <c r="H31" s="62" t="str">
        <f>IFERROR(IF(G31=0,"",ROUND((G31/SUM([1]SETTINGS!$C$26:$C$29))*[1]SETTINGS!$C$30,0)),"")</f>
        <v/>
      </c>
      <c r="I31" s="63">
        <v>17</v>
      </c>
      <c r="J31" s="62" t="str">
        <f>IFERROR(IF(ISBLANK(I31),"",ROUND((I31/[1]SETTINGS!$C$31)*[1]SETTINGS!$C$32,0)),"")</f>
        <v/>
      </c>
      <c r="K31" s="62" t="str">
        <f t="shared" si="13"/>
        <v/>
      </c>
      <c r="L31" s="64" t="str">
        <f t="shared" si="0"/>
        <v/>
      </c>
      <c r="M31" s="65" t="str">
        <f t="shared" si="14"/>
        <v/>
      </c>
      <c r="N31" s="66"/>
      <c r="O31" s="63">
        <v>5</v>
      </c>
      <c r="P31" s="63">
        <v>8</v>
      </c>
      <c r="Q31" s="63">
        <v>7</v>
      </c>
      <c r="R31" s="63">
        <v>5</v>
      </c>
      <c r="S31" s="61">
        <f t="shared" si="1"/>
        <v>25</v>
      </c>
      <c r="T31" s="62" t="str">
        <f>IFERROR(IF(S31=0,"",ROUND((S31/SUM([1]SETTINGS!$C$26:$C$29))*[1]SETTINGS!$C$30,0)),"")</f>
        <v/>
      </c>
      <c r="U31" s="63">
        <v>11</v>
      </c>
      <c r="V31" s="62" t="str">
        <f>IFERROR(IF(ISBLANK(U31),"",ROUND((U31/[1]SETTINGS!$C$31)*[1]SETTINGS!$C$32,0)),"")</f>
        <v/>
      </c>
      <c r="W31" s="62" t="str">
        <f t="shared" si="2"/>
        <v/>
      </c>
      <c r="X31" s="64" t="str">
        <f t="shared" si="3"/>
        <v/>
      </c>
      <c r="Y31" s="65" t="str">
        <f t="shared" si="4"/>
        <v/>
      </c>
      <c r="Z31" s="72"/>
      <c r="AA31" s="63">
        <v>8</v>
      </c>
      <c r="AB31" s="63">
        <v>12</v>
      </c>
      <c r="AC31" s="63">
        <v>8</v>
      </c>
      <c r="AD31" s="63">
        <v>8</v>
      </c>
      <c r="AE31" s="61">
        <f t="shared" si="15"/>
        <v>36</v>
      </c>
      <c r="AF31" s="62" t="str">
        <f>IFERROR(IF(AE31=0,"",ROUND((AE31/SUM([1]SETTINGS!$C$26:$C$29))*[1]SETTINGS!$C$30,0)),"")</f>
        <v/>
      </c>
      <c r="AG31" s="63">
        <v>17</v>
      </c>
      <c r="AH31" s="62" t="str">
        <f>IFERROR(IF(ISBLANK(AG31),"",ROUND((AG31/[1]SETTINGS!$C$31)*[1]SETTINGS!$C$32,0)),"")</f>
        <v/>
      </c>
      <c r="AI31" s="62" t="str">
        <f t="shared" si="16"/>
        <v/>
      </c>
      <c r="AJ31" s="64" t="str">
        <f t="shared" si="5"/>
        <v/>
      </c>
      <c r="AK31" s="75" t="str">
        <f t="shared" si="17"/>
        <v/>
      </c>
      <c r="AL31" s="72"/>
      <c r="AM31" s="63">
        <v>9</v>
      </c>
      <c r="AN31" s="63">
        <v>12</v>
      </c>
      <c r="AO31" s="63">
        <v>8</v>
      </c>
      <c r="AP31" s="63">
        <v>15</v>
      </c>
      <c r="AQ31" s="61">
        <f t="shared" si="18"/>
        <v>44</v>
      </c>
      <c r="AR31" s="62" t="str">
        <f>IFERROR(IF(AQ31=0,"",ROUND((AQ31/SUM([1]SETTINGS!$C$26:$C$29))*[1]SETTINGS!$C$30,0)),"")</f>
        <v/>
      </c>
      <c r="AS31" s="63">
        <v>26</v>
      </c>
      <c r="AT31" s="62" t="str">
        <f>IFERROR(IF(ISBLANK(AS31),"",ROUND((AS31/[1]SETTINGS!$C$31)*[1]SETTINGS!$C$32,0)),"")</f>
        <v/>
      </c>
      <c r="AU31" s="62" t="str">
        <f t="shared" si="19"/>
        <v/>
      </c>
      <c r="AV31" s="64" t="str">
        <f t="shared" si="6"/>
        <v/>
      </c>
      <c r="AW31" s="65" t="str">
        <f t="shared" si="20"/>
        <v/>
      </c>
      <c r="AX31" s="72"/>
      <c r="AY31" s="63">
        <v>10</v>
      </c>
      <c r="AZ31" s="63">
        <v>15</v>
      </c>
      <c r="BA31" s="63">
        <v>10</v>
      </c>
      <c r="BB31" s="63">
        <v>10</v>
      </c>
      <c r="BC31" s="61">
        <f t="shared" si="21"/>
        <v>45</v>
      </c>
      <c r="BD31" s="62" t="str">
        <f>IFERROR(IF(BC31=0,"",ROUND((BC31/SUM([1]SETTINGS!$C$26:$C$29))*[1]SETTINGS!$C$30,0)),"")</f>
        <v/>
      </c>
      <c r="BE31" s="63">
        <v>14</v>
      </c>
      <c r="BF31" s="62" t="str">
        <f>IFERROR(IF(ISBLANK(BE31),"",ROUND((BE31/[1]SETTINGS!$C$31)*[1]SETTINGS!$C$32,0)),"")</f>
        <v/>
      </c>
      <c r="BG31" s="62" t="str">
        <f t="shared" si="22"/>
        <v/>
      </c>
      <c r="BH31" s="64" t="str">
        <f t="shared" si="7"/>
        <v/>
      </c>
      <c r="BI31" s="75" t="str">
        <f t="shared" si="23"/>
        <v/>
      </c>
      <c r="BJ31" s="72"/>
      <c r="BK31" s="63">
        <v>8</v>
      </c>
      <c r="BL31" s="63">
        <v>3</v>
      </c>
      <c r="BM31" s="63">
        <v>2</v>
      </c>
      <c r="BN31" s="63">
        <v>15</v>
      </c>
      <c r="BO31" s="61">
        <f t="shared" si="24"/>
        <v>28</v>
      </c>
      <c r="BP31" s="62" t="str">
        <f>IFERROR(IF(BO31=0,"",ROUND((BO31/SUM([1]SETTINGS!$C$26:$C$29))*[1]SETTINGS!$C$30,0)),"")</f>
        <v/>
      </c>
      <c r="BQ31" s="63">
        <v>17</v>
      </c>
      <c r="BR31" s="62" t="str">
        <f>IFERROR(IF(ISBLANK(BQ31),"",ROUND((BQ31/[1]SETTINGS!$C$31)*[1]SETTINGS!$C$32,0)),"")</f>
        <v/>
      </c>
      <c r="BS31" s="62" t="str">
        <f t="shared" si="25"/>
        <v/>
      </c>
      <c r="BT31" s="64" t="str">
        <f t="shared" si="8"/>
        <v/>
      </c>
      <c r="BU31" s="65" t="str">
        <f t="shared" si="26"/>
        <v/>
      </c>
      <c r="BV31" s="72"/>
      <c r="BW31" s="63">
        <v>1</v>
      </c>
      <c r="BX31" s="63">
        <v>5</v>
      </c>
      <c r="BY31" s="63">
        <v>7</v>
      </c>
      <c r="BZ31" s="63">
        <v>8</v>
      </c>
      <c r="CA31" s="61">
        <f t="shared" si="27"/>
        <v>21</v>
      </c>
      <c r="CB31" s="62" t="str">
        <f>IFERROR(IF(CA31=0,"",ROUND((CA31/SUM([1]SETTINGS!$C$26:$C$29))*[1]SETTINGS!$C$30,0)),"")</f>
        <v/>
      </c>
      <c r="CC31" s="63">
        <v>14</v>
      </c>
      <c r="CD31" s="62" t="str">
        <f>IFERROR(IF(ISBLANK(CC31),"",ROUND((CC31/[1]SETTINGS!$C$31)*[1]SETTINGS!$C$32,0)),"")</f>
        <v/>
      </c>
      <c r="CE31" s="62" t="str">
        <f t="shared" si="28"/>
        <v/>
      </c>
      <c r="CF31" s="64" t="str">
        <f t="shared" si="9"/>
        <v/>
      </c>
      <c r="CG31" s="65" t="str">
        <f t="shared" si="29"/>
        <v/>
      </c>
      <c r="CH31" s="72"/>
      <c r="CI31" s="63">
        <v>10</v>
      </c>
      <c r="CJ31" s="63">
        <v>13</v>
      </c>
      <c r="CK31" s="63">
        <v>5</v>
      </c>
      <c r="CL31" s="63">
        <v>10</v>
      </c>
      <c r="CM31" s="61">
        <f t="shared" si="30"/>
        <v>38</v>
      </c>
      <c r="CN31" s="62" t="str">
        <f>IFERROR(IF(CM31=0,"",ROUND((CM31/SUM([1]SETTINGS!$C$26:$C$29))*[1]SETTINGS!$C$30,0)),"")</f>
        <v/>
      </c>
      <c r="CO31" s="63">
        <v>6</v>
      </c>
      <c r="CP31" s="62" t="str">
        <f>IFERROR(IF(ISBLANK(CO31),"",ROUND((CO31/[1]SETTINGS!$C$31)*[1]SETTINGS!$C$32,0)),"")</f>
        <v/>
      </c>
      <c r="CQ31" s="62" t="str">
        <f t="shared" si="31"/>
        <v/>
      </c>
      <c r="CR31" s="64" t="str">
        <f t="shared" si="10"/>
        <v/>
      </c>
      <c r="CS31" s="65" t="str">
        <f t="shared" si="32"/>
        <v/>
      </c>
      <c r="CT31" s="72"/>
      <c r="CU31" s="63">
        <v>5</v>
      </c>
      <c r="CV31" s="63">
        <v>3</v>
      </c>
      <c r="CW31" s="63">
        <v>3</v>
      </c>
      <c r="CX31" s="63">
        <v>4</v>
      </c>
      <c r="CY31" s="61">
        <f t="shared" si="33"/>
        <v>15</v>
      </c>
      <c r="CZ31" s="62" t="str">
        <f>IFERROR(IF(CY31=0,"",ROUND((CY31/SUM([1]SETTINGS!$C$26:$C$29))*[1]SETTINGS!$C$30,0)),"")</f>
        <v/>
      </c>
      <c r="DA31" s="63">
        <v>15</v>
      </c>
      <c r="DB31" s="62" t="str">
        <f>IFERROR(IF(ISBLANK(DA31),"",ROUND((DA31/[1]SETTINGS!$C$31)*[1]SETTINGS!$C$32,0)),"")</f>
        <v/>
      </c>
      <c r="DC31" s="62" t="str">
        <f t="shared" si="34"/>
        <v/>
      </c>
      <c r="DD31" s="64" t="str">
        <f t="shared" si="11"/>
        <v/>
      </c>
      <c r="DE31" s="65" t="str">
        <f t="shared" si="35"/>
        <v/>
      </c>
      <c r="DF31" s="64" t="str">
        <f t="shared" si="12"/>
        <v/>
      </c>
      <c r="DG31" s="64" t="str">
        <f>IFERROR(IF(AND(K31,W31,AI31,AU31,BG31,BS31,CE31,CQ31,DC31)="","",SUM(K31,W31,AI31,AU31,LARGE((BG31,BS31,CE31,CQ31,DC31),{1,2}))),"")</f>
        <v/>
      </c>
      <c r="DH31" s="64" t="str">
        <f>IFERROR(IF(AND(M31,Y31,AK31,AW31,,BI31,BU31,CG31,CS31,DE31)="","",SUM(M31,Y31,AK31,AW31,SMALL((BI31,BU31,CG31,CS31,DE31),{1,2}))),"")</f>
        <v/>
      </c>
      <c r="DI31" s="76" t="str">
        <f>IFERROR(pos&amp;IF(AND(MOD(ABS(18),100)&gt;10,MOD(ABS(pos),100)&lt;14),"th", CHOOSE(MOD(ABS(pos),10)+1,"th","st","nd","rd","th","th","th","th","th","th")),"")</f>
        <v/>
      </c>
      <c r="DJ31" s="15">
        <f>ROWS($B$12:$B31)</f>
        <v>20</v>
      </c>
      <c r="DK31" s="15">
        <f>IF($B31=[1]REPORT_CARD!$B$9,$DJ31,"")</f>
        <v>20</v>
      </c>
      <c r="DM31" s="74"/>
    </row>
    <row r="32" spans="1:117" ht="19.5" customHeight="1">
      <c r="A32" s="59" t="str">
        <f>IFERROR(IF(ISBLANK([1]PRIMARY_INFO!$A32),"",[1]PRIMARY_INFO!$A32),"")</f>
        <v/>
      </c>
      <c r="B32" s="59" t="str">
        <f>IFERROR(IF(ISBLANK([1]PRIMARY_INFO!$B32),"",[1]PRIMARY_INFO!$B32),"")</f>
        <v/>
      </c>
      <c r="C32" s="63">
        <v>9</v>
      </c>
      <c r="D32" s="63">
        <v>14</v>
      </c>
      <c r="E32" s="63">
        <v>8</v>
      </c>
      <c r="F32" s="63">
        <v>15</v>
      </c>
      <c r="G32" s="61">
        <f t="shared" si="36"/>
        <v>46</v>
      </c>
      <c r="H32" s="62" t="str">
        <f>IFERROR(IF(G32=0,"",ROUND((G32/SUM([1]SETTINGS!$C$26:$C$29))*[1]SETTINGS!$C$30,0)),"")</f>
        <v/>
      </c>
      <c r="I32" s="63">
        <v>41</v>
      </c>
      <c r="J32" s="62" t="str">
        <f>IFERROR(IF(ISBLANK(I32),"",ROUND((I32/[1]SETTINGS!$C$31)*[1]SETTINGS!$C$32,0)),"")</f>
        <v/>
      </c>
      <c r="K32" s="62" t="str">
        <f t="shared" si="13"/>
        <v/>
      </c>
      <c r="L32" s="64" t="str">
        <f t="shared" si="0"/>
        <v/>
      </c>
      <c r="M32" s="65" t="str">
        <f t="shared" si="14"/>
        <v/>
      </c>
      <c r="N32" s="66"/>
      <c r="O32" s="63">
        <v>12</v>
      </c>
      <c r="P32" s="63">
        <v>13</v>
      </c>
      <c r="Q32" s="63">
        <v>7</v>
      </c>
      <c r="R32" s="63">
        <v>10</v>
      </c>
      <c r="S32" s="61">
        <f t="shared" si="1"/>
        <v>42</v>
      </c>
      <c r="T32" s="62" t="str">
        <f>IFERROR(IF(S32=0,"",ROUND((S32/SUM([1]SETTINGS!$C$26:$C$29))*[1]SETTINGS!$C$30,0)),"")</f>
        <v/>
      </c>
      <c r="U32" s="63">
        <v>49</v>
      </c>
      <c r="V32" s="62" t="str">
        <f>IFERROR(IF(ISBLANK(U32),"",ROUND((U32/[1]SETTINGS!$C$31)*[1]SETTINGS!$C$32,0)),"")</f>
        <v/>
      </c>
      <c r="W32" s="62" t="str">
        <f t="shared" si="2"/>
        <v/>
      </c>
      <c r="X32" s="64" t="str">
        <f t="shared" si="3"/>
        <v/>
      </c>
      <c r="Y32" s="65" t="str">
        <f t="shared" si="4"/>
        <v/>
      </c>
      <c r="Z32" s="72"/>
      <c r="AA32" s="63">
        <v>14</v>
      </c>
      <c r="AB32" s="63">
        <v>10</v>
      </c>
      <c r="AC32" s="63">
        <v>8</v>
      </c>
      <c r="AD32" s="63">
        <v>14</v>
      </c>
      <c r="AE32" s="61">
        <f t="shared" si="15"/>
        <v>46</v>
      </c>
      <c r="AF32" s="62" t="str">
        <f>IFERROR(IF(AE32=0,"",ROUND((AE32/SUM([1]SETTINGS!$C$26:$C$29))*[1]SETTINGS!$C$30,0)),"")</f>
        <v/>
      </c>
      <c r="AG32" s="63">
        <v>54</v>
      </c>
      <c r="AH32" s="62" t="str">
        <f>IFERROR(IF(ISBLANK(AG32),"",ROUND((AG32/[1]SETTINGS!$C$31)*[1]SETTINGS!$C$32,0)),"")</f>
        <v/>
      </c>
      <c r="AI32" s="62" t="str">
        <f t="shared" si="16"/>
        <v/>
      </c>
      <c r="AJ32" s="64" t="str">
        <f t="shared" si="5"/>
        <v/>
      </c>
      <c r="AK32" s="75" t="str">
        <f t="shared" si="17"/>
        <v/>
      </c>
      <c r="AL32" s="72"/>
      <c r="AM32" s="63">
        <v>8</v>
      </c>
      <c r="AN32" s="63">
        <v>4</v>
      </c>
      <c r="AO32" s="63">
        <v>6</v>
      </c>
      <c r="AP32" s="63">
        <v>15</v>
      </c>
      <c r="AQ32" s="61">
        <f t="shared" si="18"/>
        <v>33</v>
      </c>
      <c r="AR32" s="62" t="str">
        <f>IFERROR(IF(AQ32=0,"",ROUND((AQ32/SUM([1]SETTINGS!$C$26:$C$29))*[1]SETTINGS!$C$30,0)),"")</f>
        <v/>
      </c>
      <c r="AS32" s="63">
        <v>42</v>
      </c>
      <c r="AT32" s="62" t="str">
        <f>IFERROR(IF(ISBLANK(AS32),"",ROUND((AS32/[1]SETTINGS!$C$31)*[1]SETTINGS!$C$32,0)),"")</f>
        <v/>
      </c>
      <c r="AU32" s="62" t="str">
        <f t="shared" si="19"/>
        <v/>
      </c>
      <c r="AV32" s="64" t="str">
        <f t="shared" si="6"/>
        <v/>
      </c>
      <c r="AW32" s="65" t="str">
        <f t="shared" si="20"/>
        <v/>
      </c>
      <c r="AX32" s="72"/>
      <c r="AY32" s="63">
        <v>12</v>
      </c>
      <c r="AZ32" s="63">
        <v>8</v>
      </c>
      <c r="BA32" s="63">
        <v>10</v>
      </c>
      <c r="BB32" s="63">
        <v>12</v>
      </c>
      <c r="BC32" s="61">
        <f t="shared" si="21"/>
        <v>42</v>
      </c>
      <c r="BD32" s="62" t="str">
        <f>IFERROR(IF(BC32=0,"",ROUND((BC32/SUM([1]SETTINGS!$C$26:$C$29))*[1]SETTINGS!$C$30,0)),"")</f>
        <v/>
      </c>
      <c r="BE32" s="63">
        <v>70</v>
      </c>
      <c r="BF32" s="62" t="str">
        <f>IFERROR(IF(ISBLANK(BE32),"",ROUND((BE32/[1]SETTINGS!$C$31)*[1]SETTINGS!$C$32,0)),"")</f>
        <v/>
      </c>
      <c r="BG32" s="62" t="str">
        <f t="shared" si="22"/>
        <v/>
      </c>
      <c r="BH32" s="64" t="str">
        <f t="shared" si="7"/>
        <v/>
      </c>
      <c r="BI32" s="75" t="str">
        <f t="shared" si="23"/>
        <v/>
      </c>
      <c r="BJ32" s="72"/>
      <c r="BK32" s="63">
        <v>14</v>
      </c>
      <c r="BL32" s="63">
        <v>5</v>
      </c>
      <c r="BM32" s="63">
        <v>2</v>
      </c>
      <c r="BN32" s="63">
        <v>15</v>
      </c>
      <c r="BO32" s="61">
        <f t="shared" si="24"/>
        <v>36</v>
      </c>
      <c r="BP32" s="62" t="str">
        <f>IFERROR(IF(BO32=0,"",ROUND((BO32/SUM([1]SETTINGS!$C$26:$C$29))*[1]SETTINGS!$C$30,0)),"")</f>
        <v/>
      </c>
      <c r="BQ32" s="63">
        <v>76</v>
      </c>
      <c r="BR32" s="62" t="str">
        <f>IFERROR(IF(ISBLANK(BQ32),"",ROUND((BQ32/[1]SETTINGS!$C$31)*[1]SETTINGS!$C$32,0)),"")</f>
        <v/>
      </c>
      <c r="BS32" s="62" t="str">
        <f t="shared" si="25"/>
        <v/>
      </c>
      <c r="BT32" s="64" t="str">
        <f t="shared" si="8"/>
        <v/>
      </c>
      <c r="BU32" s="65" t="str">
        <f t="shared" si="26"/>
        <v/>
      </c>
      <c r="BV32" s="72"/>
      <c r="BW32" s="63">
        <v>6</v>
      </c>
      <c r="BX32" s="63">
        <v>13</v>
      </c>
      <c r="BY32" s="63">
        <v>14</v>
      </c>
      <c r="BZ32" s="63">
        <v>10</v>
      </c>
      <c r="CA32" s="61">
        <f t="shared" si="27"/>
        <v>43</v>
      </c>
      <c r="CB32" s="62" t="str">
        <f>IFERROR(IF(CA32=0,"",ROUND((CA32/SUM([1]SETTINGS!$C$26:$C$29))*[1]SETTINGS!$C$30,0)),"")</f>
        <v/>
      </c>
      <c r="CC32" s="63">
        <v>49</v>
      </c>
      <c r="CD32" s="62" t="str">
        <f>IFERROR(IF(ISBLANK(CC32),"",ROUND((CC32/[1]SETTINGS!$C$31)*[1]SETTINGS!$C$32,0)),"")</f>
        <v/>
      </c>
      <c r="CE32" s="62" t="str">
        <f t="shared" si="28"/>
        <v/>
      </c>
      <c r="CF32" s="64" t="str">
        <f t="shared" si="9"/>
        <v/>
      </c>
      <c r="CG32" s="65" t="str">
        <f t="shared" si="29"/>
        <v/>
      </c>
      <c r="CH32" s="72"/>
      <c r="CI32" s="63">
        <v>10</v>
      </c>
      <c r="CJ32" s="63">
        <v>13</v>
      </c>
      <c r="CK32" s="63">
        <v>13</v>
      </c>
      <c r="CL32" s="63">
        <v>13</v>
      </c>
      <c r="CM32" s="61">
        <f t="shared" si="30"/>
        <v>49</v>
      </c>
      <c r="CN32" s="62" t="str">
        <f>IFERROR(IF(CM32=0,"",ROUND((CM32/SUM([1]SETTINGS!$C$26:$C$29))*[1]SETTINGS!$C$30,0)),"")</f>
        <v/>
      </c>
      <c r="CO32" s="63">
        <v>44</v>
      </c>
      <c r="CP32" s="62" t="str">
        <f>IFERROR(IF(ISBLANK(CO32),"",ROUND((CO32/[1]SETTINGS!$C$31)*[1]SETTINGS!$C$32,0)),"")</f>
        <v/>
      </c>
      <c r="CQ32" s="62" t="str">
        <f t="shared" si="31"/>
        <v/>
      </c>
      <c r="CR32" s="64" t="str">
        <f t="shared" si="10"/>
        <v/>
      </c>
      <c r="CS32" s="65" t="str">
        <f t="shared" si="32"/>
        <v/>
      </c>
      <c r="CT32" s="72"/>
      <c r="CU32" s="63">
        <v>8</v>
      </c>
      <c r="CV32" s="63">
        <v>14</v>
      </c>
      <c r="CW32" s="63">
        <v>8</v>
      </c>
      <c r="CX32" s="63">
        <v>8</v>
      </c>
      <c r="CY32" s="61">
        <f t="shared" si="33"/>
        <v>38</v>
      </c>
      <c r="CZ32" s="62" t="str">
        <f>IFERROR(IF(CY32=0,"",ROUND((CY32/SUM([1]SETTINGS!$C$26:$C$29))*[1]SETTINGS!$C$30,0)),"")</f>
        <v/>
      </c>
      <c r="DA32" s="63">
        <v>46</v>
      </c>
      <c r="DB32" s="62" t="str">
        <f>IFERROR(IF(ISBLANK(DA32),"",ROUND((DA32/[1]SETTINGS!$C$31)*[1]SETTINGS!$C$32,0)),"")</f>
        <v/>
      </c>
      <c r="DC32" s="62" t="str">
        <f t="shared" si="34"/>
        <v/>
      </c>
      <c r="DD32" s="64" t="str">
        <f t="shared" si="11"/>
        <v/>
      </c>
      <c r="DE32" s="65" t="str">
        <f t="shared" si="35"/>
        <v/>
      </c>
      <c r="DF32" s="64" t="str">
        <f t="shared" si="12"/>
        <v/>
      </c>
      <c r="DG32" s="64" t="str">
        <f>IFERROR(IF(AND(K32,W32,AI32,AU32,BG32,BS32,CE32,CQ32,DC32)="","",SUM(K32,W32,AI32,AU32,LARGE((BG32,BS32,CE32,CQ32,DC32),{1,2}))),"")</f>
        <v/>
      </c>
      <c r="DH32" s="64" t="str">
        <f>IFERROR(IF(AND(M32,Y32,AK32,AW32,,BI32,BU32,CG32,CS32,DE32)="","",SUM(M32,Y32,AK32,AW32,SMALL((BI32,BU32,CG32,CS32,DE32),{1,2}))),"")</f>
        <v/>
      </c>
      <c r="DI32" s="76" t="str">
        <f>IFERROR(pos&amp;IF(AND(MOD(ABS(18),100)&gt;10,MOD(ABS(pos),100)&lt;14),"th", CHOOSE(MOD(ABS(pos),10)+1,"th","st","nd","rd","th","th","th","th","th","th")),"")</f>
        <v/>
      </c>
      <c r="DJ32" s="15">
        <f>ROWS($B$12:$B32)</f>
        <v>21</v>
      </c>
      <c r="DK32" s="15">
        <f>IF($B32=[1]REPORT_CARD!$B$9,$DJ32,"")</f>
        <v>21</v>
      </c>
      <c r="DM32" s="74"/>
    </row>
    <row r="33" spans="1:117" ht="19.5" customHeight="1">
      <c r="A33" s="59" t="str">
        <f>IFERROR(IF(ISBLANK([1]PRIMARY_INFO!$A33),"",[1]PRIMARY_INFO!$A33),"")</f>
        <v/>
      </c>
      <c r="B33" s="59" t="str">
        <f>IFERROR(IF(ISBLANK([1]PRIMARY_INFO!$B33),"",[1]PRIMARY_INFO!$B33),"")</f>
        <v/>
      </c>
      <c r="C33" s="63">
        <v>15</v>
      </c>
      <c r="D33" s="63">
        <v>9</v>
      </c>
      <c r="E33" s="63">
        <v>15</v>
      </c>
      <c r="F33" s="63">
        <v>14</v>
      </c>
      <c r="G33" s="61">
        <f t="shared" si="36"/>
        <v>53</v>
      </c>
      <c r="H33" s="62" t="str">
        <f>IFERROR(IF(G33=0,"",ROUND((G33/SUM([1]SETTINGS!$C$26:$C$29))*[1]SETTINGS!$C$30,0)),"")</f>
        <v/>
      </c>
      <c r="I33" s="63">
        <v>41</v>
      </c>
      <c r="J33" s="62" t="str">
        <f>IFERROR(IF(ISBLANK(I33),"",ROUND((I33/[1]SETTINGS!$C$31)*[1]SETTINGS!$C$32,0)),"")</f>
        <v/>
      </c>
      <c r="K33" s="62" t="str">
        <f t="shared" si="13"/>
        <v/>
      </c>
      <c r="L33" s="64" t="str">
        <f t="shared" si="0"/>
        <v/>
      </c>
      <c r="M33" s="65" t="str">
        <f t="shared" si="14"/>
        <v/>
      </c>
      <c r="N33" s="66"/>
      <c r="O33" s="63">
        <v>5</v>
      </c>
      <c r="P33" s="63">
        <v>14</v>
      </c>
      <c r="Q33" s="63">
        <v>5</v>
      </c>
      <c r="R33" s="63">
        <v>12</v>
      </c>
      <c r="S33" s="61">
        <f t="shared" si="1"/>
        <v>36</v>
      </c>
      <c r="T33" s="62" t="str">
        <f>IFERROR(IF(S33=0,"",ROUND((S33/SUM([1]SETTINGS!$C$26:$C$29))*[1]SETTINGS!$C$30,0)),"")</f>
        <v/>
      </c>
      <c r="U33" s="63">
        <v>55</v>
      </c>
      <c r="V33" s="62" t="str">
        <f>IFERROR(IF(ISBLANK(U33),"",ROUND((U33/[1]SETTINGS!$C$31)*[1]SETTINGS!$C$32,0)),"")</f>
        <v/>
      </c>
      <c r="W33" s="62" t="str">
        <f t="shared" si="2"/>
        <v/>
      </c>
      <c r="X33" s="64" t="str">
        <f t="shared" si="3"/>
        <v/>
      </c>
      <c r="Y33" s="65" t="str">
        <f t="shared" si="4"/>
        <v/>
      </c>
      <c r="Z33" s="72"/>
      <c r="AA33" s="63">
        <v>5</v>
      </c>
      <c r="AB33" s="63">
        <v>10</v>
      </c>
      <c r="AC33" s="63">
        <v>12</v>
      </c>
      <c r="AD33" s="63">
        <v>13</v>
      </c>
      <c r="AE33" s="61">
        <f t="shared" si="15"/>
        <v>40</v>
      </c>
      <c r="AF33" s="62" t="str">
        <f>IFERROR(IF(AE33=0,"",ROUND((AE33/SUM([1]SETTINGS!$C$26:$C$29))*[1]SETTINGS!$C$30,0)),"")</f>
        <v/>
      </c>
      <c r="AG33" s="63">
        <v>37</v>
      </c>
      <c r="AH33" s="62" t="str">
        <f>IFERROR(IF(ISBLANK(AG33),"",ROUND((AG33/[1]SETTINGS!$C$31)*[1]SETTINGS!$C$32,0)),"")</f>
        <v/>
      </c>
      <c r="AI33" s="62" t="str">
        <f t="shared" si="16"/>
        <v/>
      </c>
      <c r="AJ33" s="64" t="str">
        <f t="shared" si="5"/>
        <v/>
      </c>
      <c r="AK33" s="75" t="str">
        <f t="shared" si="17"/>
        <v/>
      </c>
      <c r="AL33" s="72"/>
      <c r="AM33" s="63">
        <v>6</v>
      </c>
      <c r="AN33" s="63">
        <v>7</v>
      </c>
      <c r="AO33" s="63">
        <v>9</v>
      </c>
      <c r="AP33" s="63">
        <v>15</v>
      </c>
      <c r="AQ33" s="61">
        <f t="shared" si="18"/>
        <v>37</v>
      </c>
      <c r="AR33" s="62" t="str">
        <f>IFERROR(IF(AQ33=0,"",ROUND((AQ33/SUM([1]SETTINGS!$C$26:$C$29))*[1]SETTINGS!$C$30,0)),"")</f>
        <v/>
      </c>
      <c r="AS33" s="63">
        <v>33</v>
      </c>
      <c r="AT33" s="62" t="str">
        <f>IFERROR(IF(ISBLANK(AS33),"",ROUND((AS33/[1]SETTINGS!$C$31)*[1]SETTINGS!$C$32,0)),"")</f>
        <v/>
      </c>
      <c r="AU33" s="62" t="str">
        <f t="shared" si="19"/>
        <v/>
      </c>
      <c r="AV33" s="64" t="str">
        <f t="shared" si="6"/>
        <v/>
      </c>
      <c r="AW33" s="65" t="str">
        <f t="shared" si="20"/>
        <v/>
      </c>
      <c r="AX33" s="72"/>
      <c r="AY33" s="63">
        <v>10</v>
      </c>
      <c r="AZ33" s="63">
        <v>13</v>
      </c>
      <c r="BA33" s="63">
        <v>8</v>
      </c>
      <c r="BB33" s="63">
        <v>10</v>
      </c>
      <c r="BC33" s="61">
        <f t="shared" si="21"/>
        <v>41</v>
      </c>
      <c r="BD33" s="62" t="str">
        <f>IFERROR(IF(BC33=0,"",ROUND((BC33/SUM([1]SETTINGS!$C$26:$C$29))*[1]SETTINGS!$C$30,0)),"")</f>
        <v/>
      </c>
      <c r="BE33" s="63">
        <v>67</v>
      </c>
      <c r="BF33" s="62" t="str">
        <f>IFERROR(IF(ISBLANK(BE33),"",ROUND((BE33/[1]SETTINGS!$C$31)*[1]SETTINGS!$C$32,0)),"")</f>
        <v/>
      </c>
      <c r="BG33" s="62" t="str">
        <f t="shared" si="22"/>
        <v/>
      </c>
      <c r="BH33" s="64" t="str">
        <f t="shared" si="7"/>
        <v/>
      </c>
      <c r="BI33" s="75" t="str">
        <f t="shared" si="23"/>
        <v/>
      </c>
      <c r="BJ33" s="72"/>
      <c r="BK33" s="63">
        <v>9</v>
      </c>
      <c r="BL33" s="63">
        <v>9</v>
      </c>
      <c r="BM33" s="63">
        <v>1</v>
      </c>
      <c r="BN33" s="63">
        <v>15</v>
      </c>
      <c r="BO33" s="61">
        <f t="shared" si="24"/>
        <v>34</v>
      </c>
      <c r="BP33" s="62" t="str">
        <f>IFERROR(IF(BO33=0,"",ROUND((BO33/SUM([1]SETTINGS!$C$26:$C$29))*[1]SETTINGS!$C$30,0)),"")</f>
        <v/>
      </c>
      <c r="BQ33" s="63">
        <v>32</v>
      </c>
      <c r="BR33" s="62" t="str">
        <f>IFERROR(IF(ISBLANK(BQ33),"",ROUND((BQ33/[1]SETTINGS!$C$31)*[1]SETTINGS!$C$32,0)),"")</f>
        <v/>
      </c>
      <c r="BS33" s="62" t="str">
        <f t="shared" si="25"/>
        <v/>
      </c>
      <c r="BT33" s="64" t="str">
        <f t="shared" si="8"/>
        <v/>
      </c>
      <c r="BU33" s="65" t="str">
        <f t="shared" si="26"/>
        <v/>
      </c>
      <c r="BV33" s="72"/>
      <c r="BW33" s="63">
        <v>13</v>
      </c>
      <c r="BX33" s="63">
        <v>4</v>
      </c>
      <c r="BY33" s="63">
        <v>15</v>
      </c>
      <c r="BZ33" s="63">
        <v>12</v>
      </c>
      <c r="CA33" s="61">
        <f t="shared" si="27"/>
        <v>44</v>
      </c>
      <c r="CB33" s="62" t="str">
        <f>IFERROR(IF(CA33=0,"",ROUND((CA33/SUM([1]SETTINGS!$C$26:$C$29))*[1]SETTINGS!$C$30,0)),"")</f>
        <v/>
      </c>
      <c r="CC33" s="63">
        <v>46</v>
      </c>
      <c r="CD33" s="62" t="str">
        <f>IFERROR(IF(ISBLANK(CC33),"",ROUND((CC33/[1]SETTINGS!$C$31)*[1]SETTINGS!$C$32,0)),"")</f>
        <v/>
      </c>
      <c r="CE33" s="62" t="str">
        <f t="shared" si="28"/>
        <v/>
      </c>
      <c r="CF33" s="64" t="str">
        <f t="shared" si="9"/>
        <v/>
      </c>
      <c r="CG33" s="65" t="str">
        <f t="shared" si="29"/>
        <v/>
      </c>
      <c r="CH33" s="72"/>
      <c r="CI33" s="63">
        <v>10</v>
      </c>
      <c r="CJ33" s="63">
        <v>15</v>
      </c>
      <c r="CK33" s="63">
        <v>12</v>
      </c>
      <c r="CL33" s="63">
        <v>10</v>
      </c>
      <c r="CM33" s="61">
        <f t="shared" si="30"/>
        <v>47</v>
      </c>
      <c r="CN33" s="62" t="str">
        <f>IFERROR(IF(CM33=0,"",ROUND((CM33/SUM([1]SETTINGS!$C$26:$C$29))*[1]SETTINGS!$C$30,0)),"")</f>
        <v/>
      </c>
      <c r="CO33" s="63">
        <v>24</v>
      </c>
      <c r="CP33" s="62" t="str">
        <f>IFERROR(IF(ISBLANK(CO33),"",ROUND((CO33/[1]SETTINGS!$C$31)*[1]SETTINGS!$C$32,0)),"")</f>
        <v/>
      </c>
      <c r="CQ33" s="62" t="str">
        <f t="shared" si="31"/>
        <v/>
      </c>
      <c r="CR33" s="64" t="str">
        <f t="shared" si="10"/>
        <v/>
      </c>
      <c r="CS33" s="65" t="str">
        <f t="shared" si="32"/>
        <v/>
      </c>
      <c r="CT33" s="72"/>
      <c r="CU33" s="63">
        <v>10</v>
      </c>
      <c r="CV33" s="63">
        <v>9</v>
      </c>
      <c r="CW33" s="63">
        <v>8</v>
      </c>
      <c r="CX33" s="63">
        <v>8</v>
      </c>
      <c r="CY33" s="61">
        <f t="shared" si="33"/>
        <v>35</v>
      </c>
      <c r="CZ33" s="62" t="str">
        <f>IFERROR(IF(CY33=0,"",ROUND((CY33/SUM([1]SETTINGS!$C$26:$C$29))*[1]SETTINGS!$C$30,0)),"")</f>
        <v/>
      </c>
      <c r="DA33" s="63">
        <v>42</v>
      </c>
      <c r="DB33" s="62" t="str">
        <f>IFERROR(IF(ISBLANK(DA33),"",ROUND((DA33/[1]SETTINGS!$C$31)*[1]SETTINGS!$C$32,0)),"")</f>
        <v/>
      </c>
      <c r="DC33" s="62" t="str">
        <f t="shared" si="34"/>
        <v/>
      </c>
      <c r="DD33" s="64" t="str">
        <f t="shared" si="11"/>
        <v/>
      </c>
      <c r="DE33" s="65" t="str">
        <f t="shared" si="35"/>
        <v/>
      </c>
      <c r="DF33" s="64" t="str">
        <f t="shared" si="12"/>
        <v/>
      </c>
      <c r="DG33" s="64" t="str">
        <f>IFERROR(IF(AND(K33,W33,AI33,AU33,BG33,BS33,CE33,CQ33,DC33)="","",SUM(K33,W33,AI33,AU33,LARGE((BG33,BS33,CE33,CQ33,DC33),{1,2}))),"")</f>
        <v/>
      </c>
      <c r="DH33" s="64" t="str">
        <f>IFERROR(IF(AND(M33,Y33,AK33,AW33,,BI33,BU33,CG33,CS33,DE33)="","",SUM(M33,Y33,AK33,AW33,SMALL((BI33,BU33,CG33,CS33,DE33),{1,2}))),"")</f>
        <v/>
      </c>
      <c r="DI33" s="76" t="str">
        <f>IFERROR(pos&amp;IF(AND(MOD(ABS(18),100)&gt;10,MOD(ABS(pos),100)&lt;14),"th", CHOOSE(MOD(ABS(pos),10)+1,"th","st","nd","rd","th","th","th","th","th","th")),"")</f>
        <v/>
      </c>
      <c r="DJ33" s="15">
        <f>ROWS($B$12:$B33)</f>
        <v>22</v>
      </c>
      <c r="DK33" s="15">
        <f>IF($B33=[1]REPORT_CARD!$B$9,$DJ33,"")</f>
        <v>22</v>
      </c>
      <c r="DM33" s="74"/>
    </row>
    <row r="34" spans="1:117" ht="19.5" customHeight="1">
      <c r="A34" s="59" t="str">
        <f>IFERROR(IF(ISBLANK([1]PRIMARY_INFO!$A34),"",[1]PRIMARY_INFO!$A34),"")</f>
        <v/>
      </c>
      <c r="B34" s="59" t="str">
        <f>IFERROR(IF(ISBLANK([1]PRIMARY_INFO!$B34),"",[1]PRIMARY_INFO!$B34),"")</f>
        <v/>
      </c>
      <c r="C34" s="63">
        <v>9</v>
      </c>
      <c r="D34" s="63">
        <v>15</v>
      </c>
      <c r="E34" s="63">
        <v>10</v>
      </c>
      <c r="F34" s="63">
        <v>10</v>
      </c>
      <c r="G34" s="61">
        <f t="shared" si="36"/>
        <v>44</v>
      </c>
      <c r="H34" s="62" t="str">
        <f>IFERROR(IF(G34=0,"",ROUND((G34/SUM([1]SETTINGS!$C$26:$C$29))*[1]SETTINGS!$C$30,0)),"")</f>
        <v/>
      </c>
      <c r="I34" s="63">
        <v>41</v>
      </c>
      <c r="J34" s="62" t="str">
        <f>IFERROR(IF(ISBLANK(I34),"",ROUND((I34/[1]SETTINGS!$C$31)*[1]SETTINGS!$C$32,0)),"")</f>
        <v/>
      </c>
      <c r="K34" s="62" t="str">
        <f t="shared" si="13"/>
        <v/>
      </c>
      <c r="L34" s="64" t="str">
        <f t="shared" si="0"/>
        <v/>
      </c>
      <c r="M34" s="65" t="str">
        <f t="shared" si="14"/>
        <v/>
      </c>
      <c r="N34" s="66"/>
      <c r="O34" s="63">
        <v>3</v>
      </c>
      <c r="P34" s="63">
        <v>10</v>
      </c>
      <c r="Q34" s="63">
        <v>5</v>
      </c>
      <c r="R34" s="63">
        <v>10</v>
      </c>
      <c r="S34" s="61">
        <f t="shared" si="1"/>
        <v>28</v>
      </c>
      <c r="T34" s="62" t="str">
        <f>IFERROR(IF(S34=0,"",ROUND((S34/SUM([1]SETTINGS!$C$26:$C$29))*[1]SETTINGS!$C$30,0)),"")</f>
        <v/>
      </c>
      <c r="U34" s="63">
        <v>29</v>
      </c>
      <c r="V34" s="62" t="str">
        <f>IFERROR(IF(ISBLANK(U34),"",ROUND((U34/[1]SETTINGS!$C$31)*[1]SETTINGS!$C$32,0)),"")</f>
        <v/>
      </c>
      <c r="W34" s="62" t="str">
        <f t="shared" si="2"/>
        <v/>
      </c>
      <c r="X34" s="64" t="str">
        <f t="shared" si="3"/>
        <v/>
      </c>
      <c r="Y34" s="65" t="str">
        <f t="shared" si="4"/>
        <v/>
      </c>
      <c r="Z34" s="72"/>
      <c r="AA34" s="63">
        <v>7</v>
      </c>
      <c r="AB34" s="63">
        <v>10</v>
      </c>
      <c r="AC34" s="63">
        <v>12</v>
      </c>
      <c r="AD34" s="63">
        <v>9</v>
      </c>
      <c r="AE34" s="61">
        <f t="shared" si="15"/>
        <v>38</v>
      </c>
      <c r="AF34" s="62" t="str">
        <f>IFERROR(IF(AE34=0,"",ROUND((AE34/SUM([1]SETTINGS!$C$26:$C$29))*[1]SETTINGS!$C$30,0)),"")</f>
        <v/>
      </c>
      <c r="AG34" s="63">
        <v>32</v>
      </c>
      <c r="AH34" s="62" t="str">
        <f>IFERROR(IF(ISBLANK(AG34),"",ROUND((AG34/[1]SETTINGS!$C$31)*[1]SETTINGS!$C$32,0)),"")</f>
        <v/>
      </c>
      <c r="AI34" s="62" t="str">
        <f t="shared" si="16"/>
        <v/>
      </c>
      <c r="AJ34" s="64" t="str">
        <f t="shared" si="5"/>
        <v/>
      </c>
      <c r="AK34" s="75" t="str">
        <f t="shared" si="17"/>
        <v/>
      </c>
      <c r="AL34" s="72"/>
      <c r="AM34" s="63">
        <v>10</v>
      </c>
      <c r="AN34" s="63">
        <v>9</v>
      </c>
      <c r="AO34" s="63">
        <v>2</v>
      </c>
      <c r="AP34" s="63">
        <v>14</v>
      </c>
      <c r="AQ34" s="61">
        <f t="shared" si="18"/>
        <v>35</v>
      </c>
      <c r="AR34" s="62" t="str">
        <f>IFERROR(IF(AQ34=0,"",ROUND((AQ34/SUM([1]SETTINGS!$C$26:$C$29))*[1]SETTINGS!$C$30,0)),"")</f>
        <v/>
      </c>
      <c r="AS34" s="63">
        <v>27</v>
      </c>
      <c r="AT34" s="62" t="str">
        <f>IFERROR(IF(ISBLANK(AS34),"",ROUND((AS34/[1]SETTINGS!$C$31)*[1]SETTINGS!$C$32,0)),"")</f>
        <v/>
      </c>
      <c r="AU34" s="62" t="str">
        <f t="shared" si="19"/>
        <v/>
      </c>
      <c r="AV34" s="64" t="str">
        <f t="shared" si="6"/>
        <v/>
      </c>
      <c r="AW34" s="65" t="str">
        <f t="shared" si="20"/>
        <v/>
      </c>
      <c r="AX34" s="72"/>
      <c r="AY34" s="63">
        <v>10</v>
      </c>
      <c r="AZ34" s="63">
        <v>12</v>
      </c>
      <c r="BA34" s="63">
        <v>8</v>
      </c>
      <c r="BB34" s="63">
        <v>12</v>
      </c>
      <c r="BC34" s="61">
        <f t="shared" si="21"/>
        <v>42</v>
      </c>
      <c r="BD34" s="62" t="str">
        <f>IFERROR(IF(BC34=0,"",ROUND((BC34/SUM([1]SETTINGS!$C$26:$C$29))*[1]SETTINGS!$C$30,0)),"")</f>
        <v/>
      </c>
      <c r="BE34" s="63">
        <v>70</v>
      </c>
      <c r="BF34" s="62" t="str">
        <f>IFERROR(IF(ISBLANK(BE34),"",ROUND((BE34/[1]SETTINGS!$C$31)*[1]SETTINGS!$C$32,0)),"")</f>
        <v/>
      </c>
      <c r="BG34" s="62" t="str">
        <f t="shared" si="22"/>
        <v/>
      </c>
      <c r="BH34" s="64" t="str">
        <f t="shared" si="7"/>
        <v/>
      </c>
      <c r="BI34" s="75" t="str">
        <f t="shared" si="23"/>
        <v/>
      </c>
      <c r="BJ34" s="72"/>
      <c r="BK34" s="63">
        <v>10</v>
      </c>
      <c r="BL34" s="63">
        <v>3</v>
      </c>
      <c r="BM34" s="63">
        <v>5</v>
      </c>
      <c r="BN34" s="63">
        <v>15</v>
      </c>
      <c r="BO34" s="61">
        <f t="shared" si="24"/>
        <v>33</v>
      </c>
      <c r="BP34" s="62" t="str">
        <f>IFERROR(IF(BO34=0,"",ROUND((BO34/SUM([1]SETTINGS!$C$26:$C$29))*[1]SETTINGS!$C$30,0)),"")</f>
        <v/>
      </c>
      <c r="BQ34" s="63">
        <v>33</v>
      </c>
      <c r="BR34" s="62" t="str">
        <f>IFERROR(IF(ISBLANK(BQ34),"",ROUND((BQ34/[1]SETTINGS!$C$31)*[1]SETTINGS!$C$32,0)),"")</f>
        <v/>
      </c>
      <c r="BS34" s="62" t="str">
        <f t="shared" si="25"/>
        <v/>
      </c>
      <c r="BT34" s="64" t="str">
        <f t="shared" si="8"/>
        <v/>
      </c>
      <c r="BU34" s="65" t="str">
        <f t="shared" si="26"/>
        <v/>
      </c>
      <c r="BV34" s="72"/>
      <c r="BW34" s="63">
        <v>10</v>
      </c>
      <c r="BX34" s="63">
        <v>7</v>
      </c>
      <c r="BY34" s="63">
        <v>14</v>
      </c>
      <c r="BZ34" s="63">
        <v>8</v>
      </c>
      <c r="CA34" s="61">
        <f t="shared" si="27"/>
        <v>39</v>
      </c>
      <c r="CB34" s="62" t="str">
        <f>IFERROR(IF(CA34=0,"",ROUND((CA34/SUM([1]SETTINGS!$C$26:$C$29))*[1]SETTINGS!$C$30,0)),"")</f>
        <v/>
      </c>
      <c r="CC34" s="63">
        <v>46</v>
      </c>
      <c r="CD34" s="62" t="str">
        <f>IFERROR(IF(ISBLANK(CC34),"",ROUND((CC34/[1]SETTINGS!$C$31)*[1]SETTINGS!$C$32,0)),"")</f>
        <v/>
      </c>
      <c r="CE34" s="62" t="str">
        <f t="shared" si="28"/>
        <v/>
      </c>
      <c r="CF34" s="64" t="str">
        <f t="shared" si="9"/>
        <v/>
      </c>
      <c r="CG34" s="65" t="str">
        <f t="shared" si="29"/>
        <v/>
      </c>
      <c r="CH34" s="72"/>
      <c r="CI34" s="63">
        <v>14</v>
      </c>
      <c r="CJ34" s="63">
        <v>15</v>
      </c>
      <c r="CK34" s="63">
        <v>10</v>
      </c>
      <c r="CL34" s="63">
        <v>14</v>
      </c>
      <c r="CM34" s="61">
        <f t="shared" si="30"/>
        <v>53</v>
      </c>
      <c r="CN34" s="62" t="str">
        <f>IFERROR(IF(CM34=0,"",ROUND((CM34/SUM([1]SETTINGS!$C$26:$C$29))*[1]SETTINGS!$C$30,0)),"")</f>
        <v/>
      </c>
      <c r="CO34" s="63">
        <v>22</v>
      </c>
      <c r="CP34" s="62" t="str">
        <f>IFERROR(IF(ISBLANK(CO34),"",ROUND((CO34/[1]SETTINGS!$C$31)*[1]SETTINGS!$C$32,0)),"")</f>
        <v/>
      </c>
      <c r="CQ34" s="62" t="str">
        <f t="shared" si="31"/>
        <v/>
      </c>
      <c r="CR34" s="64" t="str">
        <f t="shared" si="10"/>
        <v/>
      </c>
      <c r="CS34" s="65" t="str">
        <f t="shared" si="32"/>
        <v/>
      </c>
      <c r="CT34" s="72"/>
      <c r="CU34" s="63">
        <v>7</v>
      </c>
      <c r="CV34" s="63">
        <v>13</v>
      </c>
      <c r="CW34" s="63">
        <v>8</v>
      </c>
      <c r="CX34" s="63">
        <v>9</v>
      </c>
      <c r="CY34" s="61">
        <f t="shared" si="33"/>
        <v>37</v>
      </c>
      <c r="CZ34" s="62" t="str">
        <f>IFERROR(IF(CY34=0,"",ROUND((CY34/SUM([1]SETTINGS!$C$26:$C$29))*[1]SETTINGS!$C$30,0)),"")</f>
        <v/>
      </c>
      <c r="DA34" s="63">
        <v>35</v>
      </c>
      <c r="DB34" s="62" t="str">
        <f>IFERROR(IF(ISBLANK(DA34),"",ROUND((DA34/[1]SETTINGS!$C$31)*[1]SETTINGS!$C$32,0)),"")</f>
        <v/>
      </c>
      <c r="DC34" s="62" t="str">
        <f t="shared" si="34"/>
        <v/>
      </c>
      <c r="DD34" s="64" t="str">
        <f t="shared" si="11"/>
        <v/>
      </c>
      <c r="DE34" s="65" t="str">
        <f t="shared" si="35"/>
        <v/>
      </c>
      <c r="DF34" s="64" t="str">
        <f t="shared" si="12"/>
        <v/>
      </c>
      <c r="DG34" s="64" t="str">
        <f>IFERROR(IF(AND(K34,W34,AI34,AU34,BG34,BS34,CE34,CQ34,DC34)="","",SUM(K34,W34,AI34,AU34,LARGE((BG34,BS34,CE34,CQ34,DC34),{1,2}))),"")</f>
        <v/>
      </c>
      <c r="DH34" s="64" t="str">
        <f>IFERROR(IF(AND(M34,Y34,AK34,AW34,,BI34,BU34,CG34,CS34,DE34)="","",SUM(M34,Y34,AK34,AW34,SMALL((BI34,BU34,CG34,CS34,DE34),{1,2}))),"")</f>
        <v/>
      </c>
      <c r="DI34" s="76" t="str">
        <f>IFERROR(pos&amp;IF(AND(MOD(ABS(18),100)&gt;10,MOD(ABS(pos),100)&lt;14),"th", CHOOSE(MOD(ABS(pos),10)+1,"th","st","nd","rd","th","th","th","th","th","th")),"")</f>
        <v/>
      </c>
      <c r="DJ34" s="15">
        <f>ROWS($B$12:$B34)</f>
        <v>23</v>
      </c>
      <c r="DK34" s="15">
        <f>IF($B34=[1]REPORT_CARD!$B$9,$DJ34,"")</f>
        <v>23</v>
      </c>
      <c r="DM34" s="74"/>
    </row>
    <row r="35" spans="1:117" ht="19.5" customHeight="1">
      <c r="A35" s="59" t="str">
        <f>IFERROR(IF(ISBLANK([1]PRIMARY_INFO!$A35),"",[1]PRIMARY_INFO!$A35),"")</f>
        <v/>
      </c>
      <c r="B35" s="59" t="str">
        <f>IFERROR(IF(ISBLANK([1]PRIMARY_INFO!$B35),"",[1]PRIMARY_INFO!$B35),"")</f>
        <v/>
      </c>
      <c r="C35" s="63">
        <v>12</v>
      </c>
      <c r="D35" s="63">
        <v>9</v>
      </c>
      <c r="E35" s="63">
        <v>4</v>
      </c>
      <c r="F35" s="63">
        <v>14</v>
      </c>
      <c r="G35" s="61">
        <f t="shared" si="36"/>
        <v>39</v>
      </c>
      <c r="H35" s="62" t="str">
        <f>IFERROR(IF(G35=0,"",ROUND((G35/SUM([1]SETTINGS!$C$26:$C$29))*[1]SETTINGS!$C$30,0)),"")</f>
        <v/>
      </c>
      <c r="I35" s="63">
        <v>16</v>
      </c>
      <c r="J35" s="62" t="str">
        <f>IFERROR(IF(ISBLANK(I35),"",ROUND((I35/[1]SETTINGS!$C$31)*[1]SETTINGS!$C$32,0)),"")</f>
        <v/>
      </c>
      <c r="K35" s="62" t="str">
        <f t="shared" si="13"/>
        <v/>
      </c>
      <c r="L35" s="64" t="str">
        <f t="shared" si="0"/>
        <v/>
      </c>
      <c r="M35" s="65" t="str">
        <f t="shared" si="14"/>
        <v/>
      </c>
      <c r="N35" s="66"/>
      <c r="O35" s="63">
        <v>5</v>
      </c>
      <c r="P35" s="63">
        <v>12</v>
      </c>
      <c r="Q35" s="63">
        <v>6</v>
      </c>
      <c r="R35" s="63">
        <v>9</v>
      </c>
      <c r="S35" s="61">
        <f t="shared" si="1"/>
        <v>32</v>
      </c>
      <c r="T35" s="62" t="str">
        <f>IFERROR(IF(S35=0,"",ROUND((S35/SUM([1]SETTINGS!$C$26:$C$29))*[1]SETTINGS!$C$30,0)),"")</f>
        <v/>
      </c>
      <c r="U35" s="63">
        <v>10</v>
      </c>
      <c r="V35" s="62" t="str">
        <f>IFERROR(IF(ISBLANK(U35),"",ROUND((U35/[1]SETTINGS!$C$31)*[1]SETTINGS!$C$32,0)),"")</f>
        <v/>
      </c>
      <c r="W35" s="62" t="str">
        <f t="shared" si="2"/>
        <v/>
      </c>
      <c r="X35" s="64" t="str">
        <f t="shared" si="3"/>
        <v/>
      </c>
      <c r="Y35" s="65" t="str">
        <f t="shared" si="4"/>
        <v/>
      </c>
      <c r="Z35" s="72"/>
      <c r="AA35" s="63">
        <v>6</v>
      </c>
      <c r="AB35" s="63">
        <v>10</v>
      </c>
      <c r="AC35" s="63">
        <v>6</v>
      </c>
      <c r="AD35" s="63">
        <v>14</v>
      </c>
      <c r="AE35" s="61">
        <f t="shared" si="15"/>
        <v>36</v>
      </c>
      <c r="AF35" s="62" t="str">
        <f>IFERROR(IF(AE35=0,"",ROUND((AE35/SUM([1]SETTINGS!$C$26:$C$29))*[1]SETTINGS!$C$30,0)),"")</f>
        <v/>
      </c>
      <c r="AG35" s="63">
        <v>17</v>
      </c>
      <c r="AH35" s="62" t="str">
        <f>IFERROR(IF(ISBLANK(AG35),"",ROUND((AG35/[1]SETTINGS!$C$31)*[1]SETTINGS!$C$32,0)),"")</f>
        <v/>
      </c>
      <c r="AI35" s="62" t="str">
        <f t="shared" si="16"/>
        <v/>
      </c>
      <c r="AJ35" s="64" t="str">
        <f t="shared" si="5"/>
        <v/>
      </c>
      <c r="AK35" s="75" t="str">
        <f t="shared" si="17"/>
        <v/>
      </c>
      <c r="AL35" s="72"/>
      <c r="AM35" s="63">
        <v>6</v>
      </c>
      <c r="AN35" s="63">
        <v>10</v>
      </c>
      <c r="AO35" s="63">
        <v>11</v>
      </c>
      <c r="AP35" s="63">
        <v>14</v>
      </c>
      <c r="AQ35" s="61">
        <f t="shared" si="18"/>
        <v>41</v>
      </c>
      <c r="AR35" s="62" t="str">
        <f>IFERROR(IF(AQ35=0,"",ROUND((AQ35/SUM([1]SETTINGS!$C$26:$C$29))*[1]SETTINGS!$C$30,0)),"")</f>
        <v/>
      </c>
      <c r="AS35" s="63">
        <v>22</v>
      </c>
      <c r="AT35" s="62" t="str">
        <f>IFERROR(IF(ISBLANK(AS35),"",ROUND((AS35/[1]SETTINGS!$C$31)*[1]SETTINGS!$C$32,0)),"")</f>
        <v/>
      </c>
      <c r="AU35" s="62" t="str">
        <f t="shared" si="19"/>
        <v/>
      </c>
      <c r="AV35" s="64" t="str">
        <f t="shared" si="6"/>
        <v/>
      </c>
      <c r="AW35" s="65" t="str">
        <f t="shared" si="20"/>
        <v/>
      </c>
      <c r="AX35" s="72"/>
      <c r="AY35" s="63">
        <v>6</v>
      </c>
      <c r="AZ35" s="63">
        <v>10</v>
      </c>
      <c r="BA35" s="63">
        <v>8</v>
      </c>
      <c r="BB35" s="63">
        <v>6</v>
      </c>
      <c r="BC35" s="61">
        <f t="shared" si="21"/>
        <v>30</v>
      </c>
      <c r="BD35" s="62" t="str">
        <f>IFERROR(IF(BC35=0,"",ROUND((BC35/SUM([1]SETTINGS!$C$26:$C$29))*[1]SETTINGS!$C$30,0)),"")</f>
        <v/>
      </c>
      <c r="BE35" s="63">
        <v>31</v>
      </c>
      <c r="BF35" s="62" t="str">
        <f>IFERROR(IF(ISBLANK(BE35),"",ROUND((BE35/[1]SETTINGS!$C$31)*[1]SETTINGS!$C$32,0)),"")</f>
        <v/>
      </c>
      <c r="BG35" s="62" t="str">
        <f t="shared" si="22"/>
        <v/>
      </c>
      <c r="BH35" s="64" t="str">
        <f t="shared" si="7"/>
        <v/>
      </c>
      <c r="BI35" s="75" t="str">
        <f t="shared" si="23"/>
        <v/>
      </c>
      <c r="BJ35" s="72"/>
      <c r="BK35" s="63">
        <v>1</v>
      </c>
      <c r="BL35" s="63">
        <v>5</v>
      </c>
      <c r="BM35" s="63">
        <v>1</v>
      </c>
      <c r="BN35" s="63">
        <v>15</v>
      </c>
      <c r="BO35" s="61">
        <f t="shared" si="24"/>
        <v>22</v>
      </c>
      <c r="BP35" s="62" t="str">
        <f>IFERROR(IF(BO35=0,"",ROUND((BO35/SUM([1]SETTINGS!$C$26:$C$29))*[1]SETTINGS!$C$30,0)),"")</f>
        <v/>
      </c>
      <c r="BQ35" s="63">
        <v>17</v>
      </c>
      <c r="BR35" s="62" t="str">
        <f>IFERROR(IF(ISBLANK(BQ35),"",ROUND((BQ35/[1]SETTINGS!$C$31)*[1]SETTINGS!$C$32,0)),"")</f>
        <v/>
      </c>
      <c r="BS35" s="62" t="str">
        <f t="shared" si="25"/>
        <v/>
      </c>
      <c r="BT35" s="64" t="str">
        <f t="shared" si="8"/>
        <v/>
      </c>
      <c r="BU35" s="65" t="str">
        <f t="shared" si="26"/>
        <v/>
      </c>
      <c r="BV35" s="72"/>
      <c r="BW35" s="63">
        <v>12</v>
      </c>
      <c r="BX35" s="63">
        <v>3</v>
      </c>
      <c r="BY35" s="63">
        <v>6</v>
      </c>
      <c r="BZ35" s="63">
        <v>7</v>
      </c>
      <c r="CA35" s="61">
        <f t="shared" si="27"/>
        <v>28</v>
      </c>
      <c r="CB35" s="62" t="str">
        <f>IFERROR(IF(CA35=0,"",ROUND((CA35/SUM([1]SETTINGS!$C$26:$C$29))*[1]SETTINGS!$C$30,0)),"")</f>
        <v/>
      </c>
      <c r="CC35" s="63">
        <v>14</v>
      </c>
      <c r="CD35" s="62" t="str">
        <f>IFERROR(IF(ISBLANK(CC35),"",ROUND((CC35/[1]SETTINGS!$C$31)*[1]SETTINGS!$C$32,0)),"")</f>
        <v/>
      </c>
      <c r="CE35" s="62" t="str">
        <f t="shared" si="28"/>
        <v/>
      </c>
      <c r="CF35" s="64" t="str">
        <f t="shared" si="9"/>
        <v/>
      </c>
      <c r="CG35" s="65" t="str">
        <f t="shared" si="29"/>
        <v/>
      </c>
      <c r="CH35" s="72"/>
      <c r="CI35" s="63">
        <v>10</v>
      </c>
      <c r="CJ35" s="63">
        <v>13</v>
      </c>
      <c r="CK35" s="63">
        <v>5</v>
      </c>
      <c r="CL35" s="63">
        <v>10</v>
      </c>
      <c r="CM35" s="61">
        <f t="shared" si="30"/>
        <v>38</v>
      </c>
      <c r="CN35" s="62" t="str">
        <f>IFERROR(IF(CM35=0,"",ROUND((CM35/SUM([1]SETTINGS!$C$26:$C$29))*[1]SETTINGS!$C$30,0)),"")</f>
        <v/>
      </c>
      <c r="CO35" s="63">
        <v>10</v>
      </c>
      <c r="CP35" s="62" t="str">
        <f>IFERROR(IF(ISBLANK(CO35),"",ROUND((CO35/[1]SETTINGS!$C$31)*[1]SETTINGS!$C$32,0)),"")</f>
        <v/>
      </c>
      <c r="CQ35" s="62" t="str">
        <f t="shared" si="31"/>
        <v/>
      </c>
      <c r="CR35" s="64" t="str">
        <f t="shared" si="10"/>
        <v/>
      </c>
      <c r="CS35" s="65" t="str">
        <f t="shared" si="32"/>
        <v/>
      </c>
      <c r="CT35" s="72"/>
      <c r="CU35" s="63">
        <v>11</v>
      </c>
      <c r="CV35" s="63">
        <v>8</v>
      </c>
      <c r="CW35" s="63">
        <v>6</v>
      </c>
      <c r="CX35" s="63">
        <v>8</v>
      </c>
      <c r="CY35" s="61">
        <f t="shared" si="33"/>
        <v>33</v>
      </c>
      <c r="CZ35" s="62" t="str">
        <f>IFERROR(IF(CY35=0,"",ROUND((CY35/SUM([1]SETTINGS!$C$26:$C$29))*[1]SETTINGS!$C$30,0)),"")</f>
        <v/>
      </c>
      <c r="DA35" s="63">
        <v>24</v>
      </c>
      <c r="DB35" s="62" t="str">
        <f>IFERROR(IF(ISBLANK(DA35),"",ROUND((DA35/[1]SETTINGS!$C$31)*[1]SETTINGS!$C$32,0)),"")</f>
        <v/>
      </c>
      <c r="DC35" s="62" t="str">
        <f t="shared" si="34"/>
        <v/>
      </c>
      <c r="DD35" s="64" t="str">
        <f t="shared" si="11"/>
        <v/>
      </c>
      <c r="DE35" s="65" t="str">
        <f t="shared" si="35"/>
        <v/>
      </c>
      <c r="DF35" s="64" t="str">
        <f t="shared" si="12"/>
        <v/>
      </c>
      <c r="DG35" s="64" t="str">
        <f>IFERROR(IF(AND(K35,W35,AI35,AU35,BG35,BS35,CE35,CQ35,DC35)="","",SUM(K35,W35,AI35,AU35,LARGE((BG35,BS35,CE35,CQ35,DC35),{1,2}))),"")</f>
        <v/>
      </c>
      <c r="DH35" s="64" t="str">
        <f>IFERROR(IF(AND(M35,Y35,AK35,AW35,,BI35,BU35,CG35,CS35,DE35)="","",SUM(M35,Y35,AK35,AW35,SMALL((BI35,BU35,CG35,CS35,DE35),{1,2}))),"")</f>
        <v/>
      </c>
      <c r="DI35" s="76" t="str">
        <f>IFERROR(pos&amp;IF(AND(MOD(ABS(18),100)&gt;10,MOD(ABS(pos),100)&lt;14),"th", CHOOSE(MOD(ABS(pos),10)+1,"th","st","nd","rd","th","th","th","th","th","th")),"")</f>
        <v/>
      </c>
      <c r="DJ35" s="15">
        <f>ROWS($B$12:$B35)</f>
        <v>24</v>
      </c>
      <c r="DK35" s="15">
        <f>IF($B35=[1]REPORT_CARD!$B$9,$DJ35,"")</f>
        <v>24</v>
      </c>
      <c r="DM35" s="74"/>
    </row>
    <row r="36" spans="1:117" ht="19.5" customHeight="1">
      <c r="A36" s="59" t="str">
        <f>IFERROR(IF(ISBLANK([1]PRIMARY_INFO!$A36),"",[1]PRIMARY_INFO!$A36),"")</f>
        <v/>
      </c>
      <c r="B36" s="59" t="str">
        <f>IFERROR(IF(ISBLANK([1]PRIMARY_INFO!$B36),"",[1]PRIMARY_INFO!$B36),"")</f>
        <v/>
      </c>
      <c r="C36" s="63">
        <v>12</v>
      </c>
      <c r="D36" s="63">
        <v>14</v>
      </c>
      <c r="E36" s="63">
        <v>10</v>
      </c>
      <c r="F36" s="63">
        <v>6</v>
      </c>
      <c r="G36" s="61">
        <f t="shared" si="36"/>
        <v>42</v>
      </c>
      <c r="H36" s="62" t="str">
        <f>IFERROR(IF(G36=0,"",ROUND((G36/SUM([1]SETTINGS!$C$26:$C$29))*[1]SETTINGS!$C$30,0)),"")</f>
        <v/>
      </c>
      <c r="I36" s="63">
        <v>30</v>
      </c>
      <c r="J36" s="62" t="str">
        <f>IFERROR(IF(ISBLANK(I36),"",ROUND((I36/[1]SETTINGS!$C$31)*[1]SETTINGS!$C$32,0)),"")</f>
        <v/>
      </c>
      <c r="K36" s="62" t="str">
        <f t="shared" si="13"/>
        <v/>
      </c>
      <c r="L36" s="64" t="str">
        <f t="shared" si="0"/>
        <v/>
      </c>
      <c r="M36" s="65" t="str">
        <f t="shared" si="14"/>
        <v/>
      </c>
      <c r="N36" s="66"/>
      <c r="O36" s="63">
        <v>8</v>
      </c>
      <c r="P36" s="63">
        <v>13</v>
      </c>
      <c r="Q36" s="63">
        <v>8</v>
      </c>
      <c r="R36" s="63">
        <v>10</v>
      </c>
      <c r="S36" s="61">
        <f t="shared" si="1"/>
        <v>39</v>
      </c>
      <c r="T36" s="62" t="str">
        <f>IFERROR(IF(S36=0,"",ROUND((S36/SUM([1]SETTINGS!$C$26:$C$29))*[1]SETTINGS!$C$30,0)),"")</f>
        <v/>
      </c>
      <c r="U36" s="63">
        <v>30</v>
      </c>
      <c r="V36" s="62" t="str">
        <f>IFERROR(IF(ISBLANK(U36),"",ROUND((U36/[1]SETTINGS!$C$31)*[1]SETTINGS!$C$32,0)),"")</f>
        <v/>
      </c>
      <c r="W36" s="62" t="str">
        <f t="shared" si="2"/>
        <v/>
      </c>
      <c r="X36" s="64" t="str">
        <f t="shared" si="3"/>
        <v/>
      </c>
      <c r="Y36" s="65" t="str">
        <f t="shared" si="4"/>
        <v/>
      </c>
      <c r="Z36" s="72"/>
      <c r="AA36" s="63">
        <v>10</v>
      </c>
      <c r="AB36" s="63">
        <v>10</v>
      </c>
      <c r="AC36" s="63">
        <v>8</v>
      </c>
      <c r="AD36" s="63">
        <v>8</v>
      </c>
      <c r="AE36" s="61">
        <f t="shared" si="15"/>
        <v>36</v>
      </c>
      <c r="AF36" s="62" t="str">
        <f>IFERROR(IF(AE36=0,"",ROUND((AE36/SUM([1]SETTINGS!$C$26:$C$29))*[1]SETTINGS!$C$30,0)),"")</f>
        <v/>
      </c>
      <c r="AG36" s="63">
        <v>38</v>
      </c>
      <c r="AH36" s="62" t="str">
        <f>IFERROR(IF(ISBLANK(AG36),"",ROUND((AG36/[1]SETTINGS!$C$31)*[1]SETTINGS!$C$32,0)),"")</f>
        <v/>
      </c>
      <c r="AI36" s="62" t="str">
        <f t="shared" si="16"/>
        <v/>
      </c>
      <c r="AJ36" s="64" t="str">
        <f t="shared" si="5"/>
        <v/>
      </c>
      <c r="AK36" s="75" t="str">
        <f t="shared" si="17"/>
        <v/>
      </c>
      <c r="AL36" s="72"/>
      <c r="AM36" s="63">
        <v>1</v>
      </c>
      <c r="AN36" s="63">
        <v>5</v>
      </c>
      <c r="AO36" s="63">
        <v>6</v>
      </c>
      <c r="AP36" s="63">
        <v>15</v>
      </c>
      <c r="AQ36" s="61">
        <f t="shared" si="18"/>
        <v>27</v>
      </c>
      <c r="AR36" s="62" t="str">
        <f>IFERROR(IF(AQ36=0,"",ROUND((AQ36/SUM([1]SETTINGS!$C$26:$C$29))*[1]SETTINGS!$C$30,0)),"")</f>
        <v/>
      </c>
      <c r="AS36" s="63">
        <v>33</v>
      </c>
      <c r="AT36" s="62" t="str">
        <f>IFERROR(IF(ISBLANK(AS36),"",ROUND((AS36/[1]SETTINGS!$C$31)*[1]SETTINGS!$C$32,0)),"")</f>
        <v/>
      </c>
      <c r="AU36" s="62" t="str">
        <f t="shared" si="19"/>
        <v/>
      </c>
      <c r="AV36" s="64" t="str">
        <f t="shared" si="6"/>
        <v/>
      </c>
      <c r="AW36" s="65" t="str">
        <f t="shared" si="20"/>
        <v/>
      </c>
      <c r="AX36" s="72"/>
      <c r="AY36" s="63">
        <v>15</v>
      </c>
      <c r="AZ36" s="63">
        <v>9</v>
      </c>
      <c r="BA36" s="63">
        <v>8</v>
      </c>
      <c r="BB36" s="63">
        <v>12</v>
      </c>
      <c r="BC36" s="61">
        <f t="shared" si="21"/>
        <v>44</v>
      </c>
      <c r="BD36" s="62" t="str">
        <f>IFERROR(IF(BC36=0,"",ROUND((BC36/SUM([1]SETTINGS!$C$26:$C$29))*[1]SETTINGS!$C$30,0)),"")</f>
        <v/>
      </c>
      <c r="BE36" s="63">
        <v>59</v>
      </c>
      <c r="BF36" s="62" t="str">
        <f>IFERROR(IF(ISBLANK(BE36),"",ROUND((BE36/[1]SETTINGS!$C$31)*[1]SETTINGS!$C$32,0)),"")</f>
        <v/>
      </c>
      <c r="BG36" s="62" t="str">
        <f t="shared" si="22"/>
        <v/>
      </c>
      <c r="BH36" s="64" t="str">
        <f t="shared" si="7"/>
        <v/>
      </c>
      <c r="BI36" s="75" t="str">
        <f t="shared" si="23"/>
        <v/>
      </c>
      <c r="BJ36" s="72"/>
      <c r="BK36" s="63">
        <v>11</v>
      </c>
      <c r="BL36" s="63">
        <v>7</v>
      </c>
      <c r="BM36" s="63">
        <v>3</v>
      </c>
      <c r="BN36" s="63">
        <v>15</v>
      </c>
      <c r="BO36" s="61">
        <f t="shared" si="24"/>
        <v>36</v>
      </c>
      <c r="BP36" s="62" t="str">
        <f>IFERROR(IF(BO36=0,"",ROUND((BO36/SUM([1]SETTINGS!$C$26:$C$29))*[1]SETTINGS!$C$30,0)),"")</f>
        <v/>
      </c>
      <c r="BQ36" s="63">
        <v>32</v>
      </c>
      <c r="BR36" s="62" t="str">
        <f>IFERROR(IF(ISBLANK(BQ36),"",ROUND((BQ36/[1]SETTINGS!$C$31)*[1]SETTINGS!$C$32,0)),"")</f>
        <v/>
      </c>
      <c r="BS36" s="62" t="str">
        <f t="shared" si="25"/>
        <v/>
      </c>
      <c r="BT36" s="64" t="str">
        <f t="shared" si="8"/>
        <v/>
      </c>
      <c r="BU36" s="65" t="str">
        <f t="shared" si="26"/>
        <v/>
      </c>
      <c r="BV36" s="72"/>
      <c r="BW36" s="63">
        <v>14</v>
      </c>
      <c r="BX36" s="63">
        <v>11</v>
      </c>
      <c r="BY36" s="63">
        <v>8</v>
      </c>
      <c r="BZ36" s="63">
        <v>3</v>
      </c>
      <c r="CA36" s="61">
        <f t="shared" si="27"/>
        <v>36</v>
      </c>
      <c r="CB36" s="62" t="str">
        <f>IFERROR(IF(CA36=0,"",ROUND((CA36/SUM([1]SETTINGS!$C$26:$C$29))*[1]SETTINGS!$C$30,0)),"")</f>
        <v/>
      </c>
      <c r="CC36" s="63">
        <v>44</v>
      </c>
      <c r="CD36" s="62" t="str">
        <f>IFERROR(IF(ISBLANK(CC36),"",ROUND((CC36/[1]SETTINGS!$C$31)*[1]SETTINGS!$C$32,0)),"")</f>
        <v/>
      </c>
      <c r="CE36" s="62" t="str">
        <f t="shared" si="28"/>
        <v/>
      </c>
      <c r="CF36" s="64" t="str">
        <f t="shared" si="9"/>
        <v/>
      </c>
      <c r="CG36" s="65" t="str">
        <f t="shared" si="29"/>
        <v/>
      </c>
      <c r="CH36" s="72"/>
      <c r="CI36" s="63">
        <v>10</v>
      </c>
      <c r="CJ36" s="63">
        <v>13</v>
      </c>
      <c r="CK36" s="63">
        <v>11</v>
      </c>
      <c r="CL36" s="63">
        <v>10</v>
      </c>
      <c r="CM36" s="61">
        <f t="shared" si="30"/>
        <v>44</v>
      </c>
      <c r="CN36" s="62" t="str">
        <f>IFERROR(IF(CM36=0,"",ROUND((CM36/SUM([1]SETTINGS!$C$26:$C$29))*[1]SETTINGS!$C$30,0)),"")</f>
        <v/>
      </c>
      <c r="CO36" s="63">
        <v>33</v>
      </c>
      <c r="CP36" s="62" t="str">
        <f>IFERROR(IF(ISBLANK(CO36),"",ROUND((CO36/[1]SETTINGS!$C$31)*[1]SETTINGS!$C$32,0)),"")</f>
        <v/>
      </c>
      <c r="CQ36" s="62" t="str">
        <f t="shared" si="31"/>
        <v/>
      </c>
      <c r="CR36" s="64" t="str">
        <f t="shared" si="10"/>
        <v/>
      </c>
      <c r="CS36" s="65" t="str">
        <f t="shared" si="32"/>
        <v/>
      </c>
      <c r="CT36" s="72"/>
      <c r="CU36" s="63">
        <v>10</v>
      </c>
      <c r="CV36" s="63">
        <v>6</v>
      </c>
      <c r="CW36" s="63">
        <v>6</v>
      </c>
      <c r="CX36" s="63">
        <v>8</v>
      </c>
      <c r="CY36" s="61">
        <f t="shared" si="33"/>
        <v>30</v>
      </c>
      <c r="CZ36" s="62" t="str">
        <f>IFERROR(IF(CY36=0,"",ROUND((CY36/SUM([1]SETTINGS!$C$26:$C$29))*[1]SETTINGS!$C$30,0)),"")</f>
        <v/>
      </c>
      <c r="DA36" s="63">
        <v>20</v>
      </c>
      <c r="DB36" s="62" t="str">
        <f>IFERROR(IF(ISBLANK(DA36),"",ROUND((DA36/[1]SETTINGS!$C$31)*[1]SETTINGS!$C$32,0)),"")</f>
        <v/>
      </c>
      <c r="DC36" s="62" t="str">
        <f t="shared" si="34"/>
        <v/>
      </c>
      <c r="DD36" s="64" t="str">
        <f t="shared" si="11"/>
        <v/>
      </c>
      <c r="DE36" s="65" t="str">
        <f t="shared" si="35"/>
        <v/>
      </c>
      <c r="DF36" s="64" t="str">
        <f t="shared" si="12"/>
        <v/>
      </c>
      <c r="DG36" s="64" t="str">
        <f>IFERROR(IF(AND(K36,W36,AI36,AU36,BG36,BS36,CE36,CQ36,DC36)="","",SUM(K36,W36,AI36,AU36,LARGE((BG36,BS36,CE36,CQ36,DC36),{1,2}))),"")</f>
        <v/>
      </c>
      <c r="DH36" s="64" t="str">
        <f>IFERROR(IF(AND(M36,Y36,AK36,AW36,,BI36,BU36,CG36,CS36,DE36)="","",SUM(M36,Y36,AK36,AW36,SMALL((BI36,BU36,CG36,CS36,DE36),{1,2}))),"")</f>
        <v/>
      </c>
      <c r="DI36" s="76" t="str">
        <f>IFERROR(pos&amp;IF(AND(MOD(ABS(18),100)&gt;10,MOD(ABS(pos),100)&lt;14),"th", CHOOSE(MOD(ABS(pos),10)+1,"th","st","nd","rd","th","th","th","th","th","th")),"")</f>
        <v/>
      </c>
      <c r="DJ36" s="15">
        <f>ROWS($B$12:$B36)</f>
        <v>25</v>
      </c>
      <c r="DK36" s="15">
        <f>IF($B36=[1]REPORT_CARD!$B$9,$DJ36,"")</f>
        <v>25</v>
      </c>
      <c r="DM36" s="74"/>
    </row>
    <row r="37" spans="1:117" ht="19.5" customHeight="1">
      <c r="A37" s="59" t="str">
        <f>IFERROR(IF(ISBLANK([1]PRIMARY_INFO!$A37),"",[1]PRIMARY_INFO!$A37),"")</f>
        <v/>
      </c>
      <c r="B37" s="59" t="str">
        <f>IFERROR(IF(ISBLANK([1]PRIMARY_INFO!$B37),"",[1]PRIMARY_INFO!$B37),"")</f>
        <v/>
      </c>
      <c r="C37" s="63">
        <v>15</v>
      </c>
      <c r="D37" s="63">
        <v>9</v>
      </c>
      <c r="E37" s="63">
        <v>14</v>
      </c>
      <c r="F37" s="63">
        <v>4</v>
      </c>
      <c r="G37" s="61">
        <f t="shared" si="36"/>
        <v>42</v>
      </c>
      <c r="H37" s="62" t="str">
        <f>IFERROR(IF(G37=0,"",ROUND((G37/SUM([1]SETTINGS!$C$26:$C$29))*[1]SETTINGS!$C$30,0)),"")</f>
        <v/>
      </c>
      <c r="I37" s="63">
        <v>28</v>
      </c>
      <c r="J37" s="62" t="str">
        <f>IFERROR(IF(ISBLANK(I37),"",ROUND((I37/[1]SETTINGS!$C$31)*[1]SETTINGS!$C$32,0)),"")</f>
        <v/>
      </c>
      <c r="K37" s="62" t="str">
        <f t="shared" si="13"/>
        <v/>
      </c>
      <c r="L37" s="64" t="str">
        <f t="shared" si="0"/>
        <v/>
      </c>
      <c r="M37" s="65" t="str">
        <f t="shared" si="14"/>
        <v/>
      </c>
      <c r="N37" s="66"/>
      <c r="O37" s="63">
        <v>5</v>
      </c>
      <c r="P37" s="63">
        <v>12</v>
      </c>
      <c r="Q37" s="63">
        <v>7</v>
      </c>
      <c r="R37" s="63">
        <v>10</v>
      </c>
      <c r="S37" s="61">
        <f t="shared" si="1"/>
        <v>34</v>
      </c>
      <c r="T37" s="62" t="str">
        <f>IFERROR(IF(S37=0,"",ROUND((S37/SUM([1]SETTINGS!$C$26:$C$29))*[1]SETTINGS!$C$30,0)),"")</f>
        <v/>
      </c>
      <c r="U37" s="63">
        <v>30</v>
      </c>
      <c r="V37" s="62" t="str">
        <f>IFERROR(IF(ISBLANK(U37),"",ROUND((U37/[1]SETTINGS!$C$31)*[1]SETTINGS!$C$32,0)),"")</f>
        <v/>
      </c>
      <c r="W37" s="62" t="str">
        <f t="shared" si="2"/>
        <v/>
      </c>
      <c r="X37" s="64" t="str">
        <f t="shared" si="3"/>
        <v/>
      </c>
      <c r="Y37" s="65" t="str">
        <f t="shared" si="4"/>
        <v/>
      </c>
      <c r="Z37" s="72"/>
      <c r="AA37" s="63">
        <v>6</v>
      </c>
      <c r="AB37" s="63">
        <v>12</v>
      </c>
      <c r="AC37" s="63">
        <v>12</v>
      </c>
      <c r="AD37" s="63">
        <v>13</v>
      </c>
      <c r="AE37" s="61">
        <f t="shared" si="15"/>
        <v>43</v>
      </c>
      <c r="AF37" s="62" t="str">
        <f>IFERROR(IF(AE37=0,"",ROUND((AE37/SUM([1]SETTINGS!$C$26:$C$29))*[1]SETTINGS!$C$30,0)),"")</f>
        <v/>
      </c>
      <c r="AG37" s="63">
        <v>59</v>
      </c>
      <c r="AH37" s="62" t="str">
        <f>IFERROR(IF(ISBLANK(AG37),"",ROUND((AG37/[1]SETTINGS!$C$31)*[1]SETTINGS!$C$32,0)),"")</f>
        <v/>
      </c>
      <c r="AI37" s="62" t="str">
        <f t="shared" si="16"/>
        <v/>
      </c>
      <c r="AJ37" s="64" t="str">
        <f t="shared" si="5"/>
        <v/>
      </c>
      <c r="AK37" s="75" t="str">
        <f t="shared" si="17"/>
        <v/>
      </c>
      <c r="AL37" s="72"/>
      <c r="AM37" s="63">
        <v>7</v>
      </c>
      <c r="AN37" s="63">
        <v>10</v>
      </c>
      <c r="AO37" s="63">
        <v>13</v>
      </c>
      <c r="AP37" s="63">
        <v>15</v>
      </c>
      <c r="AQ37" s="61">
        <f t="shared" si="18"/>
        <v>45</v>
      </c>
      <c r="AR37" s="62" t="str">
        <f>IFERROR(IF(AQ37=0,"",ROUND((AQ37/SUM([1]SETTINGS!$C$26:$C$29))*[1]SETTINGS!$C$30,0)),"")</f>
        <v/>
      </c>
      <c r="AS37" s="63">
        <v>35</v>
      </c>
      <c r="AT37" s="62" t="str">
        <f>IFERROR(IF(ISBLANK(AS37),"",ROUND((AS37/[1]SETTINGS!$C$31)*[1]SETTINGS!$C$32,0)),"")</f>
        <v/>
      </c>
      <c r="AU37" s="62" t="str">
        <f t="shared" si="19"/>
        <v/>
      </c>
      <c r="AV37" s="64" t="str">
        <f t="shared" si="6"/>
        <v/>
      </c>
      <c r="AW37" s="65" t="str">
        <f t="shared" si="20"/>
        <v/>
      </c>
      <c r="AX37" s="72"/>
      <c r="AY37" s="63">
        <v>12</v>
      </c>
      <c r="AZ37" s="63">
        <v>10</v>
      </c>
      <c r="BA37" s="63">
        <v>12</v>
      </c>
      <c r="BB37" s="63">
        <v>10</v>
      </c>
      <c r="BC37" s="61">
        <f t="shared" si="21"/>
        <v>44</v>
      </c>
      <c r="BD37" s="62" t="str">
        <f>IFERROR(IF(BC37=0,"",ROUND((BC37/SUM([1]SETTINGS!$C$26:$C$29))*[1]SETTINGS!$C$30,0)),"")</f>
        <v/>
      </c>
      <c r="BE37" s="63">
        <v>44</v>
      </c>
      <c r="BF37" s="62" t="str">
        <f>IFERROR(IF(ISBLANK(BE37),"",ROUND((BE37/[1]SETTINGS!$C$31)*[1]SETTINGS!$C$32,0)),"")</f>
        <v/>
      </c>
      <c r="BG37" s="62" t="str">
        <f t="shared" si="22"/>
        <v/>
      </c>
      <c r="BH37" s="64" t="str">
        <f t="shared" si="7"/>
        <v/>
      </c>
      <c r="BI37" s="75" t="str">
        <f t="shared" si="23"/>
        <v/>
      </c>
      <c r="BJ37" s="72"/>
      <c r="BK37" s="63">
        <v>11</v>
      </c>
      <c r="BL37" s="63">
        <v>12</v>
      </c>
      <c r="BM37" s="63">
        <v>1</v>
      </c>
      <c r="BN37" s="63">
        <v>15</v>
      </c>
      <c r="BO37" s="61">
        <f t="shared" si="24"/>
        <v>39</v>
      </c>
      <c r="BP37" s="62" t="str">
        <f>IFERROR(IF(BO37=0,"",ROUND((BO37/SUM([1]SETTINGS!$C$26:$C$29))*[1]SETTINGS!$C$30,0)),"")</f>
        <v/>
      </c>
      <c r="BQ37" s="63">
        <v>35</v>
      </c>
      <c r="BR37" s="62" t="str">
        <f>IFERROR(IF(ISBLANK(BQ37),"",ROUND((BQ37/[1]SETTINGS!$C$31)*[1]SETTINGS!$C$32,0)),"")</f>
        <v/>
      </c>
      <c r="BS37" s="62" t="str">
        <f t="shared" si="25"/>
        <v/>
      </c>
      <c r="BT37" s="64" t="str">
        <f t="shared" si="8"/>
        <v/>
      </c>
      <c r="BU37" s="65" t="str">
        <f t="shared" si="26"/>
        <v/>
      </c>
      <c r="BV37" s="72"/>
      <c r="BW37" s="63">
        <v>14</v>
      </c>
      <c r="BX37" s="63">
        <v>4</v>
      </c>
      <c r="BY37" s="63">
        <v>9</v>
      </c>
      <c r="BZ37" s="63">
        <v>13</v>
      </c>
      <c r="CA37" s="61">
        <f t="shared" si="27"/>
        <v>40</v>
      </c>
      <c r="CB37" s="62" t="str">
        <f>IFERROR(IF(CA37=0,"",ROUND((CA37/SUM([1]SETTINGS!$C$26:$C$29))*[1]SETTINGS!$C$30,0)),"")</f>
        <v/>
      </c>
      <c r="CC37" s="63">
        <v>36</v>
      </c>
      <c r="CD37" s="62" t="str">
        <f>IFERROR(IF(ISBLANK(CC37),"",ROUND((CC37/[1]SETTINGS!$C$31)*[1]SETTINGS!$C$32,0)),"")</f>
        <v/>
      </c>
      <c r="CE37" s="62" t="str">
        <f t="shared" si="28"/>
        <v/>
      </c>
      <c r="CF37" s="64" t="str">
        <f t="shared" si="9"/>
        <v/>
      </c>
      <c r="CG37" s="65" t="str">
        <f t="shared" si="29"/>
        <v/>
      </c>
      <c r="CH37" s="72"/>
      <c r="CI37" s="63">
        <v>9</v>
      </c>
      <c r="CJ37" s="63">
        <v>13</v>
      </c>
      <c r="CK37" s="63">
        <v>10</v>
      </c>
      <c r="CL37" s="63">
        <v>12</v>
      </c>
      <c r="CM37" s="61">
        <f t="shared" si="30"/>
        <v>44</v>
      </c>
      <c r="CN37" s="62" t="str">
        <f>IFERROR(IF(CM37=0,"",ROUND((CM37/SUM([1]SETTINGS!$C$26:$C$29))*[1]SETTINGS!$C$30,0)),"")</f>
        <v/>
      </c>
      <c r="CO37" s="63">
        <v>18</v>
      </c>
      <c r="CP37" s="62" t="str">
        <f>IFERROR(IF(ISBLANK(CO37),"",ROUND((CO37/[1]SETTINGS!$C$31)*[1]SETTINGS!$C$32,0)),"")</f>
        <v/>
      </c>
      <c r="CQ37" s="62" t="str">
        <f t="shared" si="31"/>
        <v/>
      </c>
      <c r="CR37" s="64" t="str">
        <f t="shared" si="10"/>
        <v/>
      </c>
      <c r="CS37" s="65" t="str">
        <f t="shared" si="32"/>
        <v/>
      </c>
      <c r="CT37" s="72"/>
      <c r="CU37" s="63">
        <v>10</v>
      </c>
      <c r="CV37" s="63">
        <v>12</v>
      </c>
      <c r="CW37" s="63">
        <v>10</v>
      </c>
      <c r="CX37" s="63">
        <v>10</v>
      </c>
      <c r="CY37" s="61">
        <f t="shared" si="33"/>
        <v>42</v>
      </c>
      <c r="CZ37" s="62" t="str">
        <f>IFERROR(IF(CY37=0,"",ROUND((CY37/SUM([1]SETTINGS!$C$26:$C$29))*[1]SETTINGS!$C$30,0)),"")</f>
        <v/>
      </c>
      <c r="DA37" s="63">
        <v>14</v>
      </c>
      <c r="DB37" s="62" t="str">
        <f>IFERROR(IF(ISBLANK(DA37),"",ROUND((DA37/[1]SETTINGS!$C$31)*[1]SETTINGS!$C$32,0)),"")</f>
        <v/>
      </c>
      <c r="DC37" s="62" t="str">
        <f t="shared" si="34"/>
        <v/>
      </c>
      <c r="DD37" s="64" t="str">
        <f t="shared" si="11"/>
        <v/>
      </c>
      <c r="DE37" s="65" t="str">
        <f t="shared" si="35"/>
        <v/>
      </c>
      <c r="DF37" s="64" t="str">
        <f t="shared" si="12"/>
        <v/>
      </c>
      <c r="DG37" s="64" t="str">
        <f>IFERROR(IF(AND(K37,W37,AI37,AU37,BG37,BS37,CE37,CQ37,DC37)="","",SUM(K37,W37,AI37,AU37,LARGE((BG37,BS37,CE37,CQ37,DC37),{1,2}))),"")</f>
        <v/>
      </c>
      <c r="DH37" s="64" t="str">
        <f>IFERROR(IF(AND(M37,Y37,AK37,AW37,,BI37,BU37,CG37,CS37,DE37)="","",SUM(M37,Y37,AK37,AW37,SMALL((BI37,BU37,CG37,CS37,DE37),{1,2}))),"")</f>
        <v/>
      </c>
      <c r="DI37" s="76" t="str">
        <f>IFERROR(pos&amp;IF(AND(MOD(ABS(18),100)&gt;10,MOD(ABS(pos),100)&lt;14),"th", CHOOSE(MOD(ABS(pos),10)+1,"th","st","nd","rd","th","th","th","th","th","th")),"")</f>
        <v/>
      </c>
      <c r="DJ37" s="15">
        <f>ROWS($B$12:$B37)</f>
        <v>26</v>
      </c>
      <c r="DK37" s="15">
        <f>IF($B37=[1]REPORT_CARD!$B$9,$DJ37,"")</f>
        <v>26</v>
      </c>
      <c r="DM37" s="74"/>
    </row>
    <row r="38" spans="1:117" ht="19.5" customHeight="1">
      <c r="A38" s="59" t="str">
        <f>IFERROR(IF(ISBLANK([1]PRIMARY_INFO!$A38),"",[1]PRIMARY_INFO!$A38),"")</f>
        <v/>
      </c>
      <c r="B38" s="59" t="str">
        <f>IFERROR(IF(ISBLANK([1]PRIMARY_INFO!$B38),"",[1]PRIMARY_INFO!$B38),"")</f>
        <v/>
      </c>
      <c r="C38" s="63">
        <v>15</v>
      </c>
      <c r="D38" s="63">
        <v>14</v>
      </c>
      <c r="E38" s="63">
        <v>9</v>
      </c>
      <c r="F38" s="63">
        <v>15</v>
      </c>
      <c r="G38" s="61">
        <f t="shared" si="36"/>
        <v>53</v>
      </c>
      <c r="H38" s="62" t="str">
        <f>IFERROR(IF(G38=0,"",ROUND((G38/SUM([1]SETTINGS!$C$26:$C$29))*[1]SETTINGS!$C$30,0)),"")</f>
        <v/>
      </c>
      <c r="I38" s="63">
        <v>56</v>
      </c>
      <c r="J38" s="62" t="str">
        <f>IFERROR(IF(ISBLANK(I38),"",ROUND((I38/[1]SETTINGS!$C$31)*[1]SETTINGS!$C$32,0)),"")</f>
        <v/>
      </c>
      <c r="K38" s="62" t="str">
        <f t="shared" si="13"/>
        <v/>
      </c>
      <c r="L38" s="64" t="str">
        <f t="shared" si="0"/>
        <v/>
      </c>
      <c r="M38" s="65" t="str">
        <f t="shared" si="14"/>
        <v/>
      </c>
      <c r="N38" s="66"/>
      <c r="O38" s="63">
        <v>11</v>
      </c>
      <c r="P38" s="63">
        <v>13</v>
      </c>
      <c r="Q38" s="63">
        <v>11</v>
      </c>
      <c r="R38" s="63">
        <v>10</v>
      </c>
      <c r="S38" s="61">
        <f t="shared" si="1"/>
        <v>45</v>
      </c>
      <c r="T38" s="62" t="str">
        <f>IFERROR(IF(S38=0,"",ROUND((S38/SUM([1]SETTINGS!$C$26:$C$29))*[1]SETTINGS!$C$30,0)),"")</f>
        <v/>
      </c>
      <c r="U38" s="63">
        <v>55</v>
      </c>
      <c r="V38" s="62" t="str">
        <f>IFERROR(IF(ISBLANK(U38),"",ROUND((U38/[1]SETTINGS!$C$31)*[1]SETTINGS!$C$32,0)),"")</f>
        <v/>
      </c>
      <c r="W38" s="62" t="str">
        <f t="shared" si="2"/>
        <v/>
      </c>
      <c r="X38" s="64" t="str">
        <f t="shared" si="3"/>
        <v/>
      </c>
      <c r="Y38" s="65" t="str">
        <f t="shared" si="4"/>
        <v/>
      </c>
      <c r="Z38" s="72"/>
      <c r="AA38" s="63">
        <v>10</v>
      </c>
      <c r="AB38" s="63">
        <v>10</v>
      </c>
      <c r="AC38" s="63">
        <v>10</v>
      </c>
      <c r="AD38" s="63">
        <v>12</v>
      </c>
      <c r="AE38" s="61">
        <f t="shared" si="15"/>
        <v>42</v>
      </c>
      <c r="AF38" s="62" t="str">
        <f>IFERROR(IF(AE38=0,"",ROUND((AE38/SUM([1]SETTINGS!$C$26:$C$29))*[1]SETTINGS!$C$30,0)),"")</f>
        <v/>
      </c>
      <c r="AG38" s="63">
        <v>61</v>
      </c>
      <c r="AH38" s="62" t="str">
        <f>IFERROR(IF(ISBLANK(AG38),"",ROUND((AG38/[1]SETTINGS!$C$31)*[1]SETTINGS!$C$32,0)),"")</f>
        <v/>
      </c>
      <c r="AI38" s="62" t="str">
        <f t="shared" si="16"/>
        <v/>
      </c>
      <c r="AJ38" s="64" t="str">
        <f t="shared" si="5"/>
        <v/>
      </c>
      <c r="AK38" s="75" t="str">
        <f t="shared" si="17"/>
        <v/>
      </c>
      <c r="AL38" s="72"/>
      <c r="AM38" s="63">
        <v>10</v>
      </c>
      <c r="AN38" s="63">
        <v>8</v>
      </c>
      <c r="AO38" s="63">
        <v>12</v>
      </c>
      <c r="AP38" s="63">
        <v>14</v>
      </c>
      <c r="AQ38" s="61">
        <f t="shared" si="18"/>
        <v>44</v>
      </c>
      <c r="AR38" s="62" t="str">
        <f>IFERROR(IF(AQ38=0,"",ROUND((AQ38/SUM([1]SETTINGS!$C$26:$C$29))*[1]SETTINGS!$C$30,0)),"")</f>
        <v/>
      </c>
      <c r="AS38" s="63">
        <v>59</v>
      </c>
      <c r="AT38" s="62" t="str">
        <f>IFERROR(IF(ISBLANK(AS38),"",ROUND((AS38/[1]SETTINGS!$C$31)*[1]SETTINGS!$C$32,0)),"")</f>
        <v/>
      </c>
      <c r="AU38" s="62" t="str">
        <f t="shared" si="19"/>
        <v/>
      </c>
      <c r="AV38" s="64" t="str">
        <f t="shared" si="6"/>
        <v/>
      </c>
      <c r="AW38" s="65" t="str">
        <f t="shared" si="20"/>
        <v/>
      </c>
      <c r="AX38" s="72"/>
      <c r="AY38" s="63">
        <v>12</v>
      </c>
      <c r="AZ38" s="63">
        <v>8</v>
      </c>
      <c r="BA38" s="63">
        <v>11</v>
      </c>
      <c r="BB38" s="63">
        <v>11</v>
      </c>
      <c r="BC38" s="61">
        <f t="shared" si="21"/>
        <v>42</v>
      </c>
      <c r="BD38" s="62" t="str">
        <f>IFERROR(IF(BC38=0,"",ROUND((BC38/SUM([1]SETTINGS!$C$26:$C$29))*[1]SETTINGS!$C$30,0)),"")</f>
        <v/>
      </c>
      <c r="BE38" s="63">
        <v>74</v>
      </c>
      <c r="BF38" s="62" t="str">
        <f>IFERROR(IF(ISBLANK(BE38),"",ROUND((BE38/[1]SETTINGS!$C$31)*[1]SETTINGS!$C$32,0)),"")</f>
        <v/>
      </c>
      <c r="BG38" s="62" t="str">
        <f t="shared" si="22"/>
        <v/>
      </c>
      <c r="BH38" s="64" t="str">
        <f t="shared" si="7"/>
        <v/>
      </c>
      <c r="BI38" s="75" t="str">
        <f t="shared" si="23"/>
        <v/>
      </c>
      <c r="BJ38" s="72"/>
      <c r="BK38" s="63">
        <v>15</v>
      </c>
      <c r="BL38" s="63">
        <v>15</v>
      </c>
      <c r="BM38" s="63">
        <v>6</v>
      </c>
      <c r="BN38" s="63">
        <v>15</v>
      </c>
      <c r="BO38" s="61">
        <f t="shared" si="24"/>
        <v>51</v>
      </c>
      <c r="BP38" s="62" t="str">
        <f>IFERROR(IF(BO38=0,"",ROUND((BO38/SUM([1]SETTINGS!$C$26:$C$29))*[1]SETTINGS!$C$30,0)),"")</f>
        <v/>
      </c>
      <c r="BQ38" s="63">
        <v>55</v>
      </c>
      <c r="BR38" s="62" t="str">
        <f>IFERROR(IF(ISBLANK(BQ38),"",ROUND((BQ38/[1]SETTINGS!$C$31)*[1]SETTINGS!$C$32,0)),"")</f>
        <v/>
      </c>
      <c r="BS38" s="62" t="str">
        <f t="shared" si="25"/>
        <v/>
      </c>
      <c r="BT38" s="64" t="str">
        <f t="shared" si="8"/>
        <v/>
      </c>
      <c r="BU38" s="65" t="str">
        <f t="shared" si="26"/>
        <v/>
      </c>
      <c r="BV38" s="72"/>
      <c r="BW38" s="63">
        <v>14</v>
      </c>
      <c r="BX38" s="63">
        <v>13</v>
      </c>
      <c r="BY38" s="63">
        <v>14</v>
      </c>
      <c r="BZ38" s="63">
        <v>15</v>
      </c>
      <c r="CA38" s="61">
        <f t="shared" si="27"/>
        <v>56</v>
      </c>
      <c r="CB38" s="62" t="str">
        <f>IFERROR(IF(CA38=0,"",ROUND((CA38/SUM([1]SETTINGS!$C$26:$C$29))*[1]SETTINGS!$C$30,0)),"")</f>
        <v/>
      </c>
      <c r="CC38" s="63">
        <v>69</v>
      </c>
      <c r="CD38" s="62" t="str">
        <f>IFERROR(IF(ISBLANK(CC38),"",ROUND((CC38/[1]SETTINGS!$C$31)*[1]SETTINGS!$C$32,0)),"")</f>
        <v/>
      </c>
      <c r="CE38" s="62" t="str">
        <f t="shared" si="28"/>
        <v/>
      </c>
      <c r="CF38" s="64" t="str">
        <f t="shared" si="9"/>
        <v/>
      </c>
      <c r="CG38" s="65" t="str">
        <f t="shared" si="29"/>
        <v/>
      </c>
      <c r="CH38" s="72"/>
      <c r="CI38" s="63">
        <v>15</v>
      </c>
      <c r="CJ38" s="63">
        <v>13</v>
      </c>
      <c r="CK38" s="63">
        <v>9</v>
      </c>
      <c r="CL38" s="63">
        <v>13</v>
      </c>
      <c r="CM38" s="61">
        <f t="shared" si="30"/>
        <v>50</v>
      </c>
      <c r="CN38" s="62" t="str">
        <f>IFERROR(IF(CM38=0,"",ROUND((CM38/SUM([1]SETTINGS!$C$26:$C$29))*[1]SETTINGS!$C$30,0)),"")</f>
        <v/>
      </c>
      <c r="CO38" s="63">
        <v>43</v>
      </c>
      <c r="CP38" s="62" t="str">
        <f>IFERROR(IF(ISBLANK(CO38),"",ROUND((CO38/[1]SETTINGS!$C$31)*[1]SETTINGS!$C$32,0)),"")</f>
        <v/>
      </c>
      <c r="CQ38" s="62" t="str">
        <f t="shared" si="31"/>
        <v/>
      </c>
      <c r="CR38" s="64" t="str">
        <f t="shared" si="10"/>
        <v/>
      </c>
      <c r="CS38" s="65" t="str">
        <f t="shared" si="32"/>
        <v/>
      </c>
      <c r="CT38" s="72"/>
      <c r="CU38" s="63">
        <v>12</v>
      </c>
      <c r="CV38" s="63">
        <v>11</v>
      </c>
      <c r="CW38" s="63">
        <v>14</v>
      </c>
      <c r="CX38" s="63">
        <v>11</v>
      </c>
      <c r="CY38" s="61">
        <f t="shared" si="33"/>
        <v>48</v>
      </c>
      <c r="CZ38" s="62" t="str">
        <f>IFERROR(IF(CY38=0,"",ROUND((CY38/SUM([1]SETTINGS!$C$26:$C$29))*[1]SETTINGS!$C$30,0)),"")</f>
        <v/>
      </c>
      <c r="DA38" s="63">
        <v>37</v>
      </c>
      <c r="DB38" s="62" t="str">
        <f>IFERROR(IF(ISBLANK(DA38),"",ROUND((DA38/[1]SETTINGS!$C$31)*[1]SETTINGS!$C$32,0)),"")</f>
        <v/>
      </c>
      <c r="DC38" s="62" t="str">
        <f t="shared" si="34"/>
        <v/>
      </c>
      <c r="DD38" s="64" t="str">
        <f t="shared" si="11"/>
        <v/>
      </c>
      <c r="DE38" s="65" t="str">
        <f t="shared" si="35"/>
        <v/>
      </c>
      <c r="DF38" s="64" t="str">
        <f t="shared" si="12"/>
        <v/>
      </c>
      <c r="DG38" s="64" t="str">
        <f>IFERROR(IF(AND(K38,W38,AI38,AU38,BG38,BS38,CE38,CQ38,DC38)="","",SUM(K38,W38,AI38,AU38,LARGE((BG38,BS38,CE38,CQ38,DC38),{1,2}))),"")</f>
        <v/>
      </c>
      <c r="DH38" s="64" t="str">
        <f>IFERROR(IF(AND(M38,Y38,AK38,AW38,,BI38,BU38,CG38,CS38,DE38)="","",SUM(M38,Y38,AK38,AW38,SMALL((BI38,BU38,CG38,CS38,DE38),{1,2}))),"")</f>
        <v/>
      </c>
      <c r="DI38" s="76" t="str">
        <f>IFERROR(pos&amp;IF(AND(MOD(ABS(18),100)&gt;10,MOD(ABS(pos),100)&lt;14),"th", CHOOSE(MOD(ABS(pos),10)+1,"th","st","nd","rd","th","th","th","th","th","th")),"")</f>
        <v/>
      </c>
      <c r="DJ38" s="15">
        <f>ROWS($B$12:$B38)</f>
        <v>27</v>
      </c>
      <c r="DK38" s="15">
        <f>IF($B38=[1]REPORT_CARD!$B$9,$DJ38,"")</f>
        <v>27</v>
      </c>
      <c r="DM38" s="74"/>
    </row>
    <row r="39" spans="1:117" ht="19.5" customHeight="1">
      <c r="A39" s="59" t="str">
        <f>IFERROR(IF(ISBLANK([1]PRIMARY_INFO!$A39),"",[1]PRIMARY_INFO!$A39),"")</f>
        <v/>
      </c>
      <c r="B39" s="59" t="str">
        <f>IFERROR(IF(ISBLANK([1]PRIMARY_INFO!$B39),"",[1]PRIMARY_INFO!$B39),"")</f>
        <v/>
      </c>
      <c r="C39" s="63">
        <v>9</v>
      </c>
      <c r="D39" s="63">
        <v>14</v>
      </c>
      <c r="E39" s="63">
        <v>9</v>
      </c>
      <c r="F39" s="63">
        <v>12</v>
      </c>
      <c r="G39" s="61">
        <f t="shared" si="36"/>
        <v>44</v>
      </c>
      <c r="H39" s="62" t="str">
        <f>IFERROR(IF(G39=0,"",ROUND((G39/SUM([1]SETTINGS!$C$26:$C$29))*[1]SETTINGS!$C$30,0)),"")</f>
        <v/>
      </c>
      <c r="I39" s="63">
        <v>49</v>
      </c>
      <c r="J39" s="62" t="str">
        <f>IFERROR(IF(ISBLANK(I39),"",ROUND((I39/[1]SETTINGS!$C$31)*[1]SETTINGS!$C$32,0)),"")</f>
        <v/>
      </c>
      <c r="K39" s="62" t="str">
        <f t="shared" si="13"/>
        <v/>
      </c>
      <c r="L39" s="64" t="str">
        <f t="shared" si="0"/>
        <v/>
      </c>
      <c r="M39" s="65" t="str">
        <f t="shared" si="14"/>
        <v/>
      </c>
      <c r="N39" s="66"/>
      <c r="O39" s="63">
        <v>7</v>
      </c>
      <c r="P39" s="63">
        <v>14</v>
      </c>
      <c r="Q39" s="63">
        <v>5</v>
      </c>
      <c r="R39" s="63">
        <v>8</v>
      </c>
      <c r="S39" s="61">
        <f t="shared" si="1"/>
        <v>34</v>
      </c>
      <c r="T39" s="62" t="str">
        <f>IFERROR(IF(S39=0,"",ROUND((S39/SUM([1]SETTINGS!$C$26:$C$29))*[1]SETTINGS!$C$30,0)),"")</f>
        <v/>
      </c>
      <c r="U39" s="63">
        <v>51</v>
      </c>
      <c r="V39" s="62" t="str">
        <f>IFERROR(IF(ISBLANK(U39),"",ROUND((U39/[1]SETTINGS!$C$31)*[1]SETTINGS!$C$32,0)),"")</f>
        <v/>
      </c>
      <c r="W39" s="62" t="str">
        <f t="shared" si="2"/>
        <v/>
      </c>
      <c r="X39" s="64" t="str">
        <f t="shared" si="3"/>
        <v/>
      </c>
      <c r="Y39" s="65" t="str">
        <f t="shared" si="4"/>
        <v/>
      </c>
      <c r="Z39" s="72"/>
      <c r="AA39" s="63">
        <v>6</v>
      </c>
      <c r="AB39" s="63">
        <v>10</v>
      </c>
      <c r="AC39" s="63">
        <v>10</v>
      </c>
      <c r="AD39" s="63">
        <v>10</v>
      </c>
      <c r="AE39" s="61">
        <f t="shared" si="15"/>
        <v>36</v>
      </c>
      <c r="AF39" s="62" t="str">
        <f>IFERROR(IF(AE39=0,"",ROUND((AE39/SUM([1]SETTINGS!$C$26:$C$29))*[1]SETTINGS!$C$30,0)),"")</f>
        <v/>
      </c>
      <c r="AG39" s="63">
        <v>43</v>
      </c>
      <c r="AH39" s="62" t="str">
        <f>IFERROR(IF(ISBLANK(AG39),"",ROUND((AG39/[1]SETTINGS!$C$31)*[1]SETTINGS!$C$32,0)),"")</f>
        <v/>
      </c>
      <c r="AI39" s="62" t="str">
        <f t="shared" si="16"/>
        <v/>
      </c>
      <c r="AJ39" s="64" t="str">
        <f t="shared" si="5"/>
        <v/>
      </c>
      <c r="AK39" s="75" t="str">
        <f t="shared" si="17"/>
        <v/>
      </c>
      <c r="AL39" s="72"/>
      <c r="AM39" s="63">
        <v>5</v>
      </c>
      <c r="AN39" s="63">
        <v>8</v>
      </c>
      <c r="AO39" s="63">
        <v>10</v>
      </c>
      <c r="AP39" s="63">
        <v>15</v>
      </c>
      <c r="AQ39" s="61">
        <f t="shared" si="18"/>
        <v>38</v>
      </c>
      <c r="AR39" s="62" t="str">
        <f>IFERROR(IF(AQ39=0,"",ROUND((AQ39/SUM([1]SETTINGS!$C$26:$C$29))*[1]SETTINGS!$C$30,0)),"")</f>
        <v/>
      </c>
      <c r="AS39" s="63">
        <v>33</v>
      </c>
      <c r="AT39" s="62" t="str">
        <f>IFERROR(IF(ISBLANK(AS39),"",ROUND((AS39/[1]SETTINGS!$C$31)*[1]SETTINGS!$C$32,0)),"")</f>
        <v/>
      </c>
      <c r="AU39" s="62" t="str">
        <f t="shared" si="19"/>
        <v/>
      </c>
      <c r="AV39" s="64" t="str">
        <f t="shared" si="6"/>
        <v/>
      </c>
      <c r="AW39" s="65" t="str">
        <f t="shared" si="20"/>
        <v/>
      </c>
      <c r="AX39" s="72"/>
      <c r="AY39" s="63">
        <v>12</v>
      </c>
      <c r="AZ39" s="63">
        <v>12</v>
      </c>
      <c r="BA39" s="63">
        <v>12</v>
      </c>
      <c r="BB39" s="63">
        <v>10</v>
      </c>
      <c r="BC39" s="61">
        <f t="shared" si="21"/>
        <v>46</v>
      </c>
      <c r="BD39" s="62" t="str">
        <f>IFERROR(IF(BC39=0,"",ROUND((BC39/SUM([1]SETTINGS!$C$26:$C$29))*[1]SETTINGS!$C$30,0)),"")</f>
        <v/>
      </c>
      <c r="BE39" s="63">
        <v>74</v>
      </c>
      <c r="BF39" s="62" t="str">
        <f>IFERROR(IF(ISBLANK(BE39),"",ROUND((BE39/[1]SETTINGS!$C$31)*[1]SETTINGS!$C$32,0)),"")</f>
        <v/>
      </c>
      <c r="BG39" s="62" t="str">
        <f t="shared" si="22"/>
        <v/>
      </c>
      <c r="BH39" s="64" t="str">
        <f t="shared" si="7"/>
        <v/>
      </c>
      <c r="BI39" s="75" t="str">
        <f t="shared" si="23"/>
        <v/>
      </c>
      <c r="BJ39" s="72"/>
      <c r="BK39" s="63">
        <v>12</v>
      </c>
      <c r="BL39" s="63">
        <v>4</v>
      </c>
      <c r="BM39" s="63">
        <v>2</v>
      </c>
      <c r="BN39" s="63">
        <v>15</v>
      </c>
      <c r="BO39" s="61">
        <f t="shared" si="24"/>
        <v>33</v>
      </c>
      <c r="BP39" s="62" t="str">
        <f>IFERROR(IF(BO39=0,"",ROUND((BO39/SUM([1]SETTINGS!$C$26:$C$29))*[1]SETTINGS!$C$30,0)),"")</f>
        <v/>
      </c>
      <c r="BQ39" s="63">
        <v>46</v>
      </c>
      <c r="BR39" s="62" t="str">
        <f>IFERROR(IF(ISBLANK(BQ39),"",ROUND((BQ39/[1]SETTINGS!$C$31)*[1]SETTINGS!$C$32,0)),"")</f>
        <v/>
      </c>
      <c r="BS39" s="62" t="str">
        <f t="shared" si="25"/>
        <v/>
      </c>
      <c r="BT39" s="64" t="str">
        <f t="shared" si="8"/>
        <v/>
      </c>
      <c r="BU39" s="65" t="str">
        <f t="shared" si="26"/>
        <v/>
      </c>
      <c r="BV39" s="72"/>
      <c r="BW39" s="63">
        <v>8</v>
      </c>
      <c r="BX39" s="63">
        <v>6</v>
      </c>
      <c r="BY39" s="63">
        <v>11</v>
      </c>
      <c r="BZ39" s="63">
        <v>10</v>
      </c>
      <c r="CA39" s="61">
        <f t="shared" si="27"/>
        <v>35</v>
      </c>
      <c r="CB39" s="62" t="str">
        <f>IFERROR(IF(CA39=0,"",ROUND((CA39/SUM([1]SETTINGS!$C$26:$C$29))*[1]SETTINGS!$C$30,0)),"")</f>
        <v/>
      </c>
      <c r="CC39" s="63">
        <v>52</v>
      </c>
      <c r="CD39" s="62" t="str">
        <f>IFERROR(IF(ISBLANK(CC39),"",ROUND((CC39/[1]SETTINGS!$C$31)*[1]SETTINGS!$C$32,0)),"")</f>
        <v/>
      </c>
      <c r="CE39" s="62" t="str">
        <f t="shared" si="28"/>
        <v/>
      </c>
      <c r="CF39" s="64" t="str">
        <f t="shared" si="9"/>
        <v/>
      </c>
      <c r="CG39" s="65" t="str">
        <f t="shared" si="29"/>
        <v/>
      </c>
      <c r="CH39" s="72"/>
      <c r="CI39" s="63">
        <v>8</v>
      </c>
      <c r="CJ39" s="63">
        <v>13</v>
      </c>
      <c r="CK39" s="63">
        <v>10</v>
      </c>
      <c r="CL39" s="63">
        <v>12</v>
      </c>
      <c r="CM39" s="61">
        <f t="shared" si="30"/>
        <v>43</v>
      </c>
      <c r="CN39" s="62" t="str">
        <f>IFERROR(IF(CM39=0,"",ROUND((CM39/SUM([1]SETTINGS!$C$26:$C$29))*[1]SETTINGS!$C$30,0)),"")</f>
        <v/>
      </c>
      <c r="CO39" s="63">
        <v>31</v>
      </c>
      <c r="CP39" s="62" t="str">
        <f>IFERROR(IF(ISBLANK(CO39),"",ROUND((CO39/[1]SETTINGS!$C$31)*[1]SETTINGS!$C$32,0)),"")</f>
        <v/>
      </c>
      <c r="CQ39" s="62" t="str">
        <f t="shared" si="31"/>
        <v/>
      </c>
      <c r="CR39" s="64" t="str">
        <f t="shared" si="10"/>
        <v/>
      </c>
      <c r="CS39" s="65" t="str">
        <f t="shared" si="32"/>
        <v/>
      </c>
      <c r="CT39" s="72"/>
      <c r="CU39" s="63">
        <v>10</v>
      </c>
      <c r="CV39" s="63">
        <v>9</v>
      </c>
      <c r="CW39" s="63">
        <v>7</v>
      </c>
      <c r="CX39" s="63">
        <v>8</v>
      </c>
      <c r="CY39" s="61">
        <f t="shared" si="33"/>
        <v>34</v>
      </c>
      <c r="CZ39" s="62" t="str">
        <f>IFERROR(IF(CY39=0,"",ROUND((CY39/SUM([1]SETTINGS!$C$26:$C$29))*[1]SETTINGS!$C$30,0)),"")</f>
        <v/>
      </c>
      <c r="DA39" s="63">
        <v>22</v>
      </c>
      <c r="DB39" s="62" t="str">
        <f>IFERROR(IF(ISBLANK(DA39),"",ROUND((DA39/[1]SETTINGS!$C$31)*[1]SETTINGS!$C$32,0)),"")</f>
        <v/>
      </c>
      <c r="DC39" s="62" t="str">
        <f t="shared" si="34"/>
        <v/>
      </c>
      <c r="DD39" s="64" t="str">
        <f t="shared" si="11"/>
        <v/>
      </c>
      <c r="DE39" s="65" t="str">
        <f t="shared" si="35"/>
        <v/>
      </c>
      <c r="DF39" s="64" t="str">
        <f t="shared" si="12"/>
        <v/>
      </c>
      <c r="DG39" s="64" t="str">
        <f>IFERROR(IF(AND(K39,W39,AI39,AU39,BG39,BS39,CE39,CQ39,DC39)="","",SUM(K39,W39,AI39,AU39,LARGE((BG39,BS39,CE39,CQ39,DC39),{1,2}))),"")</f>
        <v/>
      </c>
      <c r="DH39" s="64" t="str">
        <f>IFERROR(IF(AND(M39,Y39,AK39,AW39,,BI39,BU39,CG39,CS39,DE39)="","",SUM(M39,Y39,AK39,AW39,SMALL((BI39,BU39,CG39,CS39,DE39),{1,2}))),"")</f>
        <v/>
      </c>
      <c r="DI39" s="76" t="str">
        <f>IFERROR(pos&amp;IF(AND(MOD(ABS(18),100)&gt;10,MOD(ABS(pos),100)&lt;14),"th", CHOOSE(MOD(ABS(pos),10)+1,"th","st","nd","rd","th","th","th","th","th","th")),"")</f>
        <v/>
      </c>
      <c r="DJ39" s="15">
        <f>ROWS($B$12:$B39)</f>
        <v>28</v>
      </c>
      <c r="DK39" s="15">
        <f>IF($B39=[1]REPORT_CARD!$B$9,$DJ39,"")</f>
        <v>28</v>
      </c>
      <c r="DM39" s="74"/>
    </row>
    <row r="40" spans="1:117" ht="19.5" customHeight="1">
      <c r="A40" s="59" t="str">
        <f>IFERROR(IF(ISBLANK([1]PRIMARY_INFO!$A40),"",[1]PRIMARY_INFO!$A40),"")</f>
        <v/>
      </c>
      <c r="B40" s="59" t="str">
        <f>IFERROR(IF(ISBLANK([1]PRIMARY_INFO!$B40),"",[1]PRIMARY_INFO!$B40),"")</f>
        <v/>
      </c>
      <c r="C40" s="63">
        <v>14</v>
      </c>
      <c r="D40" s="63">
        <v>3</v>
      </c>
      <c r="E40" s="63">
        <v>14</v>
      </c>
      <c r="F40" s="63">
        <v>15</v>
      </c>
      <c r="G40" s="61">
        <f t="shared" si="36"/>
        <v>46</v>
      </c>
      <c r="H40" s="62" t="str">
        <f>IFERROR(IF(G40=0,"",ROUND((G40/SUM([1]SETTINGS!$C$26:$C$29))*[1]SETTINGS!$C$30,0)),"")</f>
        <v/>
      </c>
      <c r="I40" s="63">
        <v>33</v>
      </c>
      <c r="J40" s="62" t="str">
        <f>IFERROR(IF(ISBLANK(I40),"",ROUND((I40/[1]SETTINGS!$C$31)*[1]SETTINGS!$C$32,0)),"")</f>
        <v/>
      </c>
      <c r="K40" s="62" t="str">
        <f t="shared" si="13"/>
        <v/>
      </c>
      <c r="L40" s="64" t="str">
        <f t="shared" si="0"/>
        <v/>
      </c>
      <c r="M40" s="65" t="str">
        <f t="shared" si="14"/>
        <v/>
      </c>
      <c r="N40" s="66"/>
      <c r="O40" s="63">
        <v>10</v>
      </c>
      <c r="P40" s="63">
        <v>13</v>
      </c>
      <c r="Q40" s="63">
        <v>5</v>
      </c>
      <c r="R40" s="63">
        <v>14</v>
      </c>
      <c r="S40" s="61">
        <f t="shared" si="1"/>
        <v>42</v>
      </c>
      <c r="T40" s="62" t="str">
        <f>IFERROR(IF(S40=0,"",ROUND((S40/SUM([1]SETTINGS!$C$26:$C$29))*[1]SETTINGS!$C$30,0)),"")</f>
        <v/>
      </c>
      <c r="U40" s="63">
        <v>24</v>
      </c>
      <c r="V40" s="62" t="str">
        <f>IFERROR(IF(ISBLANK(U40),"",ROUND((U40/[1]SETTINGS!$C$31)*[1]SETTINGS!$C$32,0)),"")</f>
        <v/>
      </c>
      <c r="W40" s="62" t="str">
        <f t="shared" si="2"/>
        <v/>
      </c>
      <c r="X40" s="64" t="str">
        <f t="shared" si="3"/>
        <v/>
      </c>
      <c r="Y40" s="65" t="str">
        <f t="shared" si="4"/>
        <v/>
      </c>
      <c r="Z40" s="72"/>
      <c r="AA40" s="63">
        <v>14</v>
      </c>
      <c r="AB40" s="63">
        <v>10</v>
      </c>
      <c r="AC40" s="63">
        <v>12</v>
      </c>
      <c r="AD40" s="63">
        <v>6</v>
      </c>
      <c r="AE40" s="61">
        <f t="shared" si="15"/>
        <v>42</v>
      </c>
      <c r="AF40" s="62" t="str">
        <f>IFERROR(IF(AE40=0,"",ROUND((AE40/SUM([1]SETTINGS!$C$26:$C$29))*[1]SETTINGS!$C$30,0)),"")</f>
        <v/>
      </c>
      <c r="AG40" s="63">
        <v>41</v>
      </c>
      <c r="AH40" s="62" t="str">
        <f>IFERROR(IF(ISBLANK(AG40),"",ROUND((AG40/[1]SETTINGS!$C$31)*[1]SETTINGS!$C$32,0)),"")</f>
        <v/>
      </c>
      <c r="AI40" s="62" t="str">
        <f t="shared" si="16"/>
        <v/>
      </c>
      <c r="AJ40" s="64" t="str">
        <f t="shared" si="5"/>
        <v/>
      </c>
      <c r="AK40" s="75" t="str">
        <f t="shared" si="17"/>
        <v/>
      </c>
      <c r="AL40" s="72"/>
      <c r="AM40" s="63">
        <v>12</v>
      </c>
      <c r="AN40" s="63">
        <v>11</v>
      </c>
      <c r="AO40" s="63">
        <v>6</v>
      </c>
      <c r="AP40" s="63">
        <v>15</v>
      </c>
      <c r="AQ40" s="61">
        <f t="shared" si="18"/>
        <v>44</v>
      </c>
      <c r="AR40" s="62" t="str">
        <f>IFERROR(IF(AQ40=0,"",ROUND((AQ40/SUM([1]SETTINGS!$C$26:$C$29))*[1]SETTINGS!$C$30,0)),"")</f>
        <v/>
      </c>
      <c r="AS40" s="63">
        <v>33</v>
      </c>
      <c r="AT40" s="62" t="str">
        <f>IFERROR(IF(ISBLANK(AS40),"",ROUND((AS40/[1]SETTINGS!$C$31)*[1]SETTINGS!$C$32,0)),"")</f>
        <v/>
      </c>
      <c r="AU40" s="62" t="str">
        <f t="shared" si="19"/>
        <v/>
      </c>
      <c r="AV40" s="64" t="str">
        <f t="shared" si="6"/>
        <v/>
      </c>
      <c r="AW40" s="65" t="str">
        <f t="shared" si="20"/>
        <v/>
      </c>
      <c r="AX40" s="72"/>
      <c r="AY40" s="63">
        <v>11</v>
      </c>
      <c r="AZ40" s="63">
        <v>12</v>
      </c>
      <c r="BA40" s="63">
        <v>15</v>
      </c>
      <c r="BB40" s="63">
        <v>10</v>
      </c>
      <c r="BC40" s="61">
        <f t="shared" si="21"/>
        <v>48</v>
      </c>
      <c r="BD40" s="62" t="str">
        <f>IFERROR(IF(BC40=0,"",ROUND((BC40/SUM([1]SETTINGS!$C$26:$C$29))*[1]SETTINGS!$C$30,0)),"")</f>
        <v/>
      </c>
      <c r="BE40" s="63">
        <v>41</v>
      </c>
      <c r="BF40" s="62" t="str">
        <f>IFERROR(IF(ISBLANK(BE40),"",ROUND((BE40/[1]SETTINGS!$C$31)*[1]SETTINGS!$C$32,0)),"")</f>
        <v/>
      </c>
      <c r="BG40" s="62" t="str">
        <f t="shared" si="22"/>
        <v/>
      </c>
      <c r="BH40" s="64" t="str">
        <f t="shared" si="7"/>
        <v/>
      </c>
      <c r="BI40" s="75" t="str">
        <f t="shared" si="23"/>
        <v/>
      </c>
      <c r="BJ40" s="72"/>
      <c r="BK40" s="63">
        <v>11</v>
      </c>
      <c r="BL40" s="63">
        <v>8</v>
      </c>
      <c r="BM40" s="63">
        <v>1</v>
      </c>
      <c r="BN40" s="63">
        <v>15</v>
      </c>
      <c r="BO40" s="61">
        <f t="shared" si="24"/>
        <v>35</v>
      </c>
      <c r="BP40" s="62" t="str">
        <f>IFERROR(IF(BO40=0,"",ROUND((BO40/SUM([1]SETTINGS!$C$26:$C$29))*[1]SETTINGS!$C$30,0)),"")</f>
        <v/>
      </c>
      <c r="BQ40" s="63">
        <v>23</v>
      </c>
      <c r="BR40" s="62" t="str">
        <f>IFERROR(IF(ISBLANK(BQ40),"",ROUND((BQ40/[1]SETTINGS!$C$31)*[1]SETTINGS!$C$32,0)),"")</f>
        <v/>
      </c>
      <c r="BS40" s="62" t="str">
        <f t="shared" si="25"/>
        <v/>
      </c>
      <c r="BT40" s="64" t="str">
        <f t="shared" si="8"/>
        <v/>
      </c>
      <c r="BU40" s="65" t="str">
        <f t="shared" si="26"/>
        <v/>
      </c>
      <c r="BV40" s="72"/>
      <c r="BW40" s="63">
        <v>8</v>
      </c>
      <c r="BX40" s="63">
        <v>11</v>
      </c>
      <c r="BY40" s="63">
        <v>14</v>
      </c>
      <c r="BZ40" s="63">
        <v>15</v>
      </c>
      <c r="CA40" s="61">
        <f t="shared" si="27"/>
        <v>48</v>
      </c>
      <c r="CB40" s="62" t="str">
        <f>IFERROR(IF(CA40=0,"",ROUND((CA40/SUM([1]SETTINGS!$C$26:$C$29))*[1]SETTINGS!$C$30,0)),"")</f>
        <v/>
      </c>
      <c r="CC40" s="63">
        <v>25</v>
      </c>
      <c r="CD40" s="62" t="str">
        <f>IFERROR(IF(ISBLANK(CC40),"",ROUND((CC40/[1]SETTINGS!$C$31)*[1]SETTINGS!$C$32,0)),"")</f>
        <v/>
      </c>
      <c r="CE40" s="62" t="str">
        <f t="shared" si="28"/>
        <v/>
      </c>
      <c r="CF40" s="64" t="str">
        <f t="shared" si="9"/>
        <v/>
      </c>
      <c r="CG40" s="65" t="str">
        <f t="shared" si="29"/>
        <v/>
      </c>
      <c r="CH40" s="72"/>
      <c r="CI40" s="63">
        <v>8</v>
      </c>
      <c r="CJ40" s="63">
        <v>15</v>
      </c>
      <c r="CK40" s="63">
        <v>11</v>
      </c>
      <c r="CL40" s="63">
        <v>15</v>
      </c>
      <c r="CM40" s="61">
        <f t="shared" si="30"/>
        <v>49</v>
      </c>
      <c r="CN40" s="62" t="str">
        <f>IFERROR(IF(CM40=0,"",ROUND((CM40/SUM([1]SETTINGS!$C$26:$C$29))*[1]SETTINGS!$C$30,0)),"")</f>
        <v/>
      </c>
      <c r="CO40" s="63">
        <v>24</v>
      </c>
      <c r="CP40" s="62" t="str">
        <f>IFERROR(IF(ISBLANK(CO40),"",ROUND((CO40/[1]SETTINGS!$C$31)*[1]SETTINGS!$C$32,0)),"")</f>
        <v/>
      </c>
      <c r="CQ40" s="62" t="str">
        <f t="shared" si="31"/>
        <v/>
      </c>
      <c r="CR40" s="64" t="str">
        <f t="shared" si="10"/>
        <v/>
      </c>
      <c r="CS40" s="65" t="str">
        <f t="shared" si="32"/>
        <v/>
      </c>
      <c r="CT40" s="72"/>
      <c r="CU40" s="63">
        <v>12</v>
      </c>
      <c r="CV40" s="63">
        <v>6</v>
      </c>
      <c r="CW40" s="63">
        <v>14</v>
      </c>
      <c r="CX40" s="63">
        <v>10</v>
      </c>
      <c r="CY40" s="61">
        <f t="shared" si="33"/>
        <v>42</v>
      </c>
      <c r="CZ40" s="62" t="str">
        <f>IFERROR(IF(CY40=0,"",ROUND((CY40/SUM([1]SETTINGS!$C$26:$C$29))*[1]SETTINGS!$C$30,0)),"")</f>
        <v/>
      </c>
      <c r="DA40" s="63">
        <v>33</v>
      </c>
      <c r="DB40" s="62" t="str">
        <f>IFERROR(IF(ISBLANK(DA40),"",ROUND((DA40/[1]SETTINGS!$C$31)*[1]SETTINGS!$C$32,0)),"")</f>
        <v/>
      </c>
      <c r="DC40" s="62" t="str">
        <f t="shared" si="34"/>
        <v/>
      </c>
      <c r="DD40" s="64" t="str">
        <f t="shared" si="11"/>
        <v/>
      </c>
      <c r="DE40" s="65" t="str">
        <f t="shared" si="35"/>
        <v/>
      </c>
      <c r="DF40" s="64" t="str">
        <f t="shared" si="12"/>
        <v/>
      </c>
      <c r="DG40" s="64" t="str">
        <f>IFERROR(IF(AND(K40,W40,AI40,AU40,BG40,BS40,CE40,CQ40,DC40)="","",SUM(K40,W40,AI40,AU40,LARGE((BG40,BS40,CE40,CQ40,DC40),{1,2}))),"")</f>
        <v/>
      </c>
      <c r="DH40" s="64" t="str">
        <f>IFERROR(IF(AND(M40,Y40,AK40,AW40,,BI40,BU40,CG40,CS40,DE40)="","",SUM(M40,Y40,AK40,AW40,SMALL((BI40,BU40,CG40,CS40,DE40),{1,2}))),"")</f>
        <v/>
      </c>
      <c r="DI40" s="76" t="str">
        <f>IFERROR(pos&amp;IF(AND(MOD(ABS(18),100)&gt;10,MOD(ABS(pos),100)&lt;14),"th", CHOOSE(MOD(ABS(pos),10)+1,"th","st","nd","rd","th","th","th","th","th","th")),"")</f>
        <v/>
      </c>
      <c r="DJ40" s="15">
        <f>ROWS($B$12:$B40)</f>
        <v>29</v>
      </c>
      <c r="DK40" s="15">
        <f>IF($B40=[1]REPORT_CARD!$B$9,$DJ40,"")</f>
        <v>29</v>
      </c>
      <c r="DM40" s="74"/>
    </row>
    <row r="41" spans="1:117" ht="19.5" customHeight="1">
      <c r="A41" s="59" t="str">
        <f>IFERROR(IF(ISBLANK([1]PRIMARY_INFO!$A41),"",[1]PRIMARY_INFO!$A41),"")</f>
        <v/>
      </c>
      <c r="B41" s="59" t="str">
        <f>IFERROR(IF(ISBLANK([1]PRIMARY_INFO!$B41),"",[1]PRIMARY_INFO!$B41),"")</f>
        <v/>
      </c>
      <c r="C41" s="63">
        <v>9</v>
      </c>
      <c r="D41" s="63">
        <v>9</v>
      </c>
      <c r="E41" s="63">
        <v>9</v>
      </c>
      <c r="F41" s="63">
        <v>15</v>
      </c>
      <c r="G41" s="61">
        <f t="shared" si="36"/>
        <v>42</v>
      </c>
      <c r="H41" s="62" t="str">
        <f>IFERROR(IF(G41=0,"",ROUND((G41/SUM([1]SETTINGS!$C$26:$C$29))*[1]SETTINGS!$C$30,0)),"")</f>
        <v/>
      </c>
      <c r="I41" s="63">
        <v>19</v>
      </c>
      <c r="J41" s="62" t="str">
        <f>IFERROR(IF(ISBLANK(I41),"",ROUND((I41/[1]SETTINGS!$C$31)*[1]SETTINGS!$C$32,0)),"")</f>
        <v/>
      </c>
      <c r="K41" s="62" t="str">
        <f t="shared" si="13"/>
        <v/>
      </c>
      <c r="L41" s="64" t="str">
        <f t="shared" si="0"/>
        <v/>
      </c>
      <c r="M41" s="65" t="str">
        <f t="shared" si="14"/>
        <v/>
      </c>
      <c r="N41" s="66"/>
      <c r="O41" s="63">
        <v>13</v>
      </c>
      <c r="P41" s="63">
        <v>14</v>
      </c>
      <c r="Q41" s="63">
        <v>5</v>
      </c>
      <c r="R41" s="63">
        <v>13</v>
      </c>
      <c r="S41" s="61">
        <f t="shared" si="1"/>
        <v>45</v>
      </c>
      <c r="T41" s="62" t="str">
        <f>IFERROR(IF(S41=0,"",ROUND((S41/SUM([1]SETTINGS!$C$26:$C$29))*[1]SETTINGS!$C$30,0)),"")</f>
        <v/>
      </c>
      <c r="U41" s="63">
        <v>25</v>
      </c>
      <c r="V41" s="62" t="str">
        <f>IFERROR(IF(ISBLANK(U41),"",ROUND((U41/[1]SETTINGS!$C$31)*[1]SETTINGS!$C$32,0)),"")</f>
        <v/>
      </c>
      <c r="W41" s="62" t="str">
        <f t="shared" si="2"/>
        <v/>
      </c>
      <c r="X41" s="64" t="str">
        <f t="shared" si="3"/>
        <v/>
      </c>
      <c r="Y41" s="65" t="str">
        <f t="shared" si="4"/>
        <v/>
      </c>
      <c r="Z41" s="72"/>
      <c r="AA41" s="63">
        <v>5</v>
      </c>
      <c r="AB41" s="63">
        <v>10</v>
      </c>
      <c r="AC41" s="63">
        <v>12</v>
      </c>
      <c r="AD41" s="63">
        <v>9</v>
      </c>
      <c r="AE41" s="61">
        <f t="shared" si="15"/>
        <v>36</v>
      </c>
      <c r="AF41" s="62" t="str">
        <f>IFERROR(IF(AE41=0,"",ROUND((AE41/SUM([1]SETTINGS!$C$26:$C$29))*[1]SETTINGS!$C$30,0)),"")</f>
        <v/>
      </c>
      <c r="AG41" s="63">
        <v>34</v>
      </c>
      <c r="AH41" s="62" t="str">
        <f>IFERROR(IF(ISBLANK(AG41),"",ROUND((AG41/[1]SETTINGS!$C$31)*[1]SETTINGS!$C$32,0)),"")</f>
        <v/>
      </c>
      <c r="AI41" s="62" t="str">
        <f t="shared" si="16"/>
        <v/>
      </c>
      <c r="AJ41" s="64" t="str">
        <f t="shared" si="5"/>
        <v/>
      </c>
      <c r="AK41" s="75" t="str">
        <f t="shared" si="17"/>
        <v/>
      </c>
      <c r="AL41" s="72"/>
      <c r="AM41" s="63">
        <v>15</v>
      </c>
      <c r="AN41" s="63">
        <v>7</v>
      </c>
      <c r="AO41" s="63">
        <v>10</v>
      </c>
      <c r="AP41" s="63">
        <v>14</v>
      </c>
      <c r="AQ41" s="61">
        <f t="shared" si="18"/>
        <v>46</v>
      </c>
      <c r="AR41" s="62" t="str">
        <f>IFERROR(IF(AQ41=0,"",ROUND((AQ41/SUM([1]SETTINGS!$C$26:$C$29))*[1]SETTINGS!$C$30,0)),"")</f>
        <v/>
      </c>
      <c r="AS41" s="63">
        <v>22</v>
      </c>
      <c r="AT41" s="62" t="str">
        <f>IFERROR(IF(ISBLANK(AS41),"",ROUND((AS41/[1]SETTINGS!$C$31)*[1]SETTINGS!$C$32,0)),"")</f>
        <v/>
      </c>
      <c r="AU41" s="62" t="str">
        <f t="shared" si="19"/>
        <v/>
      </c>
      <c r="AV41" s="64" t="str">
        <f t="shared" si="6"/>
        <v/>
      </c>
      <c r="AW41" s="65" t="str">
        <f t="shared" si="20"/>
        <v/>
      </c>
      <c r="AX41" s="72"/>
      <c r="AY41" s="63">
        <v>12</v>
      </c>
      <c r="AZ41" s="63">
        <v>10</v>
      </c>
      <c r="BA41" s="63">
        <v>13</v>
      </c>
      <c r="BB41" s="63">
        <v>11</v>
      </c>
      <c r="BC41" s="61">
        <f t="shared" si="21"/>
        <v>46</v>
      </c>
      <c r="BD41" s="62" t="str">
        <f>IFERROR(IF(BC41=0,"",ROUND((BC41/SUM([1]SETTINGS!$C$26:$C$29))*[1]SETTINGS!$C$30,0)),"")</f>
        <v/>
      </c>
      <c r="BE41" s="63">
        <v>49</v>
      </c>
      <c r="BF41" s="62" t="str">
        <f>IFERROR(IF(ISBLANK(BE41),"",ROUND((BE41/[1]SETTINGS!$C$31)*[1]SETTINGS!$C$32,0)),"")</f>
        <v/>
      </c>
      <c r="BG41" s="62" t="str">
        <f t="shared" si="22"/>
        <v/>
      </c>
      <c r="BH41" s="64" t="str">
        <f t="shared" si="7"/>
        <v/>
      </c>
      <c r="BI41" s="75" t="str">
        <f t="shared" si="23"/>
        <v/>
      </c>
      <c r="BJ41" s="72"/>
      <c r="BK41" s="63">
        <v>15</v>
      </c>
      <c r="BL41" s="63">
        <v>5</v>
      </c>
      <c r="BM41" s="63">
        <v>2</v>
      </c>
      <c r="BN41" s="63">
        <v>13</v>
      </c>
      <c r="BO41" s="61">
        <f t="shared" si="24"/>
        <v>35</v>
      </c>
      <c r="BP41" s="62" t="str">
        <f>IFERROR(IF(BO41=0,"",ROUND((BO41/SUM([1]SETTINGS!$C$26:$C$29))*[1]SETTINGS!$C$30,0)),"")</f>
        <v/>
      </c>
      <c r="BQ41" s="63">
        <v>30</v>
      </c>
      <c r="BR41" s="62" t="str">
        <f>IFERROR(IF(ISBLANK(BQ41),"",ROUND((BQ41/[1]SETTINGS!$C$31)*[1]SETTINGS!$C$32,0)),"")</f>
        <v/>
      </c>
      <c r="BS41" s="62" t="str">
        <f t="shared" si="25"/>
        <v/>
      </c>
      <c r="BT41" s="64" t="str">
        <f t="shared" si="8"/>
        <v/>
      </c>
      <c r="BU41" s="65" t="str">
        <f t="shared" si="26"/>
        <v/>
      </c>
      <c r="BV41" s="72"/>
      <c r="BW41" s="63">
        <v>14</v>
      </c>
      <c r="BX41" s="63">
        <v>3</v>
      </c>
      <c r="BY41" s="63">
        <v>12</v>
      </c>
      <c r="BZ41" s="63">
        <v>15</v>
      </c>
      <c r="CA41" s="61">
        <f t="shared" si="27"/>
        <v>44</v>
      </c>
      <c r="CB41" s="62" t="str">
        <f>IFERROR(IF(CA41=0,"",ROUND((CA41/SUM([1]SETTINGS!$C$26:$C$29))*[1]SETTINGS!$C$30,0)),"")</f>
        <v/>
      </c>
      <c r="CC41" s="63">
        <v>27</v>
      </c>
      <c r="CD41" s="62" t="str">
        <f>IFERROR(IF(ISBLANK(CC41),"",ROUND((CC41/[1]SETTINGS!$C$31)*[1]SETTINGS!$C$32,0)),"")</f>
        <v/>
      </c>
      <c r="CE41" s="62" t="str">
        <f t="shared" si="28"/>
        <v/>
      </c>
      <c r="CF41" s="64" t="str">
        <f t="shared" si="9"/>
        <v/>
      </c>
      <c r="CG41" s="65" t="str">
        <f t="shared" si="29"/>
        <v/>
      </c>
      <c r="CH41" s="72"/>
      <c r="CI41" s="63">
        <v>10</v>
      </c>
      <c r="CJ41" s="63">
        <v>13</v>
      </c>
      <c r="CK41" s="63">
        <v>11</v>
      </c>
      <c r="CL41" s="63">
        <v>13</v>
      </c>
      <c r="CM41" s="61">
        <f t="shared" si="30"/>
        <v>47</v>
      </c>
      <c r="CN41" s="62" t="str">
        <f>IFERROR(IF(CM41=0,"",ROUND((CM41/SUM([1]SETTINGS!$C$26:$C$29))*[1]SETTINGS!$C$30,0)),"")</f>
        <v/>
      </c>
      <c r="CO41" s="63">
        <v>24</v>
      </c>
      <c r="CP41" s="62" t="str">
        <f>IFERROR(IF(ISBLANK(CO41),"",ROUND((CO41/[1]SETTINGS!$C$31)*[1]SETTINGS!$C$32,0)),"")</f>
        <v/>
      </c>
      <c r="CQ41" s="62" t="str">
        <f t="shared" si="31"/>
        <v/>
      </c>
      <c r="CR41" s="64" t="str">
        <f t="shared" si="10"/>
        <v/>
      </c>
      <c r="CS41" s="65" t="str">
        <f t="shared" si="32"/>
        <v/>
      </c>
      <c r="CT41" s="72"/>
      <c r="CU41" s="63">
        <v>10</v>
      </c>
      <c r="CV41" s="63">
        <v>6</v>
      </c>
      <c r="CW41" s="63">
        <v>12</v>
      </c>
      <c r="CX41" s="63">
        <v>8</v>
      </c>
      <c r="CY41" s="61">
        <f t="shared" si="33"/>
        <v>36</v>
      </c>
      <c r="CZ41" s="62" t="str">
        <f>IFERROR(IF(CY41=0,"",ROUND((CY41/SUM([1]SETTINGS!$C$26:$C$29))*[1]SETTINGS!$C$30,0)),"")</f>
        <v/>
      </c>
      <c r="DA41" s="63">
        <v>38</v>
      </c>
      <c r="DB41" s="62" t="str">
        <f>IFERROR(IF(ISBLANK(DA41),"",ROUND((DA41/[1]SETTINGS!$C$31)*[1]SETTINGS!$C$32,0)),"")</f>
        <v/>
      </c>
      <c r="DC41" s="62" t="str">
        <f t="shared" si="34"/>
        <v/>
      </c>
      <c r="DD41" s="64" t="str">
        <f t="shared" si="11"/>
        <v/>
      </c>
      <c r="DE41" s="65" t="str">
        <f t="shared" si="35"/>
        <v/>
      </c>
      <c r="DF41" s="64" t="str">
        <f t="shared" si="12"/>
        <v/>
      </c>
      <c r="DG41" s="64" t="str">
        <f>IFERROR(IF(AND(K41,W41,AI41,AU41,BG41,BS41,CE41,CQ41,DC41)="","",SUM(K41,W41,AI41,AU41,LARGE((BG41,BS41,CE41,CQ41,DC41),{1,2}))),"")</f>
        <v/>
      </c>
      <c r="DH41" s="64" t="str">
        <f>IFERROR(IF(AND(M41,Y41,AK41,AW41,,BI41,BU41,CG41,CS41,DE41)="","",SUM(M41,Y41,AK41,AW41,SMALL((BI41,BU41,CG41,CS41,DE41),{1,2}))),"")</f>
        <v/>
      </c>
      <c r="DI41" s="76" t="str">
        <f>IFERROR(pos&amp;IF(AND(MOD(ABS(18),100)&gt;10,MOD(ABS(pos),100)&lt;14),"th", CHOOSE(MOD(ABS(pos),10)+1,"th","st","nd","rd","th","th","th","th","th","th")),"")</f>
        <v/>
      </c>
      <c r="DJ41" s="15">
        <f>ROWS($B$12:$B41)</f>
        <v>30</v>
      </c>
      <c r="DK41" s="15">
        <f>IF($B41=[1]REPORT_CARD!$B$9,$DJ41,"")</f>
        <v>30</v>
      </c>
      <c r="DM41" s="74"/>
    </row>
    <row r="42" spans="1:117" ht="19.5" customHeight="1">
      <c r="A42" s="59" t="str">
        <f>IFERROR(IF(ISBLANK([1]PRIMARY_INFO!$A42),"",[1]PRIMARY_INFO!$A42),"")</f>
        <v/>
      </c>
      <c r="B42" s="59" t="str">
        <f>IFERROR(IF(ISBLANK([1]PRIMARY_INFO!$B42),"",[1]PRIMARY_INFO!$B42),"")</f>
        <v/>
      </c>
      <c r="C42" s="63">
        <v>15</v>
      </c>
      <c r="D42" s="63">
        <v>15</v>
      </c>
      <c r="E42" s="63">
        <v>14</v>
      </c>
      <c r="F42" s="63">
        <v>12</v>
      </c>
      <c r="G42" s="61">
        <f t="shared" si="36"/>
        <v>56</v>
      </c>
      <c r="H42" s="62" t="str">
        <f>IFERROR(IF(G42=0,"",ROUND((G42/SUM([1]SETTINGS!$C$26:$C$29))*[1]SETTINGS!$C$30,0)),"")</f>
        <v/>
      </c>
      <c r="I42" s="63">
        <v>49</v>
      </c>
      <c r="J42" s="62" t="str">
        <f>IFERROR(IF(ISBLANK(I42),"",ROUND((I42/[1]SETTINGS!$C$31)*[1]SETTINGS!$C$32,0)),"")</f>
        <v/>
      </c>
      <c r="K42" s="62" t="str">
        <f t="shared" si="13"/>
        <v/>
      </c>
      <c r="L42" s="64" t="str">
        <f t="shared" si="0"/>
        <v/>
      </c>
      <c r="M42" s="65" t="str">
        <f t="shared" si="14"/>
        <v/>
      </c>
      <c r="N42" s="66"/>
      <c r="O42" s="63">
        <v>5</v>
      </c>
      <c r="P42" s="63">
        <v>10</v>
      </c>
      <c r="Q42" s="63">
        <v>15</v>
      </c>
      <c r="R42" s="63">
        <v>11</v>
      </c>
      <c r="S42" s="61">
        <f t="shared" si="1"/>
        <v>41</v>
      </c>
      <c r="T42" s="62" t="str">
        <f>IFERROR(IF(S42=0,"",ROUND((S42/SUM([1]SETTINGS!$C$26:$C$29))*[1]SETTINGS!$C$30,0)),"")</f>
        <v/>
      </c>
      <c r="U42" s="63">
        <v>47</v>
      </c>
      <c r="V42" s="62" t="str">
        <f>IFERROR(IF(ISBLANK(U42),"",ROUND((U42/[1]SETTINGS!$C$31)*[1]SETTINGS!$C$32,0)),"")</f>
        <v/>
      </c>
      <c r="W42" s="62" t="str">
        <f t="shared" si="2"/>
        <v/>
      </c>
      <c r="X42" s="64" t="str">
        <f t="shared" si="3"/>
        <v/>
      </c>
      <c r="Y42" s="65" t="str">
        <f t="shared" si="4"/>
        <v/>
      </c>
      <c r="Z42" s="72"/>
      <c r="AA42" s="63">
        <v>6</v>
      </c>
      <c r="AB42" s="63">
        <v>10</v>
      </c>
      <c r="AC42" s="63">
        <v>12</v>
      </c>
      <c r="AD42" s="63">
        <v>12</v>
      </c>
      <c r="AE42" s="61">
        <f t="shared" si="15"/>
        <v>40</v>
      </c>
      <c r="AF42" s="62" t="str">
        <f>IFERROR(IF(AE42=0,"",ROUND((AE42/SUM([1]SETTINGS!$C$26:$C$29))*[1]SETTINGS!$C$30,0)),"")</f>
        <v/>
      </c>
      <c r="AG42" s="63">
        <v>44</v>
      </c>
      <c r="AH42" s="62" t="str">
        <f>IFERROR(IF(ISBLANK(AG42),"",ROUND((AG42/[1]SETTINGS!$C$31)*[1]SETTINGS!$C$32,0)),"")</f>
        <v/>
      </c>
      <c r="AI42" s="62" t="str">
        <f t="shared" si="16"/>
        <v/>
      </c>
      <c r="AJ42" s="64" t="str">
        <f t="shared" si="5"/>
        <v/>
      </c>
      <c r="AK42" s="75" t="str">
        <f t="shared" si="17"/>
        <v/>
      </c>
      <c r="AL42" s="72"/>
      <c r="AM42" s="63">
        <v>15</v>
      </c>
      <c r="AN42" s="63">
        <v>9</v>
      </c>
      <c r="AO42" s="63">
        <v>6</v>
      </c>
      <c r="AP42" s="63">
        <v>14</v>
      </c>
      <c r="AQ42" s="61">
        <f t="shared" si="18"/>
        <v>44</v>
      </c>
      <c r="AR42" s="62" t="str">
        <f>IFERROR(IF(AQ42=0,"",ROUND((AQ42/SUM([1]SETTINGS!$C$26:$C$29))*[1]SETTINGS!$C$30,0)),"")</f>
        <v/>
      </c>
      <c r="AS42" s="63">
        <v>26</v>
      </c>
      <c r="AT42" s="62" t="str">
        <f>IFERROR(IF(ISBLANK(AS42),"",ROUND((AS42/[1]SETTINGS!$C$31)*[1]SETTINGS!$C$32,0)),"")</f>
        <v/>
      </c>
      <c r="AU42" s="62" t="str">
        <f t="shared" si="19"/>
        <v/>
      </c>
      <c r="AV42" s="64" t="str">
        <f t="shared" si="6"/>
        <v/>
      </c>
      <c r="AW42" s="65" t="str">
        <f t="shared" si="20"/>
        <v/>
      </c>
      <c r="AX42" s="72"/>
      <c r="AY42" s="63">
        <v>10</v>
      </c>
      <c r="AZ42" s="63">
        <v>10</v>
      </c>
      <c r="BA42" s="63">
        <v>6</v>
      </c>
      <c r="BB42" s="63">
        <v>15</v>
      </c>
      <c r="BC42" s="61">
        <f t="shared" si="21"/>
        <v>41</v>
      </c>
      <c r="BD42" s="62" t="str">
        <f>IFERROR(IF(BC42=0,"",ROUND((BC42/SUM([1]SETTINGS!$C$26:$C$29))*[1]SETTINGS!$C$30,0)),"")</f>
        <v/>
      </c>
      <c r="BE42" s="63">
        <v>49</v>
      </c>
      <c r="BF42" s="62" t="str">
        <f>IFERROR(IF(ISBLANK(BE42),"",ROUND((BE42/[1]SETTINGS!$C$31)*[1]SETTINGS!$C$32,0)),"")</f>
        <v/>
      </c>
      <c r="BG42" s="62" t="str">
        <f t="shared" si="22"/>
        <v/>
      </c>
      <c r="BH42" s="64" t="str">
        <f t="shared" si="7"/>
        <v/>
      </c>
      <c r="BI42" s="75" t="str">
        <f t="shared" si="23"/>
        <v/>
      </c>
      <c r="BJ42" s="72"/>
      <c r="BK42" s="63">
        <v>13</v>
      </c>
      <c r="BL42" s="63">
        <v>7</v>
      </c>
      <c r="BM42" s="63">
        <v>1</v>
      </c>
      <c r="BN42" s="63">
        <v>15</v>
      </c>
      <c r="BO42" s="61">
        <f t="shared" si="24"/>
        <v>36</v>
      </c>
      <c r="BP42" s="62" t="str">
        <f>IFERROR(IF(BO42=0,"",ROUND((BO42/SUM([1]SETTINGS!$C$26:$C$29))*[1]SETTINGS!$C$30,0)),"")</f>
        <v/>
      </c>
      <c r="BQ42" s="63">
        <v>55</v>
      </c>
      <c r="BR42" s="62" t="str">
        <f>IFERROR(IF(ISBLANK(BQ42),"",ROUND((BQ42/[1]SETTINGS!$C$31)*[1]SETTINGS!$C$32,0)),"")</f>
        <v/>
      </c>
      <c r="BS42" s="62" t="str">
        <f t="shared" si="25"/>
        <v/>
      </c>
      <c r="BT42" s="64" t="str">
        <f t="shared" si="8"/>
        <v/>
      </c>
      <c r="BU42" s="65" t="str">
        <f t="shared" si="26"/>
        <v/>
      </c>
      <c r="BV42" s="72"/>
      <c r="BW42" s="63">
        <v>5</v>
      </c>
      <c r="BX42" s="63">
        <v>12</v>
      </c>
      <c r="BY42" s="63">
        <v>15</v>
      </c>
      <c r="BZ42" s="63">
        <v>15</v>
      </c>
      <c r="CA42" s="61">
        <f t="shared" si="27"/>
        <v>47</v>
      </c>
      <c r="CB42" s="62" t="str">
        <f>IFERROR(IF(CA42=0,"",ROUND((CA42/SUM([1]SETTINGS!$C$26:$C$29))*[1]SETTINGS!$C$30,0)),"")</f>
        <v/>
      </c>
      <c r="CC42" s="63">
        <v>63</v>
      </c>
      <c r="CD42" s="62" t="str">
        <f>IFERROR(IF(ISBLANK(CC42),"",ROUND((CC42/[1]SETTINGS!$C$31)*[1]SETTINGS!$C$32,0)),"")</f>
        <v/>
      </c>
      <c r="CE42" s="62" t="str">
        <f t="shared" si="28"/>
        <v/>
      </c>
      <c r="CF42" s="64" t="str">
        <f t="shared" si="9"/>
        <v/>
      </c>
      <c r="CG42" s="65" t="str">
        <f t="shared" si="29"/>
        <v/>
      </c>
      <c r="CH42" s="72"/>
      <c r="CI42" s="63">
        <v>14</v>
      </c>
      <c r="CJ42" s="63">
        <v>15</v>
      </c>
      <c r="CK42" s="63">
        <v>14</v>
      </c>
      <c r="CL42" s="63">
        <v>15</v>
      </c>
      <c r="CM42" s="61">
        <f t="shared" si="30"/>
        <v>58</v>
      </c>
      <c r="CN42" s="62" t="str">
        <f>IFERROR(IF(CM42=0,"",ROUND((CM42/SUM([1]SETTINGS!$C$26:$C$29))*[1]SETTINGS!$C$30,0)),"")</f>
        <v/>
      </c>
      <c r="CO42" s="63">
        <v>35</v>
      </c>
      <c r="CP42" s="62" t="str">
        <f>IFERROR(IF(ISBLANK(CO42),"",ROUND((CO42/[1]SETTINGS!$C$31)*[1]SETTINGS!$C$32,0)),"")</f>
        <v/>
      </c>
      <c r="CQ42" s="62" t="str">
        <f t="shared" si="31"/>
        <v/>
      </c>
      <c r="CR42" s="64" t="str">
        <f t="shared" si="10"/>
        <v/>
      </c>
      <c r="CS42" s="65" t="str">
        <f t="shared" si="32"/>
        <v/>
      </c>
      <c r="CT42" s="72"/>
      <c r="CU42" s="63">
        <v>10</v>
      </c>
      <c r="CV42" s="63">
        <v>5</v>
      </c>
      <c r="CW42" s="63">
        <v>10</v>
      </c>
      <c r="CX42" s="63">
        <v>7</v>
      </c>
      <c r="CY42" s="61">
        <f t="shared" si="33"/>
        <v>32</v>
      </c>
      <c r="CZ42" s="62" t="str">
        <f>IFERROR(IF(CY42=0,"",ROUND((CY42/SUM([1]SETTINGS!$C$26:$C$29))*[1]SETTINGS!$C$30,0)),"")</f>
        <v/>
      </c>
      <c r="DA42" s="63">
        <v>37</v>
      </c>
      <c r="DB42" s="62" t="str">
        <f>IFERROR(IF(ISBLANK(DA42),"",ROUND((DA42/[1]SETTINGS!$C$31)*[1]SETTINGS!$C$32,0)),"")</f>
        <v/>
      </c>
      <c r="DC42" s="62" t="str">
        <f t="shared" si="34"/>
        <v/>
      </c>
      <c r="DD42" s="64" t="str">
        <f t="shared" si="11"/>
        <v/>
      </c>
      <c r="DE42" s="65" t="str">
        <f t="shared" si="35"/>
        <v/>
      </c>
      <c r="DF42" s="64" t="str">
        <f t="shared" si="12"/>
        <v/>
      </c>
      <c r="DG42" s="64" t="str">
        <f>IFERROR(IF(AND(K42,W42,AI42,AU42,BG42,BS42,CE42,CQ42,DC42)="","",SUM(K42,W42,AI42,AU42,LARGE((BG42,BS42,CE42,CQ42,DC42),{1,2}))),"")</f>
        <v/>
      </c>
      <c r="DH42" s="64" t="str">
        <f>IFERROR(IF(AND(M42,Y42,AK42,AW42,,BI42,BU42,CG42,CS42,DE42)="","",SUM(M42,Y42,AK42,AW42,SMALL((BI42,BU42,CG42,CS42,DE42),{1,2}))),"")</f>
        <v/>
      </c>
      <c r="DI42" s="76" t="str">
        <f>IFERROR(pos&amp;IF(AND(MOD(ABS(18),100)&gt;10,MOD(ABS(pos),100)&lt;14),"th", CHOOSE(MOD(ABS(pos),10)+1,"th","st","nd","rd","th","th","th","th","th","th")),"")</f>
        <v/>
      </c>
      <c r="DJ42" s="15">
        <f>ROWS($B$12:$B42)</f>
        <v>31</v>
      </c>
      <c r="DK42" s="15">
        <f>IF($B42=[1]REPORT_CARD!$B$9,$DJ42,"")</f>
        <v>31</v>
      </c>
      <c r="DM42" s="74"/>
    </row>
    <row r="43" spans="1:117" ht="19.5" customHeight="1">
      <c r="A43" s="59" t="str">
        <f>IFERROR(IF(ISBLANK([1]PRIMARY_INFO!$A43),"",[1]PRIMARY_INFO!$A43),"")</f>
        <v/>
      </c>
      <c r="B43" s="59" t="str">
        <f>IFERROR(IF(ISBLANK([1]PRIMARY_INFO!$B43),"",[1]PRIMARY_INFO!$B43),"")</f>
        <v/>
      </c>
      <c r="C43" s="63">
        <v>9</v>
      </c>
      <c r="D43" s="63">
        <v>3</v>
      </c>
      <c r="E43" s="63">
        <v>14</v>
      </c>
      <c r="F43" s="63">
        <v>15</v>
      </c>
      <c r="G43" s="61">
        <f t="shared" si="36"/>
        <v>41</v>
      </c>
      <c r="H43" s="62" t="str">
        <f>IFERROR(IF(G43=0,"",ROUND((G43/SUM([1]SETTINGS!$C$26:$C$29))*[1]SETTINGS!$C$30,0)),"")</f>
        <v/>
      </c>
      <c r="I43" s="63">
        <v>27</v>
      </c>
      <c r="J43" s="62" t="str">
        <f>IFERROR(IF(ISBLANK(I43),"",ROUND((I43/[1]SETTINGS!$C$31)*[1]SETTINGS!$C$32,0)),"")</f>
        <v/>
      </c>
      <c r="K43" s="62" t="str">
        <f t="shared" si="13"/>
        <v/>
      </c>
      <c r="L43" s="64" t="str">
        <f t="shared" si="0"/>
        <v/>
      </c>
      <c r="M43" s="65" t="str">
        <f t="shared" si="14"/>
        <v/>
      </c>
      <c r="N43" s="66"/>
      <c r="O43" s="63">
        <v>6</v>
      </c>
      <c r="P43" s="63">
        <v>12</v>
      </c>
      <c r="Q43" s="63">
        <v>6</v>
      </c>
      <c r="R43" s="63">
        <v>10</v>
      </c>
      <c r="S43" s="61">
        <f t="shared" si="1"/>
        <v>34</v>
      </c>
      <c r="T43" s="62" t="str">
        <f>IFERROR(IF(S43=0,"",ROUND((S43/SUM([1]SETTINGS!$C$26:$C$29))*[1]SETTINGS!$C$30,0)),"")</f>
        <v/>
      </c>
      <c r="U43" s="63">
        <v>22</v>
      </c>
      <c r="V43" s="62" t="str">
        <f>IFERROR(IF(ISBLANK(U43),"",ROUND((U43/[1]SETTINGS!$C$31)*[1]SETTINGS!$C$32,0)),"")</f>
        <v/>
      </c>
      <c r="W43" s="62" t="str">
        <f t="shared" si="2"/>
        <v/>
      </c>
      <c r="X43" s="64" t="str">
        <f t="shared" si="3"/>
        <v/>
      </c>
      <c r="Y43" s="65" t="str">
        <f t="shared" si="4"/>
        <v/>
      </c>
      <c r="Z43" s="72"/>
      <c r="AA43" s="63">
        <v>10</v>
      </c>
      <c r="AB43" s="63">
        <v>10</v>
      </c>
      <c r="AC43" s="63">
        <v>6</v>
      </c>
      <c r="AD43" s="63">
        <v>10</v>
      </c>
      <c r="AE43" s="61">
        <f t="shared" si="15"/>
        <v>36</v>
      </c>
      <c r="AF43" s="62" t="str">
        <f>IFERROR(IF(AE43=0,"",ROUND((AE43/SUM([1]SETTINGS!$C$26:$C$29))*[1]SETTINGS!$C$30,0)),"")</f>
        <v/>
      </c>
      <c r="AG43" s="63">
        <v>26</v>
      </c>
      <c r="AH43" s="62" t="str">
        <f>IFERROR(IF(ISBLANK(AG43),"",ROUND((AG43/[1]SETTINGS!$C$31)*[1]SETTINGS!$C$32,0)),"")</f>
        <v/>
      </c>
      <c r="AI43" s="62" t="str">
        <f t="shared" si="16"/>
        <v/>
      </c>
      <c r="AJ43" s="64" t="str">
        <f t="shared" si="5"/>
        <v/>
      </c>
      <c r="AK43" s="75" t="str">
        <f t="shared" si="17"/>
        <v/>
      </c>
      <c r="AL43" s="72"/>
      <c r="AM43" s="63">
        <v>13</v>
      </c>
      <c r="AN43" s="63">
        <v>10</v>
      </c>
      <c r="AO43" s="63">
        <v>6</v>
      </c>
      <c r="AP43" s="63">
        <v>14</v>
      </c>
      <c r="AQ43" s="61">
        <f t="shared" si="18"/>
        <v>43</v>
      </c>
      <c r="AR43" s="62" t="str">
        <f>IFERROR(IF(AQ43=0,"",ROUND((AQ43/SUM([1]SETTINGS!$C$26:$C$29))*[1]SETTINGS!$C$30,0)),"")</f>
        <v/>
      </c>
      <c r="AS43" s="63">
        <v>27</v>
      </c>
      <c r="AT43" s="62" t="str">
        <f>IFERROR(IF(ISBLANK(AS43),"",ROUND((AS43/[1]SETTINGS!$C$31)*[1]SETTINGS!$C$32,0)),"")</f>
        <v/>
      </c>
      <c r="AU43" s="62" t="str">
        <f t="shared" si="19"/>
        <v/>
      </c>
      <c r="AV43" s="64" t="str">
        <f t="shared" si="6"/>
        <v/>
      </c>
      <c r="AW43" s="65" t="str">
        <f t="shared" si="20"/>
        <v/>
      </c>
      <c r="AX43" s="72"/>
      <c r="AY43" s="63">
        <v>10</v>
      </c>
      <c r="AZ43" s="63">
        <v>13</v>
      </c>
      <c r="BA43" s="63">
        <v>10</v>
      </c>
      <c r="BB43" s="63">
        <v>8</v>
      </c>
      <c r="BC43" s="61">
        <f t="shared" si="21"/>
        <v>41</v>
      </c>
      <c r="BD43" s="62" t="str">
        <f>IFERROR(IF(BC43=0,"",ROUND((BC43/SUM([1]SETTINGS!$C$26:$C$29))*[1]SETTINGS!$C$30,0)),"")</f>
        <v/>
      </c>
      <c r="BE43" s="63">
        <v>32</v>
      </c>
      <c r="BF43" s="62" t="str">
        <f>IFERROR(IF(ISBLANK(BE43),"",ROUND((BE43/[1]SETTINGS!$C$31)*[1]SETTINGS!$C$32,0)),"")</f>
        <v/>
      </c>
      <c r="BG43" s="62" t="str">
        <f t="shared" si="22"/>
        <v/>
      </c>
      <c r="BH43" s="64" t="str">
        <f t="shared" si="7"/>
        <v/>
      </c>
      <c r="BI43" s="75" t="str">
        <f t="shared" si="23"/>
        <v/>
      </c>
      <c r="BJ43" s="72"/>
      <c r="BK43" s="63">
        <v>9</v>
      </c>
      <c r="BL43" s="63">
        <v>2</v>
      </c>
      <c r="BM43" s="63">
        <v>1</v>
      </c>
      <c r="BN43" s="63">
        <v>15</v>
      </c>
      <c r="BO43" s="61">
        <f t="shared" si="24"/>
        <v>27</v>
      </c>
      <c r="BP43" s="62" t="str">
        <f>IFERROR(IF(BO43=0,"",ROUND((BO43/SUM([1]SETTINGS!$C$26:$C$29))*[1]SETTINGS!$C$30,0)),"")</f>
        <v/>
      </c>
      <c r="BQ43" s="63">
        <v>51</v>
      </c>
      <c r="BR43" s="62" t="str">
        <f>IFERROR(IF(ISBLANK(BQ43),"",ROUND((BQ43/[1]SETTINGS!$C$31)*[1]SETTINGS!$C$32,0)),"")</f>
        <v/>
      </c>
      <c r="BS43" s="62" t="str">
        <f t="shared" si="25"/>
        <v/>
      </c>
      <c r="BT43" s="64" t="str">
        <f t="shared" si="8"/>
        <v/>
      </c>
      <c r="BU43" s="65" t="str">
        <f t="shared" si="26"/>
        <v/>
      </c>
      <c r="BV43" s="72"/>
      <c r="BW43" s="63">
        <v>12</v>
      </c>
      <c r="BX43" s="63">
        <v>4</v>
      </c>
      <c r="BY43" s="63">
        <v>12</v>
      </c>
      <c r="BZ43" s="63">
        <v>6</v>
      </c>
      <c r="CA43" s="61">
        <f t="shared" si="27"/>
        <v>34</v>
      </c>
      <c r="CB43" s="62" t="str">
        <f>IFERROR(IF(CA43=0,"",ROUND((CA43/SUM([1]SETTINGS!$C$26:$C$29))*[1]SETTINGS!$C$30,0)),"")</f>
        <v/>
      </c>
      <c r="CC43" s="63">
        <v>41</v>
      </c>
      <c r="CD43" s="62" t="str">
        <f>IFERROR(IF(ISBLANK(CC43),"",ROUND((CC43/[1]SETTINGS!$C$31)*[1]SETTINGS!$C$32,0)),"")</f>
        <v/>
      </c>
      <c r="CE43" s="62" t="str">
        <f t="shared" si="28"/>
        <v/>
      </c>
      <c r="CF43" s="64" t="str">
        <f t="shared" si="9"/>
        <v/>
      </c>
      <c r="CG43" s="65" t="str">
        <f t="shared" si="29"/>
        <v/>
      </c>
      <c r="CH43" s="72"/>
      <c r="CI43" s="63">
        <v>9</v>
      </c>
      <c r="CJ43" s="63">
        <v>15</v>
      </c>
      <c r="CK43" s="63">
        <v>10</v>
      </c>
      <c r="CL43" s="63">
        <v>13</v>
      </c>
      <c r="CM43" s="61">
        <f t="shared" si="30"/>
        <v>47</v>
      </c>
      <c r="CN43" s="62" t="str">
        <f>IFERROR(IF(CM43=0,"",ROUND((CM43/SUM([1]SETTINGS!$C$26:$C$29))*[1]SETTINGS!$C$30,0)),"")</f>
        <v/>
      </c>
      <c r="CO43" s="63">
        <v>12</v>
      </c>
      <c r="CP43" s="62" t="str">
        <f>IFERROR(IF(ISBLANK(CO43),"",ROUND((CO43/[1]SETTINGS!$C$31)*[1]SETTINGS!$C$32,0)),"")</f>
        <v/>
      </c>
      <c r="CQ43" s="62" t="str">
        <f t="shared" si="31"/>
        <v/>
      </c>
      <c r="CR43" s="64" t="str">
        <f t="shared" si="10"/>
        <v/>
      </c>
      <c r="CS43" s="65" t="str">
        <f t="shared" si="32"/>
        <v/>
      </c>
      <c r="CT43" s="72"/>
      <c r="CU43" s="63">
        <v>11</v>
      </c>
      <c r="CV43" s="63">
        <v>2</v>
      </c>
      <c r="CW43" s="63">
        <v>12</v>
      </c>
      <c r="CX43" s="63">
        <v>8</v>
      </c>
      <c r="CY43" s="61">
        <f t="shared" si="33"/>
        <v>33</v>
      </c>
      <c r="CZ43" s="62" t="str">
        <f>IFERROR(IF(CY43=0,"",ROUND((CY43/SUM([1]SETTINGS!$C$26:$C$29))*[1]SETTINGS!$C$30,0)),"")</f>
        <v/>
      </c>
      <c r="DA43" s="63">
        <v>24</v>
      </c>
      <c r="DB43" s="62" t="str">
        <f>IFERROR(IF(ISBLANK(DA43),"",ROUND((DA43/[1]SETTINGS!$C$31)*[1]SETTINGS!$C$32,0)),"")</f>
        <v/>
      </c>
      <c r="DC43" s="62" t="str">
        <f t="shared" si="34"/>
        <v/>
      </c>
      <c r="DD43" s="64" t="str">
        <f t="shared" si="11"/>
        <v/>
      </c>
      <c r="DE43" s="65" t="str">
        <f t="shared" si="35"/>
        <v/>
      </c>
      <c r="DF43" s="64" t="str">
        <f t="shared" si="12"/>
        <v/>
      </c>
      <c r="DG43" s="64" t="str">
        <f>IFERROR(IF(AND(K43,W43,AI43,AU43,BG43,BS43,CE43,CQ43,DC43)="","",SUM(K43,W43,AI43,AU43,LARGE((BG43,BS43,CE43,CQ43,DC43),{1,2}))),"")</f>
        <v/>
      </c>
      <c r="DH43" s="64" t="str">
        <f>IFERROR(IF(AND(M43,Y43,AK43,AW43,,BI43,BU43,CG43,CS43,DE43)="","",SUM(M43,Y43,AK43,AW43,SMALL((BI43,BU43,CG43,CS43,DE43),{1,2}))),"")</f>
        <v/>
      </c>
      <c r="DI43" s="76" t="str">
        <f>IFERROR(pos&amp;IF(AND(MOD(ABS(18),100)&gt;10,MOD(ABS(pos),100)&lt;14),"th", CHOOSE(MOD(ABS(pos),10)+1,"th","st","nd","rd","th","th","th","th","th","th")),"")</f>
        <v/>
      </c>
      <c r="DJ43" s="15">
        <f>ROWS($B$12:$B43)</f>
        <v>32</v>
      </c>
      <c r="DK43" s="15">
        <f>IF($B43=[1]REPORT_CARD!$B$9,$DJ43,"")</f>
        <v>32</v>
      </c>
      <c r="DM43" s="74"/>
    </row>
    <row r="44" spans="1:117" ht="19.5" customHeight="1">
      <c r="A44" s="59" t="str">
        <f>IFERROR(IF(ISBLANK([1]PRIMARY_INFO!$A44),"",[1]PRIMARY_INFO!$A44),"")</f>
        <v/>
      </c>
      <c r="B44" s="59" t="str">
        <f>IFERROR(IF(ISBLANK([1]PRIMARY_INFO!$B44),"",[1]PRIMARY_INFO!$B44),"")</f>
        <v/>
      </c>
      <c r="C44" s="63">
        <v>15</v>
      </c>
      <c r="D44" s="63">
        <v>14</v>
      </c>
      <c r="E44" s="63">
        <v>15</v>
      </c>
      <c r="F44" s="63">
        <v>12</v>
      </c>
      <c r="G44" s="61">
        <f t="shared" si="36"/>
        <v>56</v>
      </c>
      <c r="H44" s="62" t="str">
        <f>IFERROR(IF(G44=0,"",ROUND((G44/SUM([1]SETTINGS!$C$26:$C$29))*[1]SETTINGS!$C$30,0)),"")</f>
        <v/>
      </c>
      <c r="I44" s="63">
        <v>40</v>
      </c>
      <c r="J44" s="62" t="str">
        <f>IFERROR(IF(ISBLANK(I44),"",ROUND((I44/[1]SETTINGS!$C$31)*[1]SETTINGS!$C$32,0)),"")</f>
        <v/>
      </c>
      <c r="K44" s="62" t="str">
        <f t="shared" si="13"/>
        <v/>
      </c>
      <c r="L44" s="64" t="str">
        <f t="shared" si="0"/>
        <v/>
      </c>
      <c r="M44" s="65" t="str">
        <f t="shared" si="14"/>
        <v/>
      </c>
      <c r="N44" s="66"/>
      <c r="O44" s="63">
        <v>8</v>
      </c>
      <c r="P44" s="63">
        <v>13</v>
      </c>
      <c r="Q44" s="63">
        <v>14</v>
      </c>
      <c r="R44" s="63">
        <v>12</v>
      </c>
      <c r="S44" s="61">
        <f t="shared" ref="S44:S75" si="37">IFERROR(IF(AND(O44:R44)="","",SUM(O44:R44)),"")</f>
        <v>47</v>
      </c>
      <c r="T44" s="62" t="str">
        <f>IFERROR(IF(S44=0,"",ROUND((S44/SUM([1]SETTINGS!$C$26:$C$29))*[1]SETTINGS!$C$30,0)),"")</f>
        <v/>
      </c>
      <c r="U44" s="63">
        <v>60</v>
      </c>
      <c r="V44" s="62" t="str">
        <f>IFERROR(IF(ISBLANK(U44),"",ROUND((U44/[1]SETTINGS!$C$31)*[1]SETTINGS!$C$32,0)),"")</f>
        <v/>
      </c>
      <c r="W44" s="62" t="str">
        <f t="shared" si="2"/>
        <v/>
      </c>
      <c r="X44" s="64" t="str">
        <f t="shared" si="3"/>
        <v/>
      </c>
      <c r="Y44" s="65" t="str">
        <f t="shared" si="4"/>
        <v/>
      </c>
      <c r="Z44" s="72"/>
      <c r="AA44" s="63">
        <v>13</v>
      </c>
      <c r="AB44" s="63">
        <v>12</v>
      </c>
      <c r="AC44" s="63">
        <v>10</v>
      </c>
      <c r="AD44" s="63">
        <v>15</v>
      </c>
      <c r="AE44" s="61">
        <f t="shared" si="15"/>
        <v>50</v>
      </c>
      <c r="AF44" s="62" t="str">
        <f>IFERROR(IF(AE44=0,"",ROUND((AE44/SUM([1]SETTINGS!$C$26:$C$29))*[1]SETTINGS!$C$30,0)),"")</f>
        <v/>
      </c>
      <c r="AG44" s="63">
        <v>56</v>
      </c>
      <c r="AH44" s="62" t="str">
        <f>IFERROR(IF(ISBLANK(AG44),"",ROUND((AG44/[1]SETTINGS!$C$31)*[1]SETTINGS!$C$32,0)),"")</f>
        <v/>
      </c>
      <c r="AI44" s="62" t="str">
        <f t="shared" si="16"/>
        <v/>
      </c>
      <c r="AJ44" s="64" t="str">
        <f t="shared" si="5"/>
        <v/>
      </c>
      <c r="AK44" s="75" t="str">
        <f t="shared" si="17"/>
        <v/>
      </c>
      <c r="AL44" s="72"/>
      <c r="AM44" s="63">
        <v>10</v>
      </c>
      <c r="AN44" s="63">
        <v>9</v>
      </c>
      <c r="AO44" s="63">
        <v>11</v>
      </c>
      <c r="AP44" s="63">
        <v>14</v>
      </c>
      <c r="AQ44" s="61">
        <f t="shared" si="18"/>
        <v>44</v>
      </c>
      <c r="AR44" s="62" t="str">
        <f>IFERROR(IF(AQ44=0,"",ROUND((AQ44/SUM([1]SETTINGS!$C$26:$C$29))*[1]SETTINGS!$C$30,0)),"")</f>
        <v/>
      </c>
      <c r="AS44" s="63">
        <v>50</v>
      </c>
      <c r="AT44" s="62" t="str">
        <f>IFERROR(IF(ISBLANK(AS44),"",ROUND((AS44/[1]SETTINGS!$C$31)*[1]SETTINGS!$C$32,0)),"")</f>
        <v/>
      </c>
      <c r="AU44" s="62" t="str">
        <f t="shared" si="19"/>
        <v/>
      </c>
      <c r="AV44" s="64" t="str">
        <f t="shared" si="6"/>
        <v/>
      </c>
      <c r="AW44" s="65" t="str">
        <f t="shared" si="20"/>
        <v/>
      </c>
      <c r="AX44" s="72"/>
      <c r="AY44" s="63">
        <v>15</v>
      </c>
      <c r="AZ44" s="63">
        <v>12</v>
      </c>
      <c r="BA44" s="63">
        <v>12</v>
      </c>
      <c r="BB44" s="63">
        <v>9</v>
      </c>
      <c r="BC44" s="61">
        <f t="shared" si="21"/>
        <v>48</v>
      </c>
      <c r="BD44" s="62" t="str">
        <f>IFERROR(IF(BC44=0,"",ROUND((BC44/SUM([1]SETTINGS!$C$26:$C$29))*[1]SETTINGS!$C$30,0)),"")</f>
        <v/>
      </c>
      <c r="BE44" s="63">
        <v>56</v>
      </c>
      <c r="BF44" s="62" t="str">
        <f>IFERROR(IF(ISBLANK(BE44),"",ROUND((BE44/[1]SETTINGS!$C$31)*[1]SETTINGS!$C$32,0)),"")</f>
        <v/>
      </c>
      <c r="BG44" s="62" t="str">
        <f t="shared" si="22"/>
        <v/>
      </c>
      <c r="BH44" s="64" t="str">
        <f t="shared" si="7"/>
        <v/>
      </c>
      <c r="BI44" s="75" t="str">
        <f t="shared" si="23"/>
        <v/>
      </c>
      <c r="BJ44" s="72"/>
      <c r="BK44" s="63">
        <v>15</v>
      </c>
      <c r="BL44" s="63">
        <v>10</v>
      </c>
      <c r="BM44" s="63">
        <v>5</v>
      </c>
      <c r="BN44" s="63">
        <v>15</v>
      </c>
      <c r="BO44" s="61">
        <f t="shared" si="24"/>
        <v>45</v>
      </c>
      <c r="BP44" s="62" t="str">
        <f>IFERROR(IF(BO44=0,"",ROUND((BO44/SUM([1]SETTINGS!$C$26:$C$29))*[1]SETTINGS!$C$30,0)),"")</f>
        <v/>
      </c>
      <c r="BQ44" s="63">
        <v>59</v>
      </c>
      <c r="BR44" s="62" t="str">
        <f>IFERROR(IF(ISBLANK(BQ44),"",ROUND((BQ44/[1]SETTINGS!$C$31)*[1]SETTINGS!$C$32,0)),"")</f>
        <v/>
      </c>
      <c r="BS44" s="62" t="str">
        <f t="shared" si="25"/>
        <v/>
      </c>
      <c r="BT44" s="64" t="str">
        <f t="shared" si="8"/>
        <v/>
      </c>
      <c r="BU44" s="65" t="str">
        <f t="shared" si="26"/>
        <v/>
      </c>
      <c r="BV44" s="72"/>
      <c r="BW44" s="63">
        <v>14</v>
      </c>
      <c r="BX44" s="63">
        <v>13</v>
      </c>
      <c r="BY44" s="63">
        <v>15</v>
      </c>
      <c r="BZ44" s="63">
        <v>15</v>
      </c>
      <c r="CA44" s="61">
        <f t="shared" si="27"/>
        <v>57</v>
      </c>
      <c r="CB44" s="62" t="str">
        <f>IFERROR(IF(CA44=0,"",ROUND((CA44/SUM([1]SETTINGS!$C$26:$C$29))*[1]SETTINGS!$C$30,0)),"")</f>
        <v/>
      </c>
      <c r="CC44" s="63">
        <v>60</v>
      </c>
      <c r="CD44" s="62" t="str">
        <f>IFERROR(IF(ISBLANK(CC44),"",ROUND((CC44/[1]SETTINGS!$C$31)*[1]SETTINGS!$C$32,0)),"")</f>
        <v/>
      </c>
      <c r="CE44" s="62" t="str">
        <f t="shared" si="28"/>
        <v/>
      </c>
      <c r="CF44" s="64" t="str">
        <f t="shared" si="9"/>
        <v/>
      </c>
      <c r="CG44" s="65" t="str">
        <f t="shared" si="29"/>
        <v/>
      </c>
      <c r="CH44" s="72"/>
      <c r="CI44" s="63">
        <v>15</v>
      </c>
      <c r="CJ44" s="63">
        <v>15</v>
      </c>
      <c r="CK44" s="63">
        <v>12</v>
      </c>
      <c r="CL44" s="63">
        <v>15</v>
      </c>
      <c r="CM44" s="61">
        <f t="shared" si="30"/>
        <v>57</v>
      </c>
      <c r="CN44" s="62" t="str">
        <f>IFERROR(IF(CM44=0,"",ROUND((CM44/SUM([1]SETTINGS!$C$26:$C$29))*[1]SETTINGS!$C$30,0)),"")</f>
        <v/>
      </c>
      <c r="CO44" s="63">
        <v>46</v>
      </c>
      <c r="CP44" s="62" t="str">
        <f>IFERROR(IF(ISBLANK(CO44),"",ROUND((CO44/[1]SETTINGS!$C$31)*[1]SETTINGS!$C$32,0)),"")</f>
        <v/>
      </c>
      <c r="CQ44" s="62" t="str">
        <f t="shared" si="31"/>
        <v/>
      </c>
      <c r="CR44" s="64" t="str">
        <f t="shared" si="10"/>
        <v/>
      </c>
      <c r="CS44" s="65" t="str">
        <f t="shared" si="32"/>
        <v/>
      </c>
      <c r="CT44" s="72"/>
      <c r="CU44" s="63">
        <v>12</v>
      </c>
      <c r="CV44" s="63">
        <v>9</v>
      </c>
      <c r="CW44" s="63">
        <v>14</v>
      </c>
      <c r="CX44" s="63">
        <v>9</v>
      </c>
      <c r="CY44" s="61">
        <f t="shared" si="33"/>
        <v>44</v>
      </c>
      <c r="CZ44" s="62" t="str">
        <f>IFERROR(IF(CY44=0,"",ROUND((CY44/SUM([1]SETTINGS!$C$26:$C$29))*[1]SETTINGS!$C$30,0)),"")</f>
        <v/>
      </c>
      <c r="DA44" s="63">
        <v>58</v>
      </c>
      <c r="DB44" s="62" t="str">
        <f>IFERROR(IF(ISBLANK(DA44),"",ROUND((DA44/[1]SETTINGS!$C$31)*[1]SETTINGS!$C$32,0)),"")</f>
        <v/>
      </c>
      <c r="DC44" s="62" t="str">
        <f t="shared" si="34"/>
        <v/>
      </c>
      <c r="DD44" s="64" t="str">
        <f t="shared" si="11"/>
        <v/>
      </c>
      <c r="DE44" s="65" t="str">
        <f t="shared" si="35"/>
        <v/>
      </c>
      <c r="DF44" s="64" t="str">
        <f t="shared" si="12"/>
        <v/>
      </c>
      <c r="DG44" s="64" t="str">
        <f>IFERROR(IF(AND(K44,W44,AI44,AU44,BG44,BS44,CE44,CQ44,DC44)="","",SUM(K44,W44,AI44,AU44,LARGE((BG44,BS44,CE44,CQ44,DC44),{1,2}))),"")</f>
        <v/>
      </c>
      <c r="DH44" s="64" t="str">
        <f>IFERROR(IF(AND(M44,Y44,AK44,AW44,,BI44,BU44,CG44,CS44,DE44)="","",SUM(M44,Y44,AK44,AW44,SMALL((BI44,BU44,CG44,CS44,DE44),{1,2}))),"")</f>
        <v/>
      </c>
      <c r="DI44" s="76" t="str">
        <f>IFERROR(pos&amp;IF(AND(MOD(ABS(18),100)&gt;10,MOD(ABS(pos),100)&lt;14),"th", CHOOSE(MOD(ABS(pos),10)+1,"th","st","nd","rd","th","th","th","th","th","th")),"")</f>
        <v/>
      </c>
      <c r="DJ44" s="15">
        <f>ROWS($B$12:$B44)</f>
        <v>33</v>
      </c>
      <c r="DK44" s="15">
        <f>IF($B44=[1]REPORT_CARD!$B$9,$DJ44,"")</f>
        <v>33</v>
      </c>
      <c r="DM44" s="74"/>
    </row>
    <row r="45" spans="1:117" ht="19.5" customHeight="1">
      <c r="A45" s="59" t="str">
        <f>IFERROR(IF(ISBLANK([1]PRIMARY_INFO!$A45),"",[1]PRIMARY_INFO!$A45),"")</f>
        <v/>
      </c>
      <c r="B45" s="59" t="str">
        <f>IFERROR(IF(ISBLANK([1]PRIMARY_INFO!$B45),"",[1]PRIMARY_INFO!$B45),"")</f>
        <v/>
      </c>
      <c r="C45" s="63">
        <v>14</v>
      </c>
      <c r="D45" s="63">
        <v>14</v>
      </c>
      <c r="E45" s="63">
        <v>15</v>
      </c>
      <c r="F45" s="63">
        <v>11</v>
      </c>
      <c r="G45" s="61">
        <f t="shared" si="36"/>
        <v>54</v>
      </c>
      <c r="H45" s="62" t="str">
        <f>IFERROR(IF(G45=0,"",ROUND((G45/SUM([1]SETTINGS!$C$26:$C$29))*[1]SETTINGS!$C$30,0)),"")</f>
        <v/>
      </c>
      <c r="I45" s="63">
        <v>47</v>
      </c>
      <c r="J45" s="62" t="str">
        <f>IFERROR(IF(ISBLANK(I45),"",ROUND((I45/[1]SETTINGS!$C$31)*[1]SETTINGS!$C$32,0)),"")</f>
        <v/>
      </c>
      <c r="K45" s="62" t="str">
        <f t="shared" si="13"/>
        <v/>
      </c>
      <c r="L45" s="64" t="str">
        <f t="shared" si="0"/>
        <v/>
      </c>
      <c r="M45" s="65" t="str">
        <f t="shared" si="14"/>
        <v/>
      </c>
      <c r="N45" s="66"/>
      <c r="O45" s="63">
        <v>15</v>
      </c>
      <c r="P45" s="63">
        <v>10</v>
      </c>
      <c r="Q45" s="63">
        <v>14</v>
      </c>
      <c r="R45" s="63">
        <v>12</v>
      </c>
      <c r="S45" s="61">
        <f t="shared" si="37"/>
        <v>51</v>
      </c>
      <c r="T45" s="62" t="str">
        <f>IFERROR(IF(S45=0,"",ROUND((S45/SUM([1]SETTINGS!$C$26:$C$29))*[1]SETTINGS!$C$30,0)),"")</f>
        <v/>
      </c>
      <c r="U45" s="63">
        <v>50</v>
      </c>
      <c r="V45" s="62" t="str">
        <f>IFERROR(IF(ISBLANK(U45),"",ROUND((U45/[1]SETTINGS!$C$31)*[1]SETTINGS!$C$32,0)),"")</f>
        <v/>
      </c>
      <c r="W45" s="62" t="str">
        <f t="shared" si="2"/>
        <v/>
      </c>
      <c r="X45" s="64" t="str">
        <f t="shared" si="3"/>
        <v/>
      </c>
      <c r="Y45" s="65" t="str">
        <f t="shared" si="4"/>
        <v/>
      </c>
      <c r="Z45" s="72"/>
      <c r="AA45" s="63">
        <v>12</v>
      </c>
      <c r="AB45" s="63">
        <v>10</v>
      </c>
      <c r="AC45" s="63">
        <v>12</v>
      </c>
      <c r="AD45" s="63">
        <v>14</v>
      </c>
      <c r="AE45" s="61">
        <f t="shared" si="15"/>
        <v>48</v>
      </c>
      <c r="AF45" s="62" t="str">
        <f>IFERROR(IF(AE45=0,"",ROUND((AE45/SUM([1]SETTINGS!$C$26:$C$29))*[1]SETTINGS!$C$30,0)),"")</f>
        <v/>
      </c>
      <c r="AG45" s="63">
        <v>63</v>
      </c>
      <c r="AH45" s="62" t="str">
        <f>IFERROR(IF(ISBLANK(AG45),"",ROUND((AG45/[1]SETTINGS!$C$31)*[1]SETTINGS!$C$32,0)),"")</f>
        <v/>
      </c>
      <c r="AI45" s="62" t="str">
        <f t="shared" si="16"/>
        <v/>
      </c>
      <c r="AJ45" s="64" t="str">
        <f t="shared" si="5"/>
        <v/>
      </c>
      <c r="AK45" s="75" t="str">
        <f t="shared" si="17"/>
        <v/>
      </c>
      <c r="AL45" s="72"/>
      <c r="AM45" s="63">
        <v>9</v>
      </c>
      <c r="AN45" s="63">
        <v>12</v>
      </c>
      <c r="AO45" s="63">
        <v>10</v>
      </c>
      <c r="AP45" s="63">
        <v>15</v>
      </c>
      <c r="AQ45" s="61">
        <f t="shared" si="18"/>
        <v>46</v>
      </c>
      <c r="AR45" s="62" t="str">
        <f>IFERROR(IF(AQ45=0,"",ROUND((AQ45/SUM([1]SETTINGS!$C$26:$C$29))*[1]SETTINGS!$C$30,0)),"")</f>
        <v/>
      </c>
      <c r="AS45" s="63">
        <v>58</v>
      </c>
      <c r="AT45" s="62" t="str">
        <f>IFERROR(IF(ISBLANK(AS45),"",ROUND((AS45/[1]SETTINGS!$C$31)*[1]SETTINGS!$C$32,0)),"")</f>
        <v/>
      </c>
      <c r="AU45" s="62" t="str">
        <f t="shared" si="19"/>
        <v/>
      </c>
      <c r="AV45" s="64" t="str">
        <f t="shared" si="6"/>
        <v/>
      </c>
      <c r="AW45" s="65" t="str">
        <f t="shared" si="20"/>
        <v/>
      </c>
      <c r="AX45" s="72"/>
      <c r="AY45" s="63">
        <v>15</v>
      </c>
      <c r="AZ45" s="63">
        <v>13</v>
      </c>
      <c r="BA45" s="63">
        <v>11</v>
      </c>
      <c r="BB45" s="63">
        <v>15</v>
      </c>
      <c r="BC45" s="61">
        <f t="shared" si="21"/>
        <v>54</v>
      </c>
      <c r="BD45" s="62" t="str">
        <f>IFERROR(IF(BC45=0,"",ROUND((BC45/SUM([1]SETTINGS!$C$26:$C$29))*[1]SETTINGS!$C$30,0)),"")</f>
        <v/>
      </c>
      <c r="BE45" s="63">
        <v>81</v>
      </c>
      <c r="BF45" s="62" t="str">
        <f>IFERROR(IF(ISBLANK(BE45),"",ROUND((BE45/[1]SETTINGS!$C$31)*[1]SETTINGS!$C$32,0)),"")</f>
        <v/>
      </c>
      <c r="BG45" s="62" t="str">
        <f t="shared" si="22"/>
        <v/>
      </c>
      <c r="BH45" s="64" t="str">
        <f t="shared" si="7"/>
        <v/>
      </c>
      <c r="BI45" s="75" t="str">
        <f t="shared" si="23"/>
        <v/>
      </c>
      <c r="BJ45" s="72"/>
      <c r="BK45" s="63">
        <v>15</v>
      </c>
      <c r="BL45" s="63">
        <v>9</v>
      </c>
      <c r="BM45" s="63">
        <v>6</v>
      </c>
      <c r="BN45" s="63">
        <v>15</v>
      </c>
      <c r="BO45" s="61">
        <f t="shared" si="24"/>
        <v>45</v>
      </c>
      <c r="BP45" s="62" t="str">
        <f>IFERROR(IF(BO45=0,"",ROUND((BO45/SUM([1]SETTINGS!$C$26:$C$29))*[1]SETTINGS!$C$30,0)),"")</f>
        <v/>
      </c>
      <c r="BQ45" s="63">
        <v>63</v>
      </c>
      <c r="BR45" s="62" t="str">
        <f>IFERROR(IF(ISBLANK(BQ45),"",ROUND((BQ45/[1]SETTINGS!$C$31)*[1]SETTINGS!$C$32,0)),"")</f>
        <v/>
      </c>
      <c r="BS45" s="62" t="str">
        <f t="shared" si="25"/>
        <v/>
      </c>
      <c r="BT45" s="64" t="str">
        <f t="shared" si="8"/>
        <v/>
      </c>
      <c r="BU45" s="65" t="str">
        <f t="shared" si="26"/>
        <v/>
      </c>
      <c r="BV45" s="72"/>
      <c r="BW45" s="63">
        <v>15</v>
      </c>
      <c r="BX45" s="63">
        <v>13</v>
      </c>
      <c r="BY45" s="63">
        <v>12</v>
      </c>
      <c r="BZ45" s="63">
        <v>15</v>
      </c>
      <c r="CA45" s="61">
        <f t="shared" si="27"/>
        <v>55</v>
      </c>
      <c r="CB45" s="62" t="str">
        <f>IFERROR(IF(CA45=0,"",ROUND((CA45/SUM([1]SETTINGS!$C$26:$C$29))*[1]SETTINGS!$C$30,0)),"")</f>
        <v/>
      </c>
      <c r="CC45" s="63">
        <v>69</v>
      </c>
      <c r="CD45" s="62" t="str">
        <f>IFERROR(IF(ISBLANK(CC45),"",ROUND((CC45/[1]SETTINGS!$C$31)*[1]SETTINGS!$C$32,0)),"")</f>
        <v/>
      </c>
      <c r="CE45" s="62" t="str">
        <f t="shared" si="28"/>
        <v/>
      </c>
      <c r="CF45" s="64" t="str">
        <f t="shared" si="9"/>
        <v/>
      </c>
      <c r="CG45" s="65" t="str">
        <f t="shared" si="29"/>
        <v/>
      </c>
      <c r="CH45" s="72"/>
      <c r="CI45" s="63">
        <v>15</v>
      </c>
      <c r="CJ45" s="63">
        <v>15</v>
      </c>
      <c r="CK45" s="63">
        <v>14</v>
      </c>
      <c r="CL45" s="63">
        <v>13</v>
      </c>
      <c r="CM45" s="61">
        <f t="shared" si="30"/>
        <v>57</v>
      </c>
      <c r="CN45" s="62" t="str">
        <f>IFERROR(IF(CM45=0,"",ROUND((CM45/SUM([1]SETTINGS!$C$26:$C$29))*[1]SETTINGS!$C$30,0)),"")</f>
        <v/>
      </c>
      <c r="CO45" s="63">
        <v>40</v>
      </c>
      <c r="CP45" s="62" t="str">
        <f>IFERROR(IF(ISBLANK(CO45),"",ROUND((CO45/[1]SETTINGS!$C$31)*[1]SETTINGS!$C$32,0)),"")</f>
        <v/>
      </c>
      <c r="CQ45" s="62" t="str">
        <f t="shared" si="31"/>
        <v/>
      </c>
      <c r="CR45" s="64" t="str">
        <f t="shared" si="10"/>
        <v/>
      </c>
      <c r="CS45" s="65" t="str">
        <f t="shared" si="32"/>
        <v/>
      </c>
      <c r="CT45" s="72"/>
      <c r="CU45" s="63">
        <v>13</v>
      </c>
      <c r="CV45" s="63">
        <v>9</v>
      </c>
      <c r="CW45" s="63">
        <v>8</v>
      </c>
      <c r="CX45" s="63">
        <v>9</v>
      </c>
      <c r="CY45" s="61">
        <f t="shared" si="33"/>
        <v>39</v>
      </c>
      <c r="CZ45" s="62" t="str">
        <f>IFERROR(IF(CY45=0,"",ROUND((CY45/SUM([1]SETTINGS!$C$26:$C$29))*[1]SETTINGS!$C$30,0)),"")</f>
        <v/>
      </c>
      <c r="DA45" s="63">
        <v>43</v>
      </c>
      <c r="DB45" s="62" t="str">
        <f>IFERROR(IF(ISBLANK(DA45),"",ROUND((DA45/[1]SETTINGS!$C$31)*[1]SETTINGS!$C$32,0)),"")</f>
        <v/>
      </c>
      <c r="DC45" s="62" t="str">
        <f t="shared" si="34"/>
        <v/>
      </c>
      <c r="DD45" s="64" t="str">
        <f t="shared" si="11"/>
        <v/>
      </c>
      <c r="DE45" s="65" t="str">
        <f t="shared" si="35"/>
        <v/>
      </c>
      <c r="DF45" s="64" t="str">
        <f t="shared" si="12"/>
        <v/>
      </c>
      <c r="DG45" s="64" t="str">
        <f>IFERROR(IF(AND(K45,W45,AI45,AU45,BG45,BS45,CE45,CQ45,DC45)="","",SUM(K45,W45,AI45,AU45,LARGE((BG45,BS45,CE45,CQ45,DC45),{1,2}))),"")</f>
        <v/>
      </c>
      <c r="DH45" s="64" t="str">
        <f>IFERROR(IF(AND(M45,Y45,AK45,AW45,,BI45,BU45,CG45,CS45,DE45)="","",SUM(M45,Y45,AK45,AW45,SMALL((BI45,BU45,CG45,CS45,DE45),{1,2}))),"")</f>
        <v/>
      </c>
      <c r="DI45" s="76" t="str">
        <f>IFERROR(pos&amp;IF(AND(MOD(ABS(18),100)&gt;10,MOD(ABS(pos),100)&lt;14),"th", CHOOSE(MOD(ABS(pos),10)+1,"th","st","nd","rd","th","th","th","th","th","th")),"")</f>
        <v/>
      </c>
      <c r="DJ45" s="15">
        <f>ROWS($B$12:$B45)</f>
        <v>34</v>
      </c>
      <c r="DK45" s="15">
        <f>IF($B45=[1]REPORT_CARD!$B$9,$DJ45,"")</f>
        <v>34</v>
      </c>
      <c r="DM45" s="74"/>
    </row>
    <row r="46" spans="1:117" ht="19.5" customHeight="1">
      <c r="A46" s="59" t="str">
        <f>IFERROR(IF(ISBLANK([1]PRIMARY_INFO!$A46),"",[1]PRIMARY_INFO!$A46),"")</f>
        <v/>
      </c>
      <c r="B46" s="59" t="str">
        <f>IFERROR(IF(ISBLANK([1]PRIMARY_INFO!$B46),"",[1]PRIMARY_INFO!$B46),"")</f>
        <v/>
      </c>
      <c r="C46" s="63">
        <v>12</v>
      </c>
      <c r="D46" s="63">
        <v>15</v>
      </c>
      <c r="E46" s="63">
        <v>15</v>
      </c>
      <c r="F46" s="63">
        <v>10</v>
      </c>
      <c r="G46" s="61">
        <f t="shared" si="36"/>
        <v>52</v>
      </c>
      <c r="H46" s="62" t="str">
        <f>IFERROR(IF(G46=0,"",ROUND((G46/SUM([1]SETTINGS!$C$26:$C$29))*[1]SETTINGS!$C$30,0)),"")</f>
        <v/>
      </c>
      <c r="I46" s="63">
        <v>44</v>
      </c>
      <c r="J46" s="62" t="str">
        <f>IFERROR(IF(ISBLANK(I46),"",ROUND((I46/[1]SETTINGS!$C$31)*[1]SETTINGS!$C$32,0)),"")</f>
        <v/>
      </c>
      <c r="K46" s="62" t="str">
        <f t="shared" si="13"/>
        <v/>
      </c>
      <c r="L46" s="64" t="str">
        <f t="shared" si="0"/>
        <v/>
      </c>
      <c r="M46" s="65" t="str">
        <f t="shared" si="14"/>
        <v/>
      </c>
      <c r="N46" s="66"/>
      <c r="O46" s="63">
        <v>15</v>
      </c>
      <c r="P46" s="63">
        <v>13</v>
      </c>
      <c r="Q46" s="63">
        <v>13</v>
      </c>
      <c r="R46" s="63">
        <v>13</v>
      </c>
      <c r="S46" s="61">
        <f t="shared" si="37"/>
        <v>54</v>
      </c>
      <c r="T46" s="62" t="str">
        <f>IFERROR(IF(S46=0,"",ROUND((S46/SUM([1]SETTINGS!$C$26:$C$29))*[1]SETTINGS!$C$30,0)),"")</f>
        <v/>
      </c>
      <c r="U46" s="63">
        <v>62</v>
      </c>
      <c r="V46" s="62" t="str">
        <f>IFERROR(IF(ISBLANK(U46),"",ROUND((U46/[1]SETTINGS!$C$31)*[1]SETTINGS!$C$32,0)),"")</f>
        <v/>
      </c>
      <c r="W46" s="62" t="str">
        <f t="shared" si="2"/>
        <v/>
      </c>
      <c r="X46" s="64" t="str">
        <f t="shared" si="3"/>
        <v/>
      </c>
      <c r="Y46" s="65" t="str">
        <f t="shared" si="4"/>
        <v/>
      </c>
      <c r="Z46" s="72"/>
      <c r="AA46" s="63">
        <v>15</v>
      </c>
      <c r="AB46" s="63">
        <v>10</v>
      </c>
      <c r="AC46" s="63">
        <v>10</v>
      </c>
      <c r="AD46" s="63">
        <v>12</v>
      </c>
      <c r="AE46" s="61">
        <f t="shared" si="15"/>
        <v>47</v>
      </c>
      <c r="AF46" s="62" t="str">
        <f>IFERROR(IF(AE46=0,"",ROUND((AE46/SUM([1]SETTINGS!$C$26:$C$29))*[1]SETTINGS!$C$30,0)),"")</f>
        <v/>
      </c>
      <c r="AG46" s="63">
        <v>73</v>
      </c>
      <c r="AH46" s="62" t="str">
        <f>IFERROR(IF(ISBLANK(AG46),"",ROUND((AG46/[1]SETTINGS!$C$31)*[1]SETTINGS!$C$32,0)),"")</f>
        <v/>
      </c>
      <c r="AI46" s="62" t="str">
        <f t="shared" si="16"/>
        <v/>
      </c>
      <c r="AJ46" s="64" t="str">
        <f t="shared" si="5"/>
        <v/>
      </c>
      <c r="AK46" s="75" t="str">
        <f t="shared" si="17"/>
        <v/>
      </c>
      <c r="AL46" s="72"/>
      <c r="AM46" s="63">
        <v>10</v>
      </c>
      <c r="AN46" s="63">
        <v>11</v>
      </c>
      <c r="AO46" s="63">
        <v>9</v>
      </c>
      <c r="AP46" s="63">
        <v>15</v>
      </c>
      <c r="AQ46" s="61">
        <f t="shared" si="18"/>
        <v>45</v>
      </c>
      <c r="AR46" s="62" t="str">
        <f>IFERROR(IF(AQ46=0,"",ROUND((AQ46/SUM([1]SETTINGS!$C$26:$C$29))*[1]SETTINGS!$C$30,0)),"")</f>
        <v/>
      </c>
      <c r="AS46" s="63">
        <v>47</v>
      </c>
      <c r="AT46" s="62" t="str">
        <f>IFERROR(IF(ISBLANK(AS46),"",ROUND((AS46/[1]SETTINGS!$C$31)*[1]SETTINGS!$C$32,0)),"")</f>
        <v/>
      </c>
      <c r="AU46" s="62" t="str">
        <f t="shared" si="19"/>
        <v/>
      </c>
      <c r="AV46" s="64" t="str">
        <f t="shared" si="6"/>
        <v/>
      </c>
      <c r="AW46" s="65" t="str">
        <f t="shared" si="20"/>
        <v/>
      </c>
      <c r="AX46" s="72"/>
      <c r="AY46" s="63">
        <v>15</v>
      </c>
      <c r="AZ46" s="63">
        <v>11</v>
      </c>
      <c r="BA46" s="63">
        <v>10</v>
      </c>
      <c r="BB46" s="63">
        <v>10</v>
      </c>
      <c r="BC46" s="61">
        <f t="shared" si="21"/>
        <v>46</v>
      </c>
      <c r="BD46" s="62" t="str">
        <f>IFERROR(IF(BC46=0,"",ROUND((BC46/SUM([1]SETTINGS!$C$26:$C$29))*[1]SETTINGS!$C$30,0)),"")</f>
        <v/>
      </c>
      <c r="BE46" s="63">
        <v>85</v>
      </c>
      <c r="BF46" s="62" t="str">
        <f>IFERROR(IF(ISBLANK(BE46),"",ROUND((BE46/[1]SETTINGS!$C$31)*[1]SETTINGS!$C$32,0)),"")</f>
        <v/>
      </c>
      <c r="BG46" s="62" t="str">
        <f t="shared" si="22"/>
        <v/>
      </c>
      <c r="BH46" s="64" t="str">
        <f t="shared" si="7"/>
        <v/>
      </c>
      <c r="BI46" s="75" t="str">
        <f t="shared" si="23"/>
        <v/>
      </c>
      <c r="BJ46" s="72"/>
      <c r="BK46" s="63">
        <v>15</v>
      </c>
      <c r="BL46" s="63">
        <v>15</v>
      </c>
      <c r="BM46" s="63">
        <v>5</v>
      </c>
      <c r="BN46" s="63">
        <v>15</v>
      </c>
      <c r="BO46" s="61">
        <f t="shared" si="24"/>
        <v>50</v>
      </c>
      <c r="BP46" s="62" t="str">
        <f>IFERROR(IF(BO46=0,"",ROUND((BO46/SUM([1]SETTINGS!$C$26:$C$29))*[1]SETTINGS!$C$30,0)),"")</f>
        <v/>
      </c>
      <c r="BQ46" s="63">
        <v>51</v>
      </c>
      <c r="BR46" s="62" t="str">
        <f>IFERROR(IF(ISBLANK(BQ46),"",ROUND((BQ46/[1]SETTINGS!$C$31)*[1]SETTINGS!$C$32,0)),"")</f>
        <v/>
      </c>
      <c r="BS46" s="62" t="str">
        <f t="shared" si="25"/>
        <v/>
      </c>
      <c r="BT46" s="64" t="str">
        <f t="shared" si="8"/>
        <v/>
      </c>
      <c r="BU46" s="65" t="str">
        <f t="shared" si="26"/>
        <v/>
      </c>
      <c r="BV46" s="72"/>
      <c r="BW46" s="63">
        <v>13</v>
      </c>
      <c r="BX46" s="63">
        <v>13</v>
      </c>
      <c r="BY46" s="63">
        <v>14</v>
      </c>
      <c r="BZ46" s="63">
        <v>15</v>
      </c>
      <c r="CA46" s="61">
        <f t="shared" si="27"/>
        <v>55</v>
      </c>
      <c r="CB46" s="62" t="str">
        <f>IFERROR(IF(CA46=0,"",ROUND((CA46/SUM([1]SETTINGS!$C$26:$C$29))*[1]SETTINGS!$C$30,0)),"")</f>
        <v/>
      </c>
      <c r="CC46" s="63">
        <v>71</v>
      </c>
      <c r="CD46" s="62" t="str">
        <f>IFERROR(IF(ISBLANK(CC46),"",ROUND((CC46/[1]SETTINGS!$C$31)*[1]SETTINGS!$C$32,0)),"")</f>
        <v/>
      </c>
      <c r="CE46" s="62" t="str">
        <f t="shared" si="28"/>
        <v/>
      </c>
      <c r="CF46" s="64" t="str">
        <f t="shared" si="9"/>
        <v/>
      </c>
      <c r="CG46" s="65" t="str">
        <f t="shared" si="29"/>
        <v/>
      </c>
      <c r="CH46" s="72"/>
      <c r="CI46" s="63">
        <v>14</v>
      </c>
      <c r="CJ46" s="63">
        <v>13</v>
      </c>
      <c r="CK46" s="63">
        <v>15</v>
      </c>
      <c r="CL46" s="63">
        <v>14</v>
      </c>
      <c r="CM46" s="61">
        <f t="shared" si="30"/>
        <v>56</v>
      </c>
      <c r="CN46" s="62" t="str">
        <f>IFERROR(IF(CM46=0,"",ROUND((CM46/SUM([1]SETTINGS!$C$26:$C$29))*[1]SETTINGS!$C$30,0)),"")</f>
        <v/>
      </c>
      <c r="CO46" s="63">
        <v>63</v>
      </c>
      <c r="CP46" s="62" t="str">
        <f>IFERROR(IF(ISBLANK(CO46),"",ROUND((CO46/[1]SETTINGS!$C$31)*[1]SETTINGS!$C$32,0)),"")</f>
        <v/>
      </c>
      <c r="CQ46" s="62" t="str">
        <f t="shared" si="31"/>
        <v/>
      </c>
      <c r="CR46" s="64" t="str">
        <f t="shared" si="10"/>
        <v/>
      </c>
      <c r="CS46" s="65" t="str">
        <f t="shared" si="32"/>
        <v/>
      </c>
      <c r="CT46" s="72"/>
      <c r="CU46" s="63">
        <v>12</v>
      </c>
      <c r="CV46" s="63">
        <v>6</v>
      </c>
      <c r="CW46" s="63">
        <v>14</v>
      </c>
      <c r="CX46" s="63">
        <v>6</v>
      </c>
      <c r="CY46" s="61">
        <f t="shared" si="33"/>
        <v>38</v>
      </c>
      <c r="CZ46" s="62" t="str">
        <f>IFERROR(IF(CY46=0,"",ROUND((CY46/SUM([1]SETTINGS!$C$26:$C$29))*[1]SETTINGS!$C$30,0)),"")</f>
        <v/>
      </c>
      <c r="DA46" s="63">
        <v>52</v>
      </c>
      <c r="DB46" s="62" t="str">
        <f>IFERROR(IF(ISBLANK(DA46),"",ROUND((DA46/[1]SETTINGS!$C$31)*[1]SETTINGS!$C$32,0)),"")</f>
        <v/>
      </c>
      <c r="DC46" s="62" t="str">
        <f t="shared" si="34"/>
        <v/>
      </c>
      <c r="DD46" s="64" t="str">
        <f t="shared" si="11"/>
        <v/>
      </c>
      <c r="DE46" s="65" t="str">
        <f t="shared" si="35"/>
        <v/>
      </c>
      <c r="DF46" s="64" t="str">
        <f t="shared" si="12"/>
        <v/>
      </c>
      <c r="DG46" s="64" t="str">
        <f>IFERROR(IF(AND(K46,W46,AI46,AU46,BG46,BS46,CE46,CQ46,DC46)="","",SUM(K46,W46,AI46,AU46,LARGE((BG46,BS46,CE46,CQ46,DC46),{1,2}))),"")</f>
        <v/>
      </c>
      <c r="DH46" s="64" t="str">
        <f>IFERROR(IF(AND(M46,Y46,AK46,AW46,,BI46,BU46,CG46,CS46,DE46)="","",SUM(M46,Y46,AK46,AW46,SMALL((BI46,BU46,CG46,CS46,DE46),{1,2}))),"")</f>
        <v/>
      </c>
      <c r="DI46" s="76" t="str">
        <f>IFERROR(pos&amp;IF(AND(MOD(ABS(18),100)&gt;10,MOD(ABS(pos),100)&lt;14),"th", CHOOSE(MOD(ABS(pos),10)+1,"th","st","nd","rd","th","th","th","th","th","th")),"")</f>
        <v/>
      </c>
      <c r="DJ46" s="15">
        <f>ROWS($B$12:$B46)</f>
        <v>35</v>
      </c>
      <c r="DK46" s="15">
        <f>IF($B46=[1]REPORT_CARD!$B$9,$DJ46,"")</f>
        <v>35</v>
      </c>
      <c r="DM46" s="74"/>
    </row>
    <row r="47" spans="1:117" ht="19.5" customHeight="1">
      <c r="A47" s="59" t="str">
        <f>IFERROR(IF(ISBLANK([1]PRIMARY_INFO!$A47),"",[1]PRIMARY_INFO!$A47),"")</f>
        <v/>
      </c>
      <c r="B47" s="59" t="str">
        <f>IFERROR(IF(ISBLANK([1]PRIMARY_INFO!$B47),"",[1]PRIMARY_INFO!$B47),"")</f>
        <v/>
      </c>
      <c r="C47" s="63">
        <v>12</v>
      </c>
      <c r="D47" s="63">
        <v>14</v>
      </c>
      <c r="E47" s="63">
        <v>10</v>
      </c>
      <c r="F47" s="63">
        <v>12</v>
      </c>
      <c r="G47" s="61">
        <f t="shared" si="36"/>
        <v>48</v>
      </c>
      <c r="H47" s="62" t="str">
        <f>IFERROR(IF(G47=0,"",ROUND((G47/SUM([1]SETTINGS!$C$26:$C$29))*[1]SETTINGS!$C$30,0)),"")</f>
        <v/>
      </c>
      <c r="I47" s="63">
        <v>28</v>
      </c>
      <c r="J47" s="62" t="str">
        <f>IFERROR(IF(ISBLANK(I47),"",ROUND((I47/[1]SETTINGS!$C$31)*[1]SETTINGS!$C$32,0)),"")</f>
        <v/>
      </c>
      <c r="K47" s="62" t="str">
        <f t="shared" si="13"/>
        <v/>
      </c>
      <c r="L47" s="64" t="str">
        <f t="shared" si="0"/>
        <v/>
      </c>
      <c r="M47" s="65" t="str">
        <f t="shared" si="14"/>
        <v/>
      </c>
      <c r="N47" s="66"/>
      <c r="O47" s="63">
        <v>5</v>
      </c>
      <c r="P47" s="63">
        <v>13</v>
      </c>
      <c r="Q47" s="63">
        <v>5</v>
      </c>
      <c r="R47" s="63">
        <v>5</v>
      </c>
      <c r="S47" s="61">
        <f t="shared" si="37"/>
        <v>28</v>
      </c>
      <c r="T47" s="62" t="str">
        <f>IFERROR(IF(S47=0,"",ROUND((S47/SUM([1]SETTINGS!$C$26:$C$29))*[1]SETTINGS!$C$30,0)),"")</f>
        <v/>
      </c>
      <c r="U47" s="63">
        <v>29</v>
      </c>
      <c r="V47" s="62" t="str">
        <f>IFERROR(IF(ISBLANK(U47),"",ROUND((U47/[1]SETTINGS!$C$31)*[1]SETTINGS!$C$32,0)),"")</f>
        <v/>
      </c>
      <c r="W47" s="62" t="str">
        <f t="shared" si="2"/>
        <v/>
      </c>
      <c r="X47" s="64" t="str">
        <f t="shared" si="3"/>
        <v/>
      </c>
      <c r="Y47" s="65" t="str">
        <f t="shared" si="4"/>
        <v/>
      </c>
      <c r="Z47" s="72"/>
      <c r="AA47" s="63">
        <v>6</v>
      </c>
      <c r="AB47" s="63">
        <v>10</v>
      </c>
      <c r="AC47" s="63">
        <v>10</v>
      </c>
      <c r="AD47" s="63">
        <v>14</v>
      </c>
      <c r="AE47" s="61">
        <f t="shared" si="15"/>
        <v>40</v>
      </c>
      <c r="AF47" s="62" t="str">
        <f>IFERROR(IF(AE47=0,"",ROUND((AE47/SUM([1]SETTINGS!$C$26:$C$29))*[1]SETTINGS!$C$30,0)),"")</f>
        <v/>
      </c>
      <c r="AG47" s="63">
        <v>39</v>
      </c>
      <c r="AH47" s="62" t="str">
        <f>IFERROR(IF(ISBLANK(AG47),"",ROUND((AG47/[1]SETTINGS!$C$31)*[1]SETTINGS!$C$32,0)),"")</f>
        <v/>
      </c>
      <c r="AI47" s="62" t="str">
        <f t="shared" si="16"/>
        <v/>
      </c>
      <c r="AJ47" s="64" t="str">
        <f t="shared" si="5"/>
        <v/>
      </c>
      <c r="AK47" s="75" t="str">
        <f t="shared" si="17"/>
        <v/>
      </c>
      <c r="AL47" s="72"/>
      <c r="AM47" s="63">
        <v>10</v>
      </c>
      <c r="AN47" s="63">
        <v>6</v>
      </c>
      <c r="AO47" s="63">
        <v>7</v>
      </c>
      <c r="AP47" s="63">
        <v>14</v>
      </c>
      <c r="AQ47" s="61">
        <f t="shared" si="18"/>
        <v>37</v>
      </c>
      <c r="AR47" s="62" t="str">
        <f>IFERROR(IF(AQ47=0,"",ROUND((AQ47/SUM([1]SETTINGS!$C$26:$C$29))*[1]SETTINGS!$C$30,0)),"")</f>
        <v/>
      </c>
      <c r="AS47" s="63">
        <v>25</v>
      </c>
      <c r="AT47" s="62" t="str">
        <f>IFERROR(IF(ISBLANK(AS47),"",ROUND((AS47/[1]SETTINGS!$C$31)*[1]SETTINGS!$C$32,0)),"")</f>
        <v/>
      </c>
      <c r="AU47" s="62" t="str">
        <f t="shared" si="19"/>
        <v/>
      </c>
      <c r="AV47" s="64" t="str">
        <f t="shared" si="6"/>
        <v/>
      </c>
      <c r="AW47" s="65" t="str">
        <f t="shared" si="20"/>
        <v/>
      </c>
      <c r="AX47" s="72"/>
      <c r="AY47" s="63">
        <v>10</v>
      </c>
      <c r="AZ47" s="63">
        <v>10</v>
      </c>
      <c r="BA47" s="63">
        <v>12</v>
      </c>
      <c r="BB47" s="63">
        <v>12</v>
      </c>
      <c r="BC47" s="61">
        <f t="shared" si="21"/>
        <v>44</v>
      </c>
      <c r="BD47" s="62" t="str">
        <f>IFERROR(IF(BC47=0,"",ROUND((BC47/SUM([1]SETTINGS!$C$26:$C$29))*[1]SETTINGS!$C$30,0)),"")</f>
        <v/>
      </c>
      <c r="BE47" s="63">
        <v>30</v>
      </c>
      <c r="BF47" s="62" t="str">
        <f>IFERROR(IF(ISBLANK(BE47),"",ROUND((BE47/[1]SETTINGS!$C$31)*[1]SETTINGS!$C$32,0)),"")</f>
        <v/>
      </c>
      <c r="BG47" s="62" t="str">
        <f t="shared" si="22"/>
        <v/>
      </c>
      <c r="BH47" s="64" t="str">
        <f t="shared" si="7"/>
        <v/>
      </c>
      <c r="BI47" s="75" t="str">
        <f t="shared" si="23"/>
        <v/>
      </c>
      <c r="BJ47" s="72"/>
      <c r="BK47" s="63">
        <v>15</v>
      </c>
      <c r="BL47" s="63">
        <v>8</v>
      </c>
      <c r="BM47" s="63">
        <v>2</v>
      </c>
      <c r="BN47" s="63">
        <v>15</v>
      </c>
      <c r="BO47" s="61">
        <f t="shared" si="24"/>
        <v>40</v>
      </c>
      <c r="BP47" s="62" t="str">
        <f>IFERROR(IF(BO47=0,"",ROUND((BO47/SUM([1]SETTINGS!$C$26:$C$29))*[1]SETTINGS!$C$30,0)),"")</f>
        <v/>
      </c>
      <c r="BQ47" s="63">
        <v>27</v>
      </c>
      <c r="BR47" s="62" t="str">
        <f>IFERROR(IF(ISBLANK(BQ47),"",ROUND((BQ47/[1]SETTINGS!$C$31)*[1]SETTINGS!$C$32,0)),"")</f>
        <v/>
      </c>
      <c r="BS47" s="62" t="str">
        <f t="shared" si="25"/>
        <v/>
      </c>
      <c r="BT47" s="64" t="str">
        <f t="shared" si="8"/>
        <v/>
      </c>
      <c r="BU47" s="65" t="str">
        <f t="shared" si="26"/>
        <v/>
      </c>
      <c r="BV47" s="72"/>
      <c r="BW47" s="63">
        <v>13</v>
      </c>
      <c r="BX47" s="63">
        <v>9</v>
      </c>
      <c r="BY47" s="63">
        <v>13</v>
      </c>
      <c r="BZ47" s="63">
        <v>6</v>
      </c>
      <c r="CA47" s="61">
        <f t="shared" si="27"/>
        <v>41</v>
      </c>
      <c r="CB47" s="62" t="str">
        <f>IFERROR(IF(CA47=0,"",ROUND((CA47/SUM([1]SETTINGS!$C$26:$C$29))*[1]SETTINGS!$C$30,0)),"")</f>
        <v/>
      </c>
      <c r="CC47" s="63">
        <v>26</v>
      </c>
      <c r="CD47" s="62" t="str">
        <f>IFERROR(IF(ISBLANK(CC47),"",ROUND((CC47/[1]SETTINGS!$C$31)*[1]SETTINGS!$C$32,0)),"")</f>
        <v/>
      </c>
      <c r="CE47" s="62" t="str">
        <f t="shared" si="28"/>
        <v/>
      </c>
      <c r="CF47" s="64" t="str">
        <f t="shared" si="9"/>
        <v/>
      </c>
      <c r="CG47" s="65" t="str">
        <f t="shared" si="29"/>
        <v/>
      </c>
      <c r="CH47" s="72"/>
      <c r="CI47" s="63">
        <v>8</v>
      </c>
      <c r="CJ47" s="63">
        <v>13</v>
      </c>
      <c r="CK47" s="63">
        <v>8</v>
      </c>
      <c r="CL47" s="63">
        <v>10</v>
      </c>
      <c r="CM47" s="61">
        <f t="shared" si="30"/>
        <v>39</v>
      </c>
      <c r="CN47" s="62" t="str">
        <f>IFERROR(IF(CM47=0,"",ROUND((CM47/SUM([1]SETTINGS!$C$26:$C$29))*[1]SETTINGS!$C$30,0)),"")</f>
        <v/>
      </c>
      <c r="CO47" s="63">
        <v>17</v>
      </c>
      <c r="CP47" s="62" t="str">
        <f>IFERROR(IF(ISBLANK(CO47),"",ROUND((CO47/[1]SETTINGS!$C$31)*[1]SETTINGS!$C$32,0)),"")</f>
        <v/>
      </c>
      <c r="CQ47" s="62" t="str">
        <f t="shared" si="31"/>
        <v/>
      </c>
      <c r="CR47" s="64" t="str">
        <f t="shared" si="10"/>
        <v/>
      </c>
      <c r="CS47" s="65" t="str">
        <f t="shared" si="32"/>
        <v/>
      </c>
      <c r="CT47" s="72"/>
      <c r="CU47" s="63">
        <v>11</v>
      </c>
      <c r="CV47" s="63">
        <v>7</v>
      </c>
      <c r="CW47" s="63">
        <v>12</v>
      </c>
      <c r="CX47" s="63">
        <v>8</v>
      </c>
      <c r="CY47" s="61">
        <f t="shared" si="33"/>
        <v>38</v>
      </c>
      <c r="CZ47" s="62" t="str">
        <f>IFERROR(IF(CY47=0,"",ROUND((CY47/SUM([1]SETTINGS!$C$26:$C$29))*[1]SETTINGS!$C$30,0)),"")</f>
        <v/>
      </c>
      <c r="DA47" s="63">
        <v>26</v>
      </c>
      <c r="DB47" s="62" t="str">
        <f>IFERROR(IF(ISBLANK(DA47),"",ROUND((DA47/[1]SETTINGS!$C$31)*[1]SETTINGS!$C$32,0)),"")</f>
        <v/>
      </c>
      <c r="DC47" s="62" t="str">
        <f t="shared" si="34"/>
        <v/>
      </c>
      <c r="DD47" s="64" t="str">
        <f t="shared" si="11"/>
        <v/>
      </c>
      <c r="DE47" s="65" t="str">
        <f t="shared" si="35"/>
        <v/>
      </c>
      <c r="DF47" s="64" t="str">
        <f t="shared" si="12"/>
        <v/>
      </c>
      <c r="DG47" s="64" t="str">
        <f>IFERROR(IF(AND(K47,W47,AI47,AU47,BG47,BS47,CE47,CQ47,DC47)="","",SUM(K47,W47,AI47,AU47,LARGE((BG47,BS47,CE47,CQ47,DC47),{1,2}))),"")</f>
        <v/>
      </c>
      <c r="DH47" s="64" t="str">
        <f>IFERROR(IF(AND(M47,Y47,AK47,AW47,,BI47,BU47,CG47,CS47,DE47)="","",SUM(M47,Y47,AK47,AW47,SMALL((BI47,BU47,CG47,CS47,DE47),{1,2}))),"")</f>
        <v/>
      </c>
      <c r="DI47" s="76" t="str">
        <f>IFERROR(pos&amp;IF(AND(MOD(ABS(18),100)&gt;10,MOD(ABS(pos),100)&lt;14),"th", CHOOSE(MOD(ABS(pos),10)+1,"th","st","nd","rd","th","th","th","th","th","th")),"")</f>
        <v/>
      </c>
      <c r="DJ47" s="15">
        <f>ROWS($B$12:$B47)</f>
        <v>36</v>
      </c>
      <c r="DK47" s="15">
        <f>IF($B47=[1]REPORT_CARD!$B$9,$DJ47,"")</f>
        <v>36</v>
      </c>
      <c r="DM47" s="74"/>
    </row>
    <row r="48" spans="1:117" ht="19.5" customHeight="1">
      <c r="A48" s="59" t="str">
        <f>IFERROR(IF(ISBLANK([1]PRIMARY_INFO!$A48),"",[1]PRIMARY_INFO!$A48),"")</f>
        <v/>
      </c>
      <c r="B48" s="59" t="str">
        <f>IFERROR(IF(ISBLANK([1]PRIMARY_INFO!$B48),"",[1]PRIMARY_INFO!$B48),"")</f>
        <v/>
      </c>
      <c r="C48" s="63">
        <v>15</v>
      </c>
      <c r="D48" s="63">
        <v>14</v>
      </c>
      <c r="E48" s="63">
        <v>10</v>
      </c>
      <c r="F48" s="63">
        <v>10</v>
      </c>
      <c r="G48" s="61">
        <f t="shared" si="36"/>
        <v>49</v>
      </c>
      <c r="H48" s="62" t="str">
        <f>IFERROR(IF(G48=0,"",ROUND((G48/SUM([1]SETTINGS!$C$26:$C$29))*[1]SETTINGS!$C$30,0)),"")</f>
        <v/>
      </c>
      <c r="I48" s="63">
        <v>35</v>
      </c>
      <c r="J48" s="62" t="str">
        <f>IFERROR(IF(ISBLANK(I48),"",ROUND((I48/[1]SETTINGS!$C$31)*[1]SETTINGS!$C$32,0)),"")</f>
        <v/>
      </c>
      <c r="K48" s="62" t="str">
        <f t="shared" si="13"/>
        <v/>
      </c>
      <c r="L48" s="64" t="str">
        <f t="shared" si="0"/>
        <v/>
      </c>
      <c r="M48" s="65" t="str">
        <f t="shared" si="14"/>
        <v/>
      </c>
      <c r="N48" s="66"/>
      <c r="O48" s="63">
        <v>11</v>
      </c>
      <c r="P48" s="63">
        <v>13</v>
      </c>
      <c r="Q48" s="63">
        <v>5</v>
      </c>
      <c r="R48" s="63">
        <v>8</v>
      </c>
      <c r="S48" s="61">
        <f t="shared" si="37"/>
        <v>37</v>
      </c>
      <c r="T48" s="62" t="str">
        <f>IFERROR(IF(S48=0,"",ROUND((S48/SUM([1]SETTINGS!$C$26:$C$29))*[1]SETTINGS!$C$30,0)),"")</f>
        <v/>
      </c>
      <c r="U48" s="63">
        <v>48</v>
      </c>
      <c r="V48" s="62" t="str">
        <f>IFERROR(IF(ISBLANK(U48),"",ROUND((U48/[1]SETTINGS!$C$31)*[1]SETTINGS!$C$32,0)),"")</f>
        <v/>
      </c>
      <c r="W48" s="62" t="str">
        <f t="shared" si="2"/>
        <v/>
      </c>
      <c r="X48" s="64" t="str">
        <f t="shared" si="3"/>
        <v/>
      </c>
      <c r="Y48" s="65" t="str">
        <f t="shared" si="4"/>
        <v/>
      </c>
      <c r="Z48" s="72"/>
      <c r="AA48" s="63">
        <v>6</v>
      </c>
      <c r="AB48" s="63">
        <v>10</v>
      </c>
      <c r="AC48" s="63">
        <v>12</v>
      </c>
      <c r="AD48" s="63">
        <v>9</v>
      </c>
      <c r="AE48" s="61">
        <f t="shared" si="15"/>
        <v>37</v>
      </c>
      <c r="AF48" s="62" t="str">
        <f>IFERROR(IF(AE48=0,"",ROUND((AE48/SUM([1]SETTINGS!$C$26:$C$29))*[1]SETTINGS!$C$30,0)),"")</f>
        <v/>
      </c>
      <c r="AG48" s="63">
        <v>31</v>
      </c>
      <c r="AH48" s="62" t="str">
        <f>IFERROR(IF(ISBLANK(AG48),"",ROUND((AG48/[1]SETTINGS!$C$31)*[1]SETTINGS!$C$32,0)),"")</f>
        <v/>
      </c>
      <c r="AI48" s="62" t="str">
        <f t="shared" si="16"/>
        <v/>
      </c>
      <c r="AJ48" s="64" t="str">
        <f t="shared" si="5"/>
        <v/>
      </c>
      <c r="AK48" s="75" t="str">
        <f t="shared" si="17"/>
        <v/>
      </c>
      <c r="AL48" s="72"/>
      <c r="AM48" s="63">
        <v>7</v>
      </c>
      <c r="AN48" s="63">
        <v>9</v>
      </c>
      <c r="AO48" s="63">
        <v>14</v>
      </c>
      <c r="AP48" s="63">
        <v>14</v>
      </c>
      <c r="AQ48" s="61">
        <f t="shared" si="18"/>
        <v>44</v>
      </c>
      <c r="AR48" s="62" t="str">
        <f>IFERROR(IF(AQ48=0,"",ROUND((AQ48/SUM([1]SETTINGS!$C$26:$C$29))*[1]SETTINGS!$C$30,0)),"")</f>
        <v/>
      </c>
      <c r="AS48" s="63">
        <v>30</v>
      </c>
      <c r="AT48" s="62" t="str">
        <f>IFERROR(IF(ISBLANK(AS48),"",ROUND((AS48/[1]SETTINGS!$C$31)*[1]SETTINGS!$C$32,0)),"")</f>
        <v/>
      </c>
      <c r="AU48" s="62" t="str">
        <f t="shared" si="19"/>
        <v/>
      </c>
      <c r="AV48" s="64" t="str">
        <f t="shared" si="6"/>
        <v/>
      </c>
      <c r="AW48" s="65" t="str">
        <f t="shared" si="20"/>
        <v/>
      </c>
      <c r="AX48" s="72"/>
      <c r="AY48" s="77">
        <v>11</v>
      </c>
      <c r="AZ48" s="77">
        <v>11</v>
      </c>
      <c r="BA48" s="77">
        <v>10</v>
      </c>
      <c r="BB48" s="77">
        <v>12</v>
      </c>
      <c r="BC48" s="61">
        <f t="shared" si="21"/>
        <v>44</v>
      </c>
      <c r="BD48" s="62" t="str">
        <f>IFERROR(IF(BC48=0,"",ROUND((BC48/SUM([1]SETTINGS!$C$26:$C$29))*[1]SETTINGS!$C$30,0)),"")</f>
        <v/>
      </c>
      <c r="BE48" s="77">
        <v>59</v>
      </c>
      <c r="BF48" s="62" t="str">
        <f>IFERROR(IF(ISBLANK(BE48),"",ROUND((BE48/[1]SETTINGS!$C$31)*[1]SETTINGS!$C$32,0)),"")</f>
        <v/>
      </c>
      <c r="BG48" s="62" t="str">
        <f t="shared" si="22"/>
        <v/>
      </c>
      <c r="BH48" s="64" t="str">
        <f t="shared" si="7"/>
        <v/>
      </c>
      <c r="BI48" s="75" t="str">
        <f t="shared" si="23"/>
        <v/>
      </c>
      <c r="BJ48" s="72"/>
      <c r="BK48" s="63">
        <v>1</v>
      </c>
      <c r="BL48" s="63">
        <v>15</v>
      </c>
      <c r="BM48" s="63">
        <v>3</v>
      </c>
      <c r="BN48" s="63">
        <v>15</v>
      </c>
      <c r="BO48" s="61">
        <f t="shared" si="24"/>
        <v>34</v>
      </c>
      <c r="BP48" s="62" t="str">
        <f>IFERROR(IF(BO48=0,"",ROUND((BO48/SUM([1]SETTINGS!$C$26:$C$29))*[1]SETTINGS!$C$30,0)),"")</f>
        <v/>
      </c>
      <c r="BQ48" s="63">
        <v>26</v>
      </c>
      <c r="BR48" s="62" t="str">
        <f>IFERROR(IF(ISBLANK(BQ48),"",ROUND((BQ48/[1]SETTINGS!$C$31)*[1]SETTINGS!$C$32,0)),"")</f>
        <v/>
      </c>
      <c r="BS48" s="62" t="str">
        <f t="shared" si="25"/>
        <v/>
      </c>
      <c r="BT48" s="64" t="str">
        <f t="shared" si="8"/>
        <v/>
      </c>
      <c r="BU48" s="65" t="str">
        <f t="shared" si="26"/>
        <v/>
      </c>
      <c r="BV48" s="72"/>
      <c r="BW48" s="63">
        <v>11</v>
      </c>
      <c r="BX48" s="63">
        <v>10</v>
      </c>
      <c r="BY48" s="63">
        <v>13</v>
      </c>
      <c r="BZ48" s="63">
        <v>10</v>
      </c>
      <c r="CA48" s="61">
        <f t="shared" si="27"/>
        <v>44</v>
      </c>
      <c r="CB48" s="62" t="str">
        <f>IFERROR(IF(CA48=0,"",ROUND((CA48/SUM([1]SETTINGS!$C$26:$C$29))*[1]SETTINGS!$C$30,0)),"")</f>
        <v/>
      </c>
      <c r="CC48" s="63">
        <v>54</v>
      </c>
      <c r="CD48" s="62" t="str">
        <f>IFERROR(IF(ISBLANK(CC48),"",ROUND((CC48/[1]SETTINGS!$C$31)*[1]SETTINGS!$C$32,0)),"")</f>
        <v/>
      </c>
      <c r="CE48" s="62" t="str">
        <f t="shared" si="28"/>
        <v/>
      </c>
      <c r="CF48" s="64" t="str">
        <f t="shared" si="9"/>
        <v/>
      </c>
      <c r="CG48" s="65" t="str">
        <f t="shared" si="29"/>
        <v/>
      </c>
      <c r="CH48" s="72"/>
      <c r="CI48" s="63">
        <v>15</v>
      </c>
      <c r="CJ48" s="63">
        <v>13</v>
      </c>
      <c r="CK48" s="63">
        <v>7</v>
      </c>
      <c r="CL48" s="63">
        <v>13</v>
      </c>
      <c r="CM48" s="61">
        <f t="shared" si="30"/>
        <v>48</v>
      </c>
      <c r="CN48" s="62" t="str">
        <f>IFERROR(IF(CM48=0,"",ROUND((CM48/SUM([1]SETTINGS!$C$26:$C$29))*[1]SETTINGS!$C$30,0)),"")</f>
        <v/>
      </c>
      <c r="CO48" s="63">
        <v>40</v>
      </c>
      <c r="CP48" s="62" t="str">
        <f>IFERROR(IF(ISBLANK(CO48),"",ROUND((CO48/[1]SETTINGS!$C$31)*[1]SETTINGS!$C$32,0)),"")</f>
        <v/>
      </c>
      <c r="CQ48" s="62" t="str">
        <f t="shared" si="31"/>
        <v/>
      </c>
      <c r="CR48" s="64" t="str">
        <f t="shared" si="10"/>
        <v/>
      </c>
      <c r="CS48" s="65" t="str">
        <f t="shared" si="32"/>
        <v/>
      </c>
      <c r="CT48" s="72"/>
      <c r="CU48" s="63">
        <v>9</v>
      </c>
      <c r="CV48" s="63">
        <v>15</v>
      </c>
      <c r="CW48" s="63">
        <v>9</v>
      </c>
      <c r="CX48" s="63">
        <v>11</v>
      </c>
      <c r="CY48" s="61">
        <f t="shared" si="33"/>
        <v>44</v>
      </c>
      <c r="CZ48" s="62" t="str">
        <f>IFERROR(IF(CY48=0,"",ROUND((CY48/SUM([1]SETTINGS!$C$26:$C$29))*[1]SETTINGS!$C$30,0)),"")</f>
        <v/>
      </c>
      <c r="DA48" s="63">
        <v>27</v>
      </c>
      <c r="DB48" s="62" t="str">
        <f>IFERROR(IF(ISBLANK(DA48),"",ROUND((DA48/[1]SETTINGS!$C$31)*[1]SETTINGS!$C$32,0)),"")</f>
        <v/>
      </c>
      <c r="DC48" s="62" t="str">
        <f t="shared" si="34"/>
        <v/>
      </c>
      <c r="DD48" s="64" t="str">
        <f t="shared" si="11"/>
        <v/>
      </c>
      <c r="DE48" s="65" t="str">
        <f t="shared" si="35"/>
        <v/>
      </c>
      <c r="DF48" s="64" t="str">
        <f t="shared" si="12"/>
        <v/>
      </c>
      <c r="DG48" s="64" t="str">
        <f>IFERROR(IF(AND(K48,W48,AI48,AU48,BG48,BS48,CE48,CQ48,DC48)="","",SUM(K48,W48,AI48,AU48,LARGE((BG48,BS48,CE48,CQ48,DC48),{1,2}))),"")</f>
        <v/>
      </c>
      <c r="DH48" s="64" t="str">
        <f>IFERROR(IF(AND(M48,Y48,AK48,AW48,,BI48,BU48,CG48,CS48,DE48)="","",SUM(M48,Y48,AK48,AW48,SMALL((BI48,BU48,CG48,CS48,DE48),{1,2}))),"")</f>
        <v/>
      </c>
      <c r="DI48" s="76" t="str">
        <f>IFERROR(pos&amp;IF(AND(MOD(ABS(18),100)&gt;10,MOD(ABS(pos),100)&lt;14),"th", CHOOSE(MOD(ABS(pos),10)+1,"th","st","nd","rd","th","th","th","th","th","th")),"")</f>
        <v/>
      </c>
      <c r="DJ48" s="15">
        <f>ROWS($B$12:$B48)</f>
        <v>37</v>
      </c>
      <c r="DK48" s="15">
        <f>IF($B48=[1]REPORT_CARD!$B$9,$DJ48,"")</f>
        <v>37</v>
      </c>
      <c r="DM48" s="74"/>
    </row>
    <row r="49" spans="1:117" ht="19.5" customHeight="1">
      <c r="A49" s="59" t="str">
        <f>IFERROR(IF(ISBLANK([1]PRIMARY_INFO!$A49),"",[1]PRIMARY_INFO!$A49),"")</f>
        <v/>
      </c>
      <c r="B49" s="59" t="str">
        <f>IFERROR(IF(ISBLANK([1]PRIMARY_INFO!$B49),"",[1]PRIMARY_INFO!$B49),"")</f>
        <v/>
      </c>
      <c r="C49" s="63">
        <v>5</v>
      </c>
      <c r="D49" s="63">
        <v>5</v>
      </c>
      <c r="E49" s="63">
        <v>5</v>
      </c>
      <c r="F49" s="63">
        <v>5</v>
      </c>
      <c r="G49" s="61">
        <f t="shared" si="36"/>
        <v>20</v>
      </c>
      <c r="H49" s="62" t="str">
        <f>IFERROR(IF(G49=0,"",ROUND((G49/SUM([1]SETTINGS!$C$26:$C$29))*[1]SETTINGS!$C$30,0)),"")</f>
        <v/>
      </c>
      <c r="I49" s="63">
        <v>54</v>
      </c>
      <c r="J49" s="62" t="str">
        <f>IFERROR(IF(ISBLANK(I49),"",ROUND((I49/[1]SETTINGS!$C$31)*[1]SETTINGS!$C$32,0)),"")</f>
        <v/>
      </c>
      <c r="K49" s="62" t="str">
        <f t="shared" si="13"/>
        <v/>
      </c>
      <c r="L49" s="64" t="str">
        <f t="shared" si="0"/>
        <v/>
      </c>
      <c r="M49" s="65" t="str">
        <f t="shared" si="14"/>
        <v/>
      </c>
      <c r="N49" s="66"/>
      <c r="O49" s="63">
        <v>9</v>
      </c>
      <c r="P49" s="63">
        <v>13</v>
      </c>
      <c r="Q49" s="63">
        <v>11</v>
      </c>
      <c r="R49" s="63">
        <v>10</v>
      </c>
      <c r="S49" s="61">
        <f t="shared" si="37"/>
        <v>43</v>
      </c>
      <c r="T49" s="62" t="str">
        <f>IFERROR(IF(S49=0,"",ROUND((S49/SUM([1]SETTINGS!$C$26:$C$29))*[1]SETTINGS!$C$30,0)),"")</f>
        <v/>
      </c>
      <c r="U49" s="63">
        <v>36</v>
      </c>
      <c r="V49" s="62" t="str">
        <f>IFERROR(IF(ISBLANK(U49),"",ROUND((U49/[1]SETTINGS!$C$31)*[1]SETTINGS!$C$32,0)),"")</f>
        <v/>
      </c>
      <c r="W49" s="62" t="str">
        <f t="shared" si="2"/>
        <v/>
      </c>
      <c r="X49" s="64" t="str">
        <f t="shared" si="3"/>
        <v/>
      </c>
      <c r="Y49" s="65" t="str">
        <f t="shared" si="4"/>
        <v/>
      </c>
      <c r="Z49" s="72"/>
      <c r="AA49" s="63">
        <v>6</v>
      </c>
      <c r="AB49" s="63">
        <v>10</v>
      </c>
      <c r="AC49" s="63">
        <v>8</v>
      </c>
      <c r="AD49" s="63">
        <v>12</v>
      </c>
      <c r="AE49" s="61">
        <f t="shared" si="15"/>
        <v>36</v>
      </c>
      <c r="AF49" s="62" t="str">
        <f>IFERROR(IF(AE49=0,"",ROUND((AE49/SUM([1]SETTINGS!$C$26:$C$29))*[1]SETTINGS!$C$30,0)),"")</f>
        <v/>
      </c>
      <c r="AG49" s="63">
        <v>57</v>
      </c>
      <c r="AH49" s="62" t="str">
        <f>IFERROR(IF(ISBLANK(AG49),"",ROUND((AG49/[1]SETTINGS!$C$31)*[1]SETTINGS!$C$32,0)),"")</f>
        <v/>
      </c>
      <c r="AI49" s="62" t="str">
        <f t="shared" si="16"/>
        <v/>
      </c>
      <c r="AJ49" s="64" t="str">
        <f t="shared" si="5"/>
        <v/>
      </c>
      <c r="AK49" s="75" t="str">
        <f t="shared" si="17"/>
        <v/>
      </c>
      <c r="AL49" s="72"/>
      <c r="AM49" s="63">
        <v>6</v>
      </c>
      <c r="AN49" s="63">
        <v>8</v>
      </c>
      <c r="AO49" s="63">
        <v>9</v>
      </c>
      <c r="AP49" s="63">
        <v>15</v>
      </c>
      <c r="AQ49" s="61">
        <f t="shared" si="18"/>
        <v>38</v>
      </c>
      <c r="AR49" s="62" t="str">
        <f>IFERROR(IF(AQ49=0,"",ROUND((AQ49/SUM([1]SETTINGS!$C$26:$C$29))*[1]SETTINGS!$C$30,0)),"")</f>
        <v/>
      </c>
      <c r="AS49" s="63">
        <v>45</v>
      </c>
      <c r="AT49" s="62" t="str">
        <f>IFERROR(IF(ISBLANK(AS49),"",ROUND((AS49/[1]SETTINGS!$C$31)*[1]SETTINGS!$C$32,0)),"")</f>
        <v/>
      </c>
      <c r="AU49" s="62" t="str">
        <f t="shared" si="19"/>
        <v/>
      </c>
      <c r="AV49" s="64" t="str">
        <f t="shared" si="6"/>
        <v/>
      </c>
      <c r="AW49" s="65" t="str">
        <f t="shared" si="20"/>
        <v/>
      </c>
      <c r="AX49" s="72"/>
      <c r="AY49" s="63">
        <v>12</v>
      </c>
      <c r="AZ49" s="63">
        <v>10</v>
      </c>
      <c r="BA49" s="63">
        <v>12</v>
      </c>
      <c r="BB49" s="63">
        <v>15</v>
      </c>
      <c r="BC49" s="61">
        <f t="shared" si="21"/>
        <v>49</v>
      </c>
      <c r="BD49" s="62" t="str">
        <f>IFERROR(IF(BC49=0,"",ROUND((BC49/SUM([1]SETTINGS!$C$26:$C$29))*[1]SETTINGS!$C$30,0)),"")</f>
        <v/>
      </c>
      <c r="BE49" s="63">
        <v>75</v>
      </c>
      <c r="BF49" s="62" t="str">
        <f>IFERROR(IF(ISBLANK(BE49),"",ROUND((BE49/[1]SETTINGS!$C$31)*[1]SETTINGS!$C$32,0)),"")</f>
        <v/>
      </c>
      <c r="BG49" s="62" t="str">
        <f t="shared" si="22"/>
        <v/>
      </c>
      <c r="BH49" s="64" t="str">
        <f t="shared" si="7"/>
        <v/>
      </c>
      <c r="BI49" s="75" t="str">
        <f t="shared" si="23"/>
        <v/>
      </c>
      <c r="BJ49" s="72"/>
      <c r="BK49" s="63">
        <v>14</v>
      </c>
      <c r="BL49" s="63">
        <v>6</v>
      </c>
      <c r="BM49" s="63">
        <v>7</v>
      </c>
      <c r="BN49" s="63">
        <v>15</v>
      </c>
      <c r="BO49" s="61">
        <f t="shared" si="24"/>
        <v>42</v>
      </c>
      <c r="BP49" s="62" t="str">
        <f>IFERROR(IF(BO49=0,"",ROUND((BO49/SUM([1]SETTINGS!$C$26:$C$29))*[1]SETTINGS!$C$30,0)),"")</f>
        <v/>
      </c>
      <c r="BQ49" s="63">
        <v>45</v>
      </c>
      <c r="BR49" s="62" t="str">
        <f>IFERROR(IF(ISBLANK(BQ49),"",ROUND((BQ49/[1]SETTINGS!$C$31)*[1]SETTINGS!$C$32,0)),"")</f>
        <v/>
      </c>
      <c r="BS49" s="62" t="str">
        <f t="shared" si="25"/>
        <v/>
      </c>
      <c r="BT49" s="64" t="str">
        <f t="shared" si="8"/>
        <v/>
      </c>
      <c r="BU49" s="65" t="str">
        <f t="shared" si="26"/>
        <v/>
      </c>
      <c r="BV49" s="72"/>
      <c r="BW49" s="63">
        <v>14</v>
      </c>
      <c r="BX49" s="63">
        <v>12</v>
      </c>
      <c r="BY49" s="63">
        <v>13</v>
      </c>
      <c r="BZ49" s="63">
        <v>12</v>
      </c>
      <c r="CA49" s="61">
        <f t="shared" si="27"/>
        <v>51</v>
      </c>
      <c r="CB49" s="62" t="str">
        <f>IFERROR(IF(CA49=0,"",ROUND((CA49/SUM([1]SETTINGS!$C$26:$C$29))*[1]SETTINGS!$C$30,0)),"")</f>
        <v/>
      </c>
      <c r="CC49" s="63">
        <v>75</v>
      </c>
      <c r="CD49" s="62" t="str">
        <f>IFERROR(IF(ISBLANK(CC49),"",ROUND((CC49/[1]SETTINGS!$C$31)*[1]SETTINGS!$C$32,0)),"")</f>
        <v/>
      </c>
      <c r="CE49" s="62" t="str">
        <f t="shared" si="28"/>
        <v/>
      </c>
      <c r="CF49" s="64" t="str">
        <f t="shared" si="9"/>
        <v/>
      </c>
      <c r="CG49" s="65" t="str">
        <f t="shared" si="29"/>
        <v/>
      </c>
      <c r="CH49" s="72"/>
      <c r="CI49" s="63">
        <v>14</v>
      </c>
      <c r="CJ49" s="63">
        <v>13</v>
      </c>
      <c r="CK49" s="63">
        <v>13</v>
      </c>
      <c r="CL49" s="63">
        <v>15</v>
      </c>
      <c r="CM49" s="61">
        <f t="shared" si="30"/>
        <v>55</v>
      </c>
      <c r="CN49" s="62" t="str">
        <f>IFERROR(IF(CM49=0,"",ROUND((CM49/SUM([1]SETTINGS!$C$26:$C$29))*[1]SETTINGS!$C$30,0)),"")</f>
        <v/>
      </c>
      <c r="CO49" s="63">
        <v>39</v>
      </c>
      <c r="CP49" s="62" t="str">
        <f>IFERROR(IF(ISBLANK(CO49),"",ROUND((CO49/[1]SETTINGS!$C$31)*[1]SETTINGS!$C$32,0)),"")</f>
        <v/>
      </c>
      <c r="CQ49" s="62" t="str">
        <f t="shared" si="31"/>
        <v/>
      </c>
      <c r="CR49" s="64" t="str">
        <f t="shared" si="10"/>
        <v/>
      </c>
      <c r="CS49" s="65" t="str">
        <f t="shared" si="32"/>
        <v/>
      </c>
      <c r="CT49" s="72"/>
      <c r="CU49" s="63">
        <v>12</v>
      </c>
      <c r="CV49" s="63">
        <v>10</v>
      </c>
      <c r="CW49" s="63">
        <v>15</v>
      </c>
      <c r="CX49" s="63">
        <v>8</v>
      </c>
      <c r="CY49" s="61">
        <f t="shared" si="33"/>
        <v>45</v>
      </c>
      <c r="CZ49" s="62" t="str">
        <f>IFERROR(IF(CY49=0,"",ROUND((CY49/SUM([1]SETTINGS!$C$26:$C$29))*[1]SETTINGS!$C$30,0)),"")</f>
        <v/>
      </c>
      <c r="DA49" s="63">
        <v>47</v>
      </c>
      <c r="DB49" s="62" t="str">
        <f>IFERROR(IF(ISBLANK(DA49),"",ROUND((DA49/[1]SETTINGS!$C$31)*[1]SETTINGS!$C$32,0)),"")</f>
        <v/>
      </c>
      <c r="DC49" s="62" t="str">
        <f t="shared" si="34"/>
        <v/>
      </c>
      <c r="DD49" s="64" t="str">
        <f t="shared" si="11"/>
        <v/>
      </c>
      <c r="DE49" s="65" t="str">
        <f t="shared" si="35"/>
        <v/>
      </c>
      <c r="DF49" s="64" t="str">
        <f t="shared" si="12"/>
        <v/>
      </c>
      <c r="DG49" s="64" t="str">
        <f>IFERROR(IF(AND(K49,W49,AI49,AU49,BG49,BS49,CE49,CQ49,DC49)="","",SUM(K49,W49,AI49,AU49,LARGE((BG49,BS49,CE49,CQ49,DC49),{1,2}))),"")</f>
        <v/>
      </c>
      <c r="DH49" s="64" t="str">
        <f>IFERROR(IF(AND(M49,Y49,AK49,AW49,,BI49,BU49,CG49,CS49,DE49)="","",SUM(M49,Y49,AK49,AW49,SMALL((BI49,BU49,CG49,CS49,DE49),{1,2}))),"")</f>
        <v/>
      </c>
      <c r="DI49" s="76" t="str">
        <f>IFERROR(pos&amp;IF(AND(MOD(ABS(18),100)&gt;10,MOD(ABS(pos),100)&lt;14),"th", CHOOSE(MOD(ABS(pos),10)+1,"th","st","nd","rd","th","th","th","th","th","th")),"")</f>
        <v/>
      </c>
      <c r="DJ49" s="15">
        <f>ROWS($B$12:$B49)</f>
        <v>38</v>
      </c>
      <c r="DK49" s="15">
        <f>IF($B49=[1]REPORT_CARD!$B$9,$DJ49,"")</f>
        <v>38</v>
      </c>
      <c r="DM49" s="74"/>
    </row>
    <row r="50" spans="1:117" ht="19.5" customHeight="1">
      <c r="A50" s="59" t="str">
        <f>IFERROR(IF(ISBLANK([1]PRIMARY_INFO!$A50),"",[1]PRIMARY_INFO!$A50),"")</f>
        <v/>
      </c>
      <c r="B50" s="59" t="str">
        <f>IFERROR(IF(ISBLANK([1]PRIMARY_INFO!$B50),"",[1]PRIMARY_INFO!$B50),"")</f>
        <v/>
      </c>
      <c r="C50" s="63">
        <v>15</v>
      </c>
      <c r="D50" s="63">
        <v>15</v>
      </c>
      <c r="E50" s="63">
        <v>9</v>
      </c>
      <c r="F50" s="63">
        <v>10</v>
      </c>
      <c r="G50" s="61">
        <f t="shared" si="36"/>
        <v>49</v>
      </c>
      <c r="H50" s="62" t="str">
        <f>IFERROR(IF(G50=0,"",ROUND((G50/SUM([1]SETTINGS!$C$26:$C$29))*[1]SETTINGS!$C$30,0)),"")</f>
        <v/>
      </c>
      <c r="I50" s="63">
        <v>36</v>
      </c>
      <c r="J50" s="62" t="str">
        <f>IFERROR(IF(ISBLANK(I50),"",ROUND((I50/[1]SETTINGS!$C$31)*[1]SETTINGS!$C$32,0)),"")</f>
        <v/>
      </c>
      <c r="K50" s="62" t="str">
        <f t="shared" si="13"/>
        <v/>
      </c>
      <c r="L50" s="64" t="str">
        <f t="shared" si="0"/>
        <v/>
      </c>
      <c r="M50" s="65" t="str">
        <f t="shared" si="14"/>
        <v/>
      </c>
      <c r="N50" s="66"/>
      <c r="O50" s="63">
        <v>5</v>
      </c>
      <c r="P50" s="63">
        <v>13</v>
      </c>
      <c r="Q50" s="63">
        <v>8</v>
      </c>
      <c r="R50" s="63">
        <v>11</v>
      </c>
      <c r="S50" s="61">
        <f t="shared" si="37"/>
        <v>37</v>
      </c>
      <c r="T50" s="62" t="str">
        <f>IFERROR(IF(S50=0,"",ROUND((S50/SUM([1]SETTINGS!$C$26:$C$29))*[1]SETTINGS!$C$30,0)),"")</f>
        <v/>
      </c>
      <c r="U50" s="63">
        <v>42</v>
      </c>
      <c r="V50" s="62" t="str">
        <f>IFERROR(IF(ISBLANK(U50),"",ROUND((U50/[1]SETTINGS!$C$31)*[1]SETTINGS!$C$32,0)),"")</f>
        <v/>
      </c>
      <c r="W50" s="62" t="str">
        <f t="shared" si="2"/>
        <v/>
      </c>
      <c r="X50" s="64" t="str">
        <f t="shared" si="3"/>
        <v/>
      </c>
      <c r="Y50" s="65" t="str">
        <f t="shared" si="4"/>
        <v/>
      </c>
      <c r="Z50" s="72"/>
      <c r="AA50" s="63">
        <v>12</v>
      </c>
      <c r="AB50" s="63">
        <v>10</v>
      </c>
      <c r="AC50" s="63">
        <v>6</v>
      </c>
      <c r="AD50" s="63">
        <v>10</v>
      </c>
      <c r="AE50" s="61">
        <f t="shared" si="15"/>
        <v>38</v>
      </c>
      <c r="AF50" s="62" t="str">
        <f>IFERROR(IF(AE50=0,"",ROUND((AE50/SUM([1]SETTINGS!$C$26:$C$29))*[1]SETTINGS!$C$30,0)),"")</f>
        <v/>
      </c>
      <c r="AG50" s="63">
        <v>47</v>
      </c>
      <c r="AH50" s="62" t="str">
        <f>IFERROR(IF(ISBLANK(AG50),"",ROUND((AG50/[1]SETTINGS!$C$31)*[1]SETTINGS!$C$32,0)),"")</f>
        <v/>
      </c>
      <c r="AI50" s="62" t="str">
        <f t="shared" si="16"/>
        <v/>
      </c>
      <c r="AJ50" s="64" t="str">
        <f t="shared" si="5"/>
        <v/>
      </c>
      <c r="AK50" s="75" t="str">
        <f t="shared" si="17"/>
        <v/>
      </c>
      <c r="AL50" s="72"/>
      <c r="AM50" s="63">
        <v>7</v>
      </c>
      <c r="AN50" s="63">
        <v>7</v>
      </c>
      <c r="AO50" s="63">
        <v>15</v>
      </c>
      <c r="AP50" s="63">
        <v>15</v>
      </c>
      <c r="AQ50" s="61">
        <f t="shared" si="18"/>
        <v>44</v>
      </c>
      <c r="AR50" s="62" t="str">
        <f>IFERROR(IF(AQ50=0,"",ROUND((AQ50/SUM([1]SETTINGS!$C$26:$C$29))*[1]SETTINGS!$C$30,0)),"")</f>
        <v/>
      </c>
      <c r="AS50" s="63">
        <v>41</v>
      </c>
      <c r="AT50" s="62" t="str">
        <f>IFERROR(IF(ISBLANK(AS50),"",ROUND((AS50/[1]SETTINGS!$C$31)*[1]SETTINGS!$C$32,0)),"")</f>
        <v/>
      </c>
      <c r="AU50" s="62" t="str">
        <f t="shared" si="19"/>
        <v/>
      </c>
      <c r="AV50" s="64" t="str">
        <f t="shared" si="6"/>
        <v/>
      </c>
      <c r="AW50" s="65" t="str">
        <f t="shared" si="20"/>
        <v/>
      </c>
      <c r="AX50" s="72"/>
      <c r="AY50" s="63">
        <v>10</v>
      </c>
      <c r="AZ50" s="63">
        <v>14</v>
      </c>
      <c r="BA50" s="63">
        <v>10</v>
      </c>
      <c r="BB50" s="63">
        <v>12</v>
      </c>
      <c r="BC50" s="61">
        <f t="shared" si="21"/>
        <v>46</v>
      </c>
      <c r="BD50" s="62" t="str">
        <f>IFERROR(IF(BC50=0,"",ROUND((BC50/SUM([1]SETTINGS!$C$26:$C$29))*[1]SETTINGS!$C$30,0)),"")</f>
        <v/>
      </c>
      <c r="BE50" s="63">
        <v>69</v>
      </c>
      <c r="BF50" s="62" t="str">
        <f>IFERROR(IF(ISBLANK(BE50),"",ROUND((BE50/[1]SETTINGS!$C$31)*[1]SETTINGS!$C$32,0)),"")</f>
        <v/>
      </c>
      <c r="BG50" s="62" t="str">
        <f t="shared" si="22"/>
        <v/>
      </c>
      <c r="BH50" s="64" t="str">
        <f t="shared" si="7"/>
        <v/>
      </c>
      <c r="BI50" s="75" t="str">
        <f t="shared" si="23"/>
        <v/>
      </c>
      <c r="BJ50" s="72"/>
      <c r="BK50" s="63">
        <v>15</v>
      </c>
      <c r="BL50" s="63">
        <v>8</v>
      </c>
      <c r="BM50" s="63">
        <v>2</v>
      </c>
      <c r="BN50" s="63">
        <v>15</v>
      </c>
      <c r="BO50" s="61">
        <f t="shared" si="24"/>
        <v>40</v>
      </c>
      <c r="BP50" s="62" t="str">
        <f>IFERROR(IF(BO50=0,"",ROUND((BO50/SUM([1]SETTINGS!$C$26:$C$29))*[1]SETTINGS!$C$30,0)),"")</f>
        <v/>
      </c>
      <c r="BQ50" s="63">
        <v>39</v>
      </c>
      <c r="BR50" s="62" t="str">
        <f>IFERROR(IF(ISBLANK(BQ50),"",ROUND((BQ50/[1]SETTINGS!$C$31)*[1]SETTINGS!$C$32,0)),"")</f>
        <v/>
      </c>
      <c r="BS50" s="62" t="str">
        <f t="shared" si="25"/>
        <v/>
      </c>
      <c r="BT50" s="64" t="str">
        <f t="shared" si="8"/>
        <v/>
      </c>
      <c r="BU50" s="65" t="str">
        <f t="shared" si="26"/>
        <v/>
      </c>
      <c r="BV50" s="72"/>
      <c r="BW50" s="63">
        <v>7</v>
      </c>
      <c r="BX50" s="63">
        <v>10</v>
      </c>
      <c r="BY50" s="63">
        <v>11</v>
      </c>
      <c r="BZ50" s="63">
        <v>12</v>
      </c>
      <c r="CA50" s="61">
        <f t="shared" si="27"/>
        <v>40</v>
      </c>
      <c r="CB50" s="62" t="str">
        <f>IFERROR(IF(CA50=0,"",ROUND((CA50/SUM([1]SETTINGS!$C$26:$C$29))*[1]SETTINGS!$C$30,0)),"")</f>
        <v/>
      </c>
      <c r="CC50" s="63">
        <v>59</v>
      </c>
      <c r="CD50" s="62" t="str">
        <f>IFERROR(IF(ISBLANK(CC50),"",ROUND((CC50/[1]SETTINGS!$C$31)*[1]SETTINGS!$C$32,0)),"")</f>
        <v/>
      </c>
      <c r="CE50" s="62" t="str">
        <f t="shared" si="28"/>
        <v/>
      </c>
      <c r="CF50" s="64" t="str">
        <f t="shared" si="9"/>
        <v/>
      </c>
      <c r="CG50" s="65" t="str">
        <f t="shared" si="29"/>
        <v/>
      </c>
      <c r="CH50" s="72"/>
      <c r="CI50" s="63">
        <v>15</v>
      </c>
      <c r="CJ50" s="63">
        <v>15</v>
      </c>
      <c r="CK50" s="63">
        <v>12</v>
      </c>
      <c r="CL50" s="63">
        <v>13</v>
      </c>
      <c r="CM50" s="61">
        <f t="shared" si="30"/>
        <v>55</v>
      </c>
      <c r="CN50" s="62" t="str">
        <f>IFERROR(IF(CM50=0,"",ROUND((CM50/SUM([1]SETTINGS!$C$26:$C$29))*[1]SETTINGS!$C$30,0)),"")</f>
        <v/>
      </c>
      <c r="CO50" s="63">
        <v>45</v>
      </c>
      <c r="CP50" s="62" t="str">
        <f>IFERROR(IF(ISBLANK(CO50),"",ROUND((CO50/[1]SETTINGS!$C$31)*[1]SETTINGS!$C$32,0)),"")</f>
        <v/>
      </c>
      <c r="CQ50" s="62" t="str">
        <f t="shared" si="31"/>
        <v/>
      </c>
      <c r="CR50" s="64" t="str">
        <f t="shared" si="10"/>
        <v/>
      </c>
      <c r="CS50" s="65" t="str">
        <f t="shared" si="32"/>
        <v/>
      </c>
      <c r="CT50" s="72"/>
      <c r="CU50" s="63">
        <v>8</v>
      </c>
      <c r="CV50" s="63">
        <v>11</v>
      </c>
      <c r="CW50" s="63">
        <v>12</v>
      </c>
      <c r="CX50" s="63">
        <v>7</v>
      </c>
      <c r="CY50" s="61">
        <f t="shared" si="33"/>
        <v>38</v>
      </c>
      <c r="CZ50" s="62" t="str">
        <f>IFERROR(IF(CY50=0,"",ROUND((CY50/SUM([1]SETTINGS!$C$26:$C$29))*[1]SETTINGS!$C$30,0)),"")</f>
        <v/>
      </c>
      <c r="DA50" s="63">
        <v>33</v>
      </c>
      <c r="DB50" s="62" t="str">
        <f>IFERROR(IF(ISBLANK(DA50),"",ROUND((DA50/[1]SETTINGS!$C$31)*[1]SETTINGS!$C$32,0)),"")</f>
        <v/>
      </c>
      <c r="DC50" s="62" t="str">
        <f t="shared" si="34"/>
        <v/>
      </c>
      <c r="DD50" s="64" t="str">
        <f t="shared" si="11"/>
        <v/>
      </c>
      <c r="DE50" s="65" t="str">
        <f t="shared" si="35"/>
        <v/>
      </c>
      <c r="DF50" s="64" t="str">
        <f t="shared" si="12"/>
        <v/>
      </c>
      <c r="DG50" s="64" t="str">
        <f>IFERROR(IF(AND(K50,W50,AI50,AU50,BG50,BS50,CE50,CQ50,DC50)="","",SUM(K50,W50,AI50,AU50,LARGE((BG50,BS50,CE50,CQ50,DC50),{1,2}))),"")</f>
        <v/>
      </c>
      <c r="DH50" s="64" t="str">
        <f>IFERROR(IF(AND(M50,Y50,AK50,AW50,,BI50,BU50,CG50,CS50,DE50)="","",SUM(M50,Y50,AK50,AW50,SMALL((BI50,BU50,CG50,CS50,DE50),{1,2}))),"")</f>
        <v/>
      </c>
      <c r="DI50" s="76" t="str">
        <f>IFERROR(pos&amp;IF(AND(MOD(ABS(18),100)&gt;10,MOD(ABS(pos),100)&lt;14),"th", CHOOSE(MOD(ABS(pos),10)+1,"th","st","nd","rd","th","th","th","th","th","th")),"")</f>
        <v/>
      </c>
      <c r="DJ50" s="15">
        <f>ROWS($B$12:$B50)</f>
        <v>39</v>
      </c>
      <c r="DK50" s="15">
        <f>IF($B50=[1]REPORT_CARD!$B$9,$DJ50,"")</f>
        <v>39</v>
      </c>
      <c r="DM50" s="74"/>
    </row>
    <row r="51" spans="1:117" ht="19.5" customHeight="1">
      <c r="A51" s="59" t="str">
        <f>IFERROR(IF(ISBLANK([1]PRIMARY_INFO!$A51),"",[1]PRIMARY_INFO!$A51),"")</f>
        <v/>
      </c>
      <c r="B51" s="59" t="str">
        <f>IFERROR(IF(ISBLANK([1]PRIMARY_INFO!$B51),"",[1]PRIMARY_INFO!$B51),"")</f>
        <v/>
      </c>
      <c r="C51" s="63">
        <v>14</v>
      </c>
      <c r="D51" s="63">
        <v>8</v>
      </c>
      <c r="E51" s="63">
        <v>10</v>
      </c>
      <c r="F51" s="63">
        <v>15</v>
      </c>
      <c r="G51" s="61">
        <f t="shared" si="36"/>
        <v>47</v>
      </c>
      <c r="H51" s="62" t="str">
        <f>IFERROR(IF(G51=0,"",ROUND((G51/SUM([1]SETTINGS!$C$26:$C$29))*[1]SETTINGS!$C$30,0)),"")</f>
        <v/>
      </c>
      <c r="I51" s="63">
        <v>43</v>
      </c>
      <c r="J51" s="62" t="str">
        <f>IFERROR(IF(ISBLANK(I51),"",ROUND((I51/[1]SETTINGS!$C$31)*[1]SETTINGS!$C$32,0)),"")</f>
        <v/>
      </c>
      <c r="K51" s="62" t="str">
        <f t="shared" si="13"/>
        <v/>
      </c>
      <c r="L51" s="64" t="str">
        <f t="shared" si="0"/>
        <v/>
      </c>
      <c r="M51" s="65" t="str">
        <f t="shared" si="14"/>
        <v/>
      </c>
      <c r="N51" s="66"/>
      <c r="O51" s="63">
        <v>5</v>
      </c>
      <c r="P51" s="63">
        <v>13</v>
      </c>
      <c r="Q51" s="63">
        <v>5</v>
      </c>
      <c r="R51" s="63">
        <v>8</v>
      </c>
      <c r="S51" s="61">
        <f t="shared" si="37"/>
        <v>31</v>
      </c>
      <c r="T51" s="62" t="str">
        <f>IFERROR(IF(S51=0,"",ROUND((S51/SUM([1]SETTINGS!$C$26:$C$29))*[1]SETTINGS!$C$30,0)),"")</f>
        <v/>
      </c>
      <c r="U51" s="63">
        <v>16</v>
      </c>
      <c r="V51" s="62" t="str">
        <f>IFERROR(IF(ISBLANK(U51),"",ROUND((U51/[1]SETTINGS!$C$31)*[1]SETTINGS!$C$32,0)),"")</f>
        <v/>
      </c>
      <c r="W51" s="62" t="str">
        <f t="shared" si="2"/>
        <v/>
      </c>
      <c r="X51" s="64" t="str">
        <f t="shared" si="3"/>
        <v/>
      </c>
      <c r="Y51" s="65" t="str">
        <f t="shared" si="4"/>
        <v/>
      </c>
      <c r="Z51" s="72"/>
      <c r="AA51" s="63">
        <v>5</v>
      </c>
      <c r="AB51" s="63">
        <v>10</v>
      </c>
      <c r="AC51" s="63">
        <v>8</v>
      </c>
      <c r="AD51" s="63">
        <v>13</v>
      </c>
      <c r="AE51" s="61">
        <f t="shared" si="15"/>
        <v>36</v>
      </c>
      <c r="AF51" s="62" t="str">
        <f>IFERROR(IF(AE51=0,"",ROUND((AE51/SUM([1]SETTINGS!$C$26:$C$29))*[1]SETTINGS!$C$30,0)),"")</f>
        <v/>
      </c>
      <c r="AG51" s="63">
        <v>38</v>
      </c>
      <c r="AH51" s="62" t="str">
        <f>IFERROR(IF(ISBLANK(AG51),"",ROUND((AG51/[1]SETTINGS!$C$31)*[1]SETTINGS!$C$32,0)),"")</f>
        <v/>
      </c>
      <c r="AI51" s="62" t="str">
        <f t="shared" si="16"/>
        <v/>
      </c>
      <c r="AJ51" s="64" t="str">
        <f t="shared" si="5"/>
        <v/>
      </c>
      <c r="AK51" s="75" t="str">
        <f t="shared" si="17"/>
        <v/>
      </c>
      <c r="AL51" s="72"/>
      <c r="AM51" s="63">
        <v>7</v>
      </c>
      <c r="AN51" s="63">
        <v>8</v>
      </c>
      <c r="AO51" s="63">
        <v>10</v>
      </c>
      <c r="AP51" s="63">
        <v>14</v>
      </c>
      <c r="AQ51" s="61">
        <f t="shared" si="18"/>
        <v>39</v>
      </c>
      <c r="AR51" s="62" t="str">
        <f>IFERROR(IF(AQ51=0,"",ROUND((AQ51/SUM([1]SETTINGS!$C$26:$C$29))*[1]SETTINGS!$C$30,0)),"")</f>
        <v/>
      </c>
      <c r="AS51" s="63">
        <v>33</v>
      </c>
      <c r="AT51" s="62" t="str">
        <f>IFERROR(IF(ISBLANK(AS51),"",ROUND((AS51/[1]SETTINGS!$C$31)*[1]SETTINGS!$C$32,0)),"")</f>
        <v/>
      </c>
      <c r="AU51" s="62" t="str">
        <f t="shared" si="19"/>
        <v/>
      </c>
      <c r="AV51" s="64" t="str">
        <f t="shared" si="6"/>
        <v/>
      </c>
      <c r="AW51" s="65" t="str">
        <f t="shared" si="20"/>
        <v/>
      </c>
      <c r="AX51" s="72"/>
      <c r="AY51" s="63">
        <v>12</v>
      </c>
      <c r="AZ51" s="63">
        <v>12</v>
      </c>
      <c r="BA51" s="63">
        <v>10</v>
      </c>
      <c r="BB51" s="63">
        <v>8</v>
      </c>
      <c r="BC51" s="61">
        <f t="shared" si="21"/>
        <v>42</v>
      </c>
      <c r="BD51" s="62" t="str">
        <f>IFERROR(IF(BC51=0,"",ROUND((BC51/SUM([1]SETTINGS!$C$26:$C$29))*[1]SETTINGS!$C$30,0)),"")</f>
        <v/>
      </c>
      <c r="BE51" s="63">
        <v>61</v>
      </c>
      <c r="BF51" s="62" t="str">
        <f>IFERROR(IF(ISBLANK(BE51),"",ROUND((BE51/[1]SETTINGS!$C$31)*[1]SETTINGS!$C$32,0)),"")</f>
        <v/>
      </c>
      <c r="BG51" s="62" t="str">
        <f t="shared" si="22"/>
        <v/>
      </c>
      <c r="BH51" s="64" t="str">
        <f t="shared" si="7"/>
        <v/>
      </c>
      <c r="BI51" s="75" t="str">
        <f t="shared" si="23"/>
        <v/>
      </c>
      <c r="BJ51" s="72"/>
      <c r="BK51" s="63">
        <v>15</v>
      </c>
      <c r="BL51" s="63">
        <v>1</v>
      </c>
      <c r="BM51" s="63">
        <v>13</v>
      </c>
      <c r="BN51" s="63">
        <v>15</v>
      </c>
      <c r="BO51" s="61">
        <f t="shared" si="24"/>
        <v>44</v>
      </c>
      <c r="BP51" s="62" t="str">
        <f>IFERROR(IF(BO51=0,"",ROUND((BO51/SUM([1]SETTINGS!$C$26:$C$29))*[1]SETTINGS!$C$30,0)),"")</f>
        <v/>
      </c>
      <c r="BQ51" s="63">
        <v>31</v>
      </c>
      <c r="BR51" s="62" t="str">
        <f>IFERROR(IF(ISBLANK(BQ51),"",ROUND((BQ51/[1]SETTINGS!$C$31)*[1]SETTINGS!$C$32,0)),"")</f>
        <v/>
      </c>
      <c r="BS51" s="62" t="str">
        <f t="shared" si="25"/>
        <v/>
      </c>
      <c r="BT51" s="64" t="str">
        <f t="shared" si="8"/>
        <v/>
      </c>
      <c r="BU51" s="65" t="str">
        <f t="shared" si="26"/>
        <v/>
      </c>
      <c r="BV51" s="72"/>
      <c r="BW51" s="63">
        <v>15</v>
      </c>
      <c r="BX51" s="63">
        <v>12</v>
      </c>
      <c r="BY51" s="63">
        <v>13</v>
      </c>
      <c r="BZ51" s="63">
        <v>11</v>
      </c>
      <c r="CA51" s="61">
        <f t="shared" si="27"/>
        <v>51</v>
      </c>
      <c r="CB51" s="62" t="str">
        <f>IFERROR(IF(CA51=0,"",ROUND((CA51/SUM([1]SETTINGS!$C$26:$C$29))*[1]SETTINGS!$C$30,0)),"")</f>
        <v/>
      </c>
      <c r="CC51" s="63">
        <v>58</v>
      </c>
      <c r="CD51" s="62" t="str">
        <f>IFERROR(IF(ISBLANK(CC51),"",ROUND((CC51/[1]SETTINGS!$C$31)*[1]SETTINGS!$C$32,0)),"")</f>
        <v/>
      </c>
      <c r="CE51" s="62" t="str">
        <f t="shared" si="28"/>
        <v/>
      </c>
      <c r="CF51" s="64" t="str">
        <f t="shared" si="9"/>
        <v/>
      </c>
      <c r="CG51" s="65" t="str">
        <f t="shared" si="29"/>
        <v/>
      </c>
      <c r="CH51" s="72"/>
      <c r="CI51" s="63">
        <v>12</v>
      </c>
      <c r="CJ51" s="63">
        <v>13</v>
      </c>
      <c r="CK51" s="63">
        <v>14</v>
      </c>
      <c r="CL51" s="63">
        <v>12</v>
      </c>
      <c r="CM51" s="61">
        <f t="shared" si="30"/>
        <v>51</v>
      </c>
      <c r="CN51" s="62" t="str">
        <f>IFERROR(IF(CM51=0,"",ROUND((CM51/SUM([1]SETTINGS!$C$26:$C$29))*[1]SETTINGS!$C$30,0)),"")</f>
        <v/>
      </c>
      <c r="CO51" s="63">
        <v>47</v>
      </c>
      <c r="CP51" s="62" t="str">
        <f>IFERROR(IF(ISBLANK(CO51),"",ROUND((CO51/[1]SETTINGS!$C$31)*[1]SETTINGS!$C$32,0)),"")</f>
        <v/>
      </c>
      <c r="CQ51" s="62" t="str">
        <f t="shared" si="31"/>
        <v/>
      </c>
      <c r="CR51" s="64" t="str">
        <f t="shared" si="10"/>
        <v/>
      </c>
      <c r="CS51" s="65" t="str">
        <f t="shared" si="32"/>
        <v/>
      </c>
      <c r="CT51" s="72"/>
      <c r="CU51" s="63">
        <v>12</v>
      </c>
      <c r="CV51" s="63">
        <v>12</v>
      </c>
      <c r="CW51" s="63">
        <v>12</v>
      </c>
      <c r="CX51" s="63">
        <v>10</v>
      </c>
      <c r="CY51" s="61">
        <f t="shared" si="33"/>
        <v>46</v>
      </c>
      <c r="CZ51" s="62" t="str">
        <f>IFERROR(IF(CY51=0,"",ROUND((CY51/SUM([1]SETTINGS!$C$26:$C$29))*[1]SETTINGS!$C$30,0)),"")</f>
        <v/>
      </c>
      <c r="DA51" s="63">
        <v>35</v>
      </c>
      <c r="DB51" s="62" t="str">
        <f>IFERROR(IF(ISBLANK(DA51),"",ROUND((DA51/[1]SETTINGS!$C$31)*[1]SETTINGS!$C$32,0)),"")</f>
        <v/>
      </c>
      <c r="DC51" s="62" t="str">
        <f t="shared" si="34"/>
        <v/>
      </c>
      <c r="DD51" s="64" t="str">
        <f t="shared" si="11"/>
        <v/>
      </c>
      <c r="DE51" s="65" t="str">
        <f t="shared" si="35"/>
        <v/>
      </c>
      <c r="DF51" s="64" t="str">
        <f t="shared" si="12"/>
        <v/>
      </c>
      <c r="DG51" s="64" t="str">
        <f>IFERROR(IF(AND(K51,W51,AI51,AU51,BG51,BS51,CE51,CQ51,DC51)="","",SUM(K51,W51,AI51,AU51,LARGE((BG51,BS51,CE51,CQ51,DC51),{1,2}))),"")</f>
        <v/>
      </c>
      <c r="DH51" s="64" t="str">
        <f>IFERROR(IF(AND(M51,Y51,AK51,AW51,,BI51,BU51,CG51,CS51,DE51)="","",SUM(M51,Y51,AK51,AW51,SMALL((BI51,BU51,CG51,CS51,DE51),{1,2}))),"")</f>
        <v/>
      </c>
      <c r="DI51" s="76" t="str">
        <f>IFERROR(pos&amp;IF(AND(MOD(ABS(18),100)&gt;10,MOD(ABS(pos),100)&lt;14),"th", CHOOSE(MOD(ABS(pos),10)+1,"th","st","nd","rd","th","th","th","th","th","th")),"")</f>
        <v/>
      </c>
      <c r="DJ51" s="15">
        <f>ROWS($B$12:$B51)</f>
        <v>40</v>
      </c>
      <c r="DK51" s="15">
        <f>IF($B51=[1]REPORT_CARD!$B$9,$DJ51,"")</f>
        <v>40</v>
      </c>
      <c r="DM51" s="74"/>
    </row>
    <row r="52" spans="1:117" ht="19.5" customHeight="1">
      <c r="A52" s="59" t="str">
        <f>IFERROR(IF(ISBLANK([1]PRIMARY_INFO!$A52),"",[1]PRIMARY_INFO!$A52),"")</f>
        <v/>
      </c>
      <c r="B52" s="59" t="str">
        <f>IFERROR(IF(ISBLANK([1]PRIMARY_INFO!$B52),"",[1]PRIMARY_INFO!$B52),"")</f>
        <v/>
      </c>
      <c r="C52" s="63">
        <v>15</v>
      </c>
      <c r="D52" s="63">
        <v>13</v>
      </c>
      <c r="E52" s="63">
        <v>15</v>
      </c>
      <c r="F52" s="63">
        <v>10</v>
      </c>
      <c r="G52" s="61">
        <f t="shared" si="36"/>
        <v>53</v>
      </c>
      <c r="H52" s="62" t="str">
        <f>IFERROR(IF(G52=0,"",ROUND((G52/SUM([1]SETTINGS!$C$26:$C$29))*[1]SETTINGS!$C$30,0)),"")</f>
        <v/>
      </c>
      <c r="I52" s="63">
        <v>54</v>
      </c>
      <c r="J52" s="62" t="str">
        <f>IFERROR(IF(ISBLANK(I52),"",ROUND((I52/[1]SETTINGS!$C$31)*[1]SETTINGS!$C$32,0)),"")</f>
        <v/>
      </c>
      <c r="K52" s="62" t="str">
        <f t="shared" si="13"/>
        <v/>
      </c>
      <c r="L52" s="64" t="str">
        <f t="shared" si="0"/>
        <v/>
      </c>
      <c r="M52" s="65" t="str">
        <f t="shared" si="14"/>
        <v/>
      </c>
      <c r="N52" s="66"/>
      <c r="O52" s="63">
        <v>7</v>
      </c>
      <c r="P52" s="63">
        <v>13</v>
      </c>
      <c r="Q52" s="63">
        <v>9</v>
      </c>
      <c r="R52" s="63">
        <v>12</v>
      </c>
      <c r="S52" s="61">
        <f t="shared" si="37"/>
        <v>41</v>
      </c>
      <c r="T52" s="62" t="str">
        <f>IFERROR(IF(S52=0,"",ROUND((S52/SUM([1]SETTINGS!$C$26:$C$29))*[1]SETTINGS!$C$30,0)),"")</f>
        <v/>
      </c>
      <c r="U52" s="63">
        <v>65</v>
      </c>
      <c r="V52" s="62" t="str">
        <f>IFERROR(IF(ISBLANK(U52),"",ROUND((U52/[1]SETTINGS!$C$31)*[1]SETTINGS!$C$32,0)),"")</f>
        <v/>
      </c>
      <c r="W52" s="62" t="str">
        <f t="shared" si="2"/>
        <v/>
      </c>
      <c r="X52" s="64" t="str">
        <f t="shared" si="3"/>
        <v/>
      </c>
      <c r="Y52" s="65" t="str">
        <f t="shared" si="4"/>
        <v/>
      </c>
      <c r="Z52" s="72"/>
      <c r="AA52" s="63">
        <v>15</v>
      </c>
      <c r="AB52" s="63">
        <v>10</v>
      </c>
      <c r="AC52" s="63">
        <v>12</v>
      </c>
      <c r="AD52" s="63">
        <v>14</v>
      </c>
      <c r="AE52" s="61">
        <f t="shared" si="15"/>
        <v>51</v>
      </c>
      <c r="AF52" s="62" t="str">
        <f>IFERROR(IF(AE52=0,"",ROUND((AE52/SUM([1]SETTINGS!$C$26:$C$29))*[1]SETTINGS!$C$30,0)),"")</f>
        <v/>
      </c>
      <c r="AG52" s="63">
        <v>71</v>
      </c>
      <c r="AH52" s="62" t="str">
        <f>IFERROR(IF(ISBLANK(AG52),"",ROUND((AG52/[1]SETTINGS!$C$31)*[1]SETTINGS!$C$32,0)),"")</f>
        <v/>
      </c>
      <c r="AI52" s="62" t="str">
        <f t="shared" si="16"/>
        <v/>
      </c>
      <c r="AJ52" s="64" t="str">
        <f t="shared" si="5"/>
        <v/>
      </c>
      <c r="AK52" s="75" t="str">
        <f t="shared" si="17"/>
        <v/>
      </c>
      <c r="AL52" s="72"/>
      <c r="AM52" s="63">
        <v>10</v>
      </c>
      <c r="AN52" s="63">
        <v>12</v>
      </c>
      <c r="AO52" s="63">
        <v>9</v>
      </c>
      <c r="AP52" s="63">
        <v>15</v>
      </c>
      <c r="AQ52" s="61">
        <f t="shared" si="18"/>
        <v>46</v>
      </c>
      <c r="AR52" s="62" t="str">
        <f>IFERROR(IF(AQ52=0,"",ROUND((AQ52/SUM([1]SETTINGS!$C$26:$C$29))*[1]SETTINGS!$C$30,0)),"")</f>
        <v/>
      </c>
      <c r="AS52" s="63">
        <v>41</v>
      </c>
      <c r="AT52" s="62" t="str">
        <f>IFERROR(IF(ISBLANK(AS52),"",ROUND((AS52/[1]SETTINGS!$C$31)*[1]SETTINGS!$C$32,0)),"")</f>
        <v/>
      </c>
      <c r="AU52" s="62" t="str">
        <f t="shared" si="19"/>
        <v/>
      </c>
      <c r="AV52" s="64" t="str">
        <f t="shared" si="6"/>
        <v/>
      </c>
      <c r="AW52" s="65" t="str">
        <f t="shared" si="20"/>
        <v/>
      </c>
      <c r="AX52" s="72"/>
      <c r="AY52" s="63">
        <v>12</v>
      </c>
      <c r="AZ52" s="63">
        <v>15</v>
      </c>
      <c r="BA52" s="63">
        <v>10</v>
      </c>
      <c r="BB52" s="63">
        <v>12</v>
      </c>
      <c r="BC52" s="61">
        <f t="shared" si="21"/>
        <v>49</v>
      </c>
      <c r="BD52" s="62" t="str">
        <f>IFERROR(IF(BC52=0,"",ROUND((BC52/SUM([1]SETTINGS!$C$26:$C$29))*[1]SETTINGS!$C$30,0)),"")</f>
        <v/>
      </c>
      <c r="BE52" s="63">
        <v>81</v>
      </c>
      <c r="BF52" s="62" t="str">
        <f>IFERROR(IF(ISBLANK(BE52),"",ROUND((BE52/[1]SETTINGS!$C$31)*[1]SETTINGS!$C$32,0)),"")</f>
        <v/>
      </c>
      <c r="BG52" s="62" t="str">
        <f t="shared" si="22"/>
        <v/>
      </c>
      <c r="BH52" s="64" t="str">
        <f t="shared" si="7"/>
        <v/>
      </c>
      <c r="BI52" s="75" t="str">
        <f t="shared" si="23"/>
        <v/>
      </c>
      <c r="BJ52" s="72"/>
      <c r="BK52" s="63">
        <v>13</v>
      </c>
      <c r="BL52" s="63">
        <v>14</v>
      </c>
      <c r="BM52" s="63">
        <v>4</v>
      </c>
      <c r="BN52" s="63">
        <v>15</v>
      </c>
      <c r="BO52" s="61">
        <f t="shared" si="24"/>
        <v>46</v>
      </c>
      <c r="BP52" s="62" t="str">
        <f>IFERROR(IF(BO52=0,"",ROUND((BO52/SUM([1]SETTINGS!$C$26:$C$29))*[1]SETTINGS!$C$30,0)),"")</f>
        <v/>
      </c>
      <c r="BQ52" s="63">
        <v>48</v>
      </c>
      <c r="BR52" s="62" t="str">
        <f>IFERROR(IF(ISBLANK(BQ52),"",ROUND((BQ52/[1]SETTINGS!$C$31)*[1]SETTINGS!$C$32,0)),"")</f>
        <v/>
      </c>
      <c r="BS52" s="62" t="str">
        <f t="shared" si="25"/>
        <v/>
      </c>
      <c r="BT52" s="64" t="str">
        <f t="shared" si="8"/>
        <v/>
      </c>
      <c r="BU52" s="65" t="str">
        <f t="shared" si="26"/>
        <v/>
      </c>
      <c r="BV52" s="72"/>
      <c r="BW52" s="63">
        <v>13</v>
      </c>
      <c r="BX52" s="63">
        <v>14</v>
      </c>
      <c r="BY52" s="63">
        <v>10</v>
      </c>
      <c r="BZ52" s="63">
        <v>15</v>
      </c>
      <c r="CA52" s="61">
        <f t="shared" si="27"/>
        <v>52</v>
      </c>
      <c r="CB52" s="62" t="str">
        <f>IFERROR(IF(CA52=0,"",ROUND((CA52/SUM([1]SETTINGS!$C$26:$C$29))*[1]SETTINGS!$C$30,0)),"")</f>
        <v/>
      </c>
      <c r="CC52" s="63">
        <v>61</v>
      </c>
      <c r="CD52" s="62" t="str">
        <f>IFERROR(IF(ISBLANK(CC52),"",ROUND((CC52/[1]SETTINGS!$C$31)*[1]SETTINGS!$C$32,0)),"")</f>
        <v/>
      </c>
      <c r="CE52" s="62" t="str">
        <f t="shared" si="28"/>
        <v/>
      </c>
      <c r="CF52" s="64" t="str">
        <f t="shared" si="9"/>
        <v/>
      </c>
      <c r="CG52" s="65" t="str">
        <f t="shared" si="29"/>
        <v/>
      </c>
      <c r="CH52" s="72"/>
      <c r="CI52" s="63">
        <v>15</v>
      </c>
      <c r="CJ52" s="63">
        <v>13</v>
      </c>
      <c r="CK52" s="63" t="s">
        <v>106</v>
      </c>
      <c r="CL52" s="63">
        <v>14</v>
      </c>
      <c r="CM52" s="61">
        <f t="shared" si="30"/>
        <v>42</v>
      </c>
      <c r="CN52" s="62" t="str">
        <f>IFERROR(IF(CM52=0,"",ROUND((CM52/SUM([1]SETTINGS!$C$26:$C$29))*[1]SETTINGS!$C$30,0)),"")</f>
        <v/>
      </c>
      <c r="CO52" s="63">
        <v>29</v>
      </c>
      <c r="CP52" s="62" t="str">
        <f>IFERROR(IF(ISBLANK(CO52),"",ROUND((CO52/[1]SETTINGS!$C$31)*[1]SETTINGS!$C$32,0)),"")</f>
        <v/>
      </c>
      <c r="CQ52" s="62" t="str">
        <f t="shared" si="31"/>
        <v/>
      </c>
      <c r="CR52" s="64" t="str">
        <f t="shared" si="10"/>
        <v/>
      </c>
      <c r="CS52" s="65" t="str">
        <f t="shared" si="32"/>
        <v/>
      </c>
      <c r="CT52" s="72"/>
      <c r="CU52" s="63">
        <v>12</v>
      </c>
      <c r="CV52" s="63">
        <v>5</v>
      </c>
      <c r="CW52" s="63">
        <v>5</v>
      </c>
      <c r="CX52" s="63">
        <v>5</v>
      </c>
      <c r="CY52" s="61">
        <f t="shared" si="33"/>
        <v>27</v>
      </c>
      <c r="CZ52" s="62" t="str">
        <f>IFERROR(IF(CY52=0,"",ROUND((CY52/SUM([1]SETTINGS!$C$26:$C$29))*[1]SETTINGS!$C$30,0)),"")</f>
        <v/>
      </c>
      <c r="DA52" s="63">
        <v>74</v>
      </c>
      <c r="DB52" s="62" t="str">
        <f>IFERROR(IF(ISBLANK(DA52),"",ROUND((DA52/[1]SETTINGS!$C$31)*[1]SETTINGS!$C$32,0)),"")</f>
        <v/>
      </c>
      <c r="DC52" s="62" t="str">
        <f t="shared" si="34"/>
        <v/>
      </c>
      <c r="DD52" s="64" t="str">
        <f t="shared" si="11"/>
        <v/>
      </c>
      <c r="DE52" s="65" t="str">
        <f t="shared" si="35"/>
        <v/>
      </c>
      <c r="DF52" s="64" t="str">
        <f t="shared" si="12"/>
        <v/>
      </c>
      <c r="DG52" s="64" t="str">
        <f>IFERROR(IF(AND(K52,W52,AI52,AU52,BG52,BS52,CE52,CQ52,DC52)="","",SUM(K52,W52,AI52,AU52,LARGE((BG52,BS52,CE52,CQ52,DC52),{1,2}))),"")</f>
        <v/>
      </c>
      <c r="DH52" s="64" t="str">
        <f>IFERROR(IF(AND(M52,Y52,AK52,AW52,,BI52,BU52,CG52,CS52,DE52)="","",SUM(M52,Y52,AK52,AW52,SMALL((BI52,BU52,CG52,CS52,DE52),{1,2}))),"")</f>
        <v/>
      </c>
      <c r="DI52" s="76" t="str">
        <f>IFERROR(pos&amp;IF(AND(MOD(ABS(18),100)&gt;10,MOD(ABS(pos),100)&lt;14),"th", CHOOSE(MOD(ABS(pos),10)+1,"th","st","nd","rd","th","th","th","th","th","th")),"")</f>
        <v/>
      </c>
      <c r="DJ52" s="15">
        <f>ROWS($B$12:$B52)</f>
        <v>41</v>
      </c>
      <c r="DK52" s="15">
        <f>IF($B52=[1]REPORT_CARD!$B$9,$DJ52,"")</f>
        <v>41</v>
      </c>
      <c r="DM52" s="74"/>
    </row>
    <row r="53" spans="1:117" ht="19.5" customHeight="1">
      <c r="A53" s="59" t="str">
        <f>IFERROR(IF(ISBLANK([1]PRIMARY_INFO!$A53),"",[1]PRIMARY_INFO!$A53),"")</f>
        <v/>
      </c>
      <c r="B53" s="59" t="str">
        <f>IFERROR(IF(ISBLANK([1]PRIMARY_INFO!$B53),"",[1]PRIMARY_INFO!$B53),"")</f>
        <v/>
      </c>
      <c r="C53" s="63">
        <v>12</v>
      </c>
      <c r="D53" s="63">
        <v>15</v>
      </c>
      <c r="E53" s="63">
        <v>15</v>
      </c>
      <c r="F53" s="63">
        <v>9</v>
      </c>
      <c r="G53" s="61">
        <f t="shared" si="36"/>
        <v>51</v>
      </c>
      <c r="H53" s="62" t="str">
        <f>IFERROR(IF(G53=0,"",ROUND((G53/SUM([1]SETTINGS!$C$26:$C$29))*[1]SETTINGS!$C$30,0)),"")</f>
        <v/>
      </c>
      <c r="I53" s="63">
        <v>40</v>
      </c>
      <c r="J53" s="62" t="str">
        <f>IFERROR(IF(ISBLANK(I53),"",ROUND((I53/[1]SETTINGS!$C$31)*[1]SETTINGS!$C$32,0)),"")</f>
        <v/>
      </c>
      <c r="K53" s="62" t="str">
        <f t="shared" si="13"/>
        <v/>
      </c>
      <c r="L53" s="64" t="str">
        <f t="shared" si="0"/>
        <v/>
      </c>
      <c r="M53" s="65" t="str">
        <f t="shared" si="14"/>
        <v/>
      </c>
      <c r="N53" s="66"/>
      <c r="O53" s="63">
        <v>9</v>
      </c>
      <c r="P53" s="63">
        <v>10</v>
      </c>
      <c r="Q53" s="63">
        <v>5</v>
      </c>
      <c r="R53" s="63">
        <v>12</v>
      </c>
      <c r="S53" s="61">
        <f t="shared" si="37"/>
        <v>36</v>
      </c>
      <c r="T53" s="62" t="str">
        <f>IFERROR(IF(S53=0,"",ROUND((S53/SUM([1]SETTINGS!$C$26:$C$29))*[1]SETTINGS!$C$30,0)),"")</f>
        <v/>
      </c>
      <c r="U53" s="63">
        <v>28</v>
      </c>
      <c r="V53" s="62" t="str">
        <f>IFERROR(IF(ISBLANK(U53),"",ROUND((U53/[1]SETTINGS!$C$31)*[1]SETTINGS!$C$32,0)),"")</f>
        <v/>
      </c>
      <c r="W53" s="62" t="str">
        <f t="shared" si="2"/>
        <v/>
      </c>
      <c r="X53" s="64" t="str">
        <f t="shared" si="3"/>
        <v/>
      </c>
      <c r="Y53" s="65" t="str">
        <f t="shared" si="4"/>
        <v/>
      </c>
      <c r="Z53" s="72"/>
      <c r="AA53" s="63">
        <v>8</v>
      </c>
      <c r="AB53" s="63">
        <v>10</v>
      </c>
      <c r="AC53" s="63">
        <v>10</v>
      </c>
      <c r="AD53" s="63">
        <v>8</v>
      </c>
      <c r="AE53" s="61">
        <f t="shared" si="15"/>
        <v>36</v>
      </c>
      <c r="AF53" s="62" t="str">
        <f>IFERROR(IF(AE53=0,"",ROUND((AE53/SUM([1]SETTINGS!$C$26:$C$29))*[1]SETTINGS!$C$30,0)),"")</f>
        <v/>
      </c>
      <c r="AG53" s="63">
        <v>31</v>
      </c>
      <c r="AH53" s="62" t="str">
        <f>IFERROR(IF(ISBLANK(AG53),"",ROUND((AG53/[1]SETTINGS!$C$31)*[1]SETTINGS!$C$32,0)),"")</f>
        <v/>
      </c>
      <c r="AI53" s="62" t="str">
        <f t="shared" si="16"/>
        <v/>
      </c>
      <c r="AJ53" s="64" t="str">
        <f t="shared" si="5"/>
        <v/>
      </c>
      <c r="AK53" s="75" t="str">
        <f t="shared" si="17"/>
        <v/>
      </c>
      <c r="AL53" s="72"/>
      <c r="AM53" s="63">
        <v>7</v>
      </c>
      <c r="AN53" s="63">
        <v>10</v>
      </c>
      <c r="AO53" s="63">
        <v>13</v>
      </c>
      <c r="AP53" s="63">
        <v>15</v>
      </c>
      <c r="AQ53" s="61">
        <f t="shared" si="18"/>
        <v>45</v>
      </c>
      <c r="AR53" s="62" t="str">
        <f>IFERROR(IF(AQ53=0,"",ROUND((AQ53/SUM([1]SETTINGS!$C$26:$C$29))*[1]SETTINGS!$C$30,0)),"")</f>
        <v/>
      </c>
      <c r="AS53" s="63">
        <v>36</v>
      </c>
      <c r="AT53" s="62" t="str">
        <f>IFERROR(IF(ISBLANK(AS53),"",ROUND((AS53/[1]SETTINGS!$C$31)*[1]SETTINGS!$C$32,0)),"")</f>
        <v/>
      </c>
      <c r="AU53" s="62" t="str">
        <f t="shared" si="19"/>
        <v/>
      </c>
      <c r="AV53" s="64" t="str">
        <f t="shared" si="6"/>
        <v/>
      </c>
      <c r="AW53" s="65" t="str">
        <f t="shared" si="20"/>
        <v/>
      </c>
      <c r="AX53" s="72"/>
      <c r="AY53" s="63">
        <v>12</v>
      </c>
      <c r="AZ53" s="63">
        <v>10</v>
      </c>
      <c r="BA53" s="63">
        <v>10</v>
      </c>
      <c r="BB53" s="63">
        <v>14</v>
      </c>
      <c r="BC53" s="61">
        <f t="shared" si="21"/>
        <v>46</v>
      </c>
      <c r="BD53" s="62" t="str">
        <f>IFERROR(IF(BC53=0,"",ROUND((BC53/SUM([1]SETTINGS!$C$26:$C$29))*[1]SETTINGS!$C$30,0)),"")</f>
        <v/>
      </c>
      <c r="BE53" s="63">
        <v>68</v>
      </c>
      <c r="BF53" s="62" t="str">
        <f>IFERROR(IF(ISBLANK(BE53),"",ROUND((BE53/[1]SETTINGS!$C$31)*[1]SETTINGS!$C$32,0)),"")</f>
        <v/>
      </c>
      <c r="BG53" s="62" t="str">
        <f t="shared" si="22"/>
        <v/>
      </c>
      <c r="BH53" s="64" t="str">
        <f t="shared" si="7"/>
        <v/>
      </c>
      <c r="BI53" s="75" t="str">
        <f t="shared" si="23"/>
        <v/>
      </c>
      <c r="BJ53" s="72"/>
      <c r="BK53" s="63">
        <v>5</v>
      </c>
      <c r="BL53" s="63">
        <v>5</v>
      </c>
      <c r="BM53" s="63">
        <v>5</v>
      </c>
      <c r="BN53" s="63">
        <v>15</v>
      </c>
      <c r="BO53" s="61">
        <f t="shared" si="24"/>
        <v>30</v>
      </c>
      <c r="BP53" s="62" t="str">
        <f>IFERROR(IF(BO53=0,"",ROUND((BO53/SUM([1]SETTINGS!$C$26:$C$29))*[1]SETTINGS!$C$30,0)),"")</f>
        <v/>
      </c>
      <c r="BQ53" s="63">
        <v>39</v>
      </c>
      <c r="BR53" s="62" t="str">
        <f>IFERROR(IF(ISBLANK(BQ53),"",ROUND((BQ53/[1]SETTINGS!$C$31)*[1]SETTINGS!$C$32,0)),"")</f>
        <v/>
      </c>
      <c r="BS53" s="62" t="str">
        <f t="shared" si="25"/>
        <v/>
      </c>
      <c r="BT53" s="64" t="str">
        <f t="shared" si="8"/>
        <v/>
      </c>
      <c r="BU53" s="65" t="str">
        <f t="shared" si="26"/>
        <v/>
      </c>
      <c r="BV53" s="72"/>
      <c r="BW53" s="63">
        <v>9</v>
      </c>
      <c r="BX53" s="63">
        <v>11</v>
      </c>
      <c r="BY53" s="63">
        <v>15</v>
      </c>
      <c r="BZ53" s="63">
        <v>15</v>
      </c>
      <c r="CA53" s="61">
        <f t="shared" si="27"/>
        <v>50</v>
      </c>
      <c r="CB53" s="62" t="str">
        <f>IFERROR(IF(CA53=0,"",ROUND((CA53/SUM([1]SETTINGS!$C$26:$C$29))*[1]SETTINGS!$C$30,0)),"")</f>
        <v/>
      </c>
      <c r="CC53" s="63">
        <v>55</v>
      </c>
      <c r="CD53" s="62" t="str">
        <f>IFERROR(IF(ISBLANK(CC53),"",ROUND((CC53/[1]SETTINGS!$C$31)*[1]SETTINGS!$C$32,0)),"")</f>
        <v/>
      </c>
      <c r="CE53" s="62" t="str">
        <f t="shared" si="28"/>
        <v/>
      </c>
      <c r="CF53" s="64" t="str">
        <f t="shared" si="9"/>
        <v/>
      </c>
      <c r="CG53" s="65" t="str">
        <f t="shared" si="29"/>
        <v/>
      </c>
      <c r="CH53" s="72"/>
      <c r="CI53" s="63">
        <v>15</v>
      </c>
      <c r="CJ53" s="63">
        <v>15</v>
      </c>
      <c r="CK53" s="63">
        <v>9</v>
      </c>
      <c r="CL53" s="63">
        <v>14</v>
      </c>
      <c r="CM53" s="61">
        <f t="shared" si="30"/>
        <v>53</v>
      </c>
      <c r="CN53" s="62" t="str">
        <f>IFERROR(IF(CM53=0,"",ROUND((CM53/SUM([1]SETTINGS!$C$26:$C$29))*[1]SETTINGS!$C$30,0)),"")</f>
        <v/>
      </c>
      <c r="CO53" s="63">
        <v>35</v>
      </c>
      <c r="CP53" s="62" t="str">
        <f>IFERROR(IF(ISBLANK(CO53),"",ROUND((CO53/[1]SETTINGS!$C$31)*[1]SETTINGS!$C$32,0)),"")</f>
        <v/>
      </c>
      <c r="CQ53" s="62" t="str">
        <f t="shared" si="31"/>
        <v/>
      </c>
      <c r="CR53" s="64" t="str">
        <f t="shared" si="10"/>
        <v/>
      </c>
      <c r="CS53" s="65" t="str">
        <f t="shared" si="32"/>
        <v/>
      </c>
      <c r="CT53" s="72"/>
      <c r="CU53" s="63">
        <v>15</v>
      </c>
      <c r="CV53" s="63">
        <v>4</v>
      </c>
      <c r="CW53" s="63">
        <v>8</v>
      </c>
      <c r="CX53" s="63">
        <v>12</v>
      </c>
      <c r="CY53" s="61">
        <f t="shared" si="33"/>
        <v>39</v>
      </c>
      <c r="CZ53" s="62" t="str">
        <f>IFERROR(IF(CY53=0,"",ROUND((CY53/SUM([1]SETTINGS!$C$26:$C$29))*[1]SETTINGS!$C$30,0)),"")</f>
        <v/>
      </c>
      <c r="DA53" s="63">
        <v>35</v>
      </c>
      <c r="DB53" s="62" t="str">
        <f>IFERROR(IF(ISBLANK(DA53),"",ROUND((DA53/[1]SETTINGS!$C$31)*[1]SETTINGS!$C$32,0)),"")</f>
        <v/>
      </c>
      <c r="DC53" s="62" t="str">
        <f t="shared" si="34"/>
        <v/>
      </c>
      <c r="DD53" s="64" t="str">
        <f t="shared" si="11"/>
        <v/>
      </c>
      <c r="DE53" s="65" t="str">
        <f t="shared" si="35"/>
        <v/>
      </c>
      <c r="DF53" s="64" t="str">
        <f t="shared" si="12"/>
        <v/>
      </c>
      <c r="DG53" s="64" t="str">
        <f>IFERROR(IF(AND(K53,W53,AI53,AU53,BG53,BS53,CE53,CQ53,DC53)="","",SUM(K53,W53,AI53,AU53,LARGE((BG53,BS53,CE53,CQ53,DC53),{1,2}))),"")</f>
        <v/>
      </c>
      <c r="DH53" s="64" t="str">
        <f>IFERROR(IF(AND(M53,Y53,AK53,AW53,,BI53,BU53,CG53,CS53,DE53)="","",SUM(M53,Y53,AK53,AW53,SMALL((BI53,BU53,CG53,CS53,DE53),{1,2}))),"")</f>
        <v/>
      </c>
      <c r="DI53" s="76" t="str">
        <f>IFERROR(pos&amp;IF(AND(MOD(ABS(18),100)&gt;10,MOD(ABS(pos),100)&lt;14),"th", CHOOSE(MOD(ABS(pos),10)+1,"th","st","nd","rd","th","th","th","th","th","th")),"")</f>
        <v/>
      </c>
      <c r="DJ53" s="15">
        <f>ROWS($B$12:$B53)</f>
        <v>42</v>
      </c>
      <c r="DK53" s="15">
        <f>IF($B53=[1]REPORT_CARD!$B$9,$DJ53,"")</f>
        <v>42</v>
      </c>
      <c r="DM53" s="74"/>
    </row>
    <row r="54" spans="1:117" ht="19.5" customHeight="1">
      <c r="A54" s="59" t="str">
        <f>IFERROR(IF(ISBLANK([1]PRIMARY_INFO!$A54),"",[1]PRIMARY_INFO!$A54),"")</f>
        <v/>
      </c>
      <c r="B54" s="59" t="str">
        <f>IFERROR(IF(ISBLANK([1]PRIMARY_INFO!$B54),"",[1]PRIMARY_INFO!$B54),"")</f>
        <v/>
      </c>
      <c r="C54" s="63">
        <v>15</v>
      </c>
      <c r="D54" s="63">
        <v>14</v>
      </c>
      <c r="E54" s="63">
        <v>15</v>
      </c>
      <c r="F54" s="63">
        <v>11</v>
      </c>
      <c r="G54" s="61">
        <f t="shared" si="36"/>
        <v>55</v>
      </c>
      <c r="H54" s="62" t="str">
        <f>IFERROR(IF(G54=0,"",ROUND((G54/SUM([1]SETTINGS!$C$26:$C$29))*[1]SETTINGS!$C$30,0)),"")</f>
        <v/>
      </c>
      <c r="I54" s="63">
        <v>57</v>
      </c>
      <c r="J54" s="62" t="str">
        <f>IFERROR(IF(ISBLANK(I54),"",ROUND((I54/[1]SETTINGS!$C$31)*[1]SETTINGS!$C$32,0)),"")</f>
        <v/>
      </c>
      <c r="K54" s="62" t="str">
        <f t="shared" si="13"/>
        <v/>
      </c>
      <c r="L54" s="64" t="str">
        <f t="shared" si="0"/>
        <v/>
      </c>
      <c r="M54" s="65" t="str">
        <f t="shared" si="14"/>
        <v/>
      </c>
      <c r="N54" s="66"/>
      <c r="O54" s="63">
        <v>5</v>
      </c>
      <c r="P54" s="63">
        <v>12</v>
      </c>
      <c r="Q54" s="63">
        <v>11</v>
      </c>
      <c r="R54" s="63">
        <v>13</v>
      </c>
      <c r="S54" s="61">
        <f t="shared" si="37"/>
        <v>41</v>
      </c>
      <c r="T54" s="62" t="str">
        <f>IFERROR(IF(S54=0,"",ROUND((S54/SUM([1]SETTINGS!$C$26:$C$29))*[1]SETTINGS!$C$30,0)),"")</f>
        <v/>
      </c>
      <c r="U54" s="63">
        <v>60</v>
      </c>
      <c r="V54" s="62" t="str">
        <f>IFERROR(IF(ISBLANK(U54),"",ROUND((U54/[1]SETTINGS!$C$31)*[1]SETTINGS!$C$32,0)),"")</f>
        <v/>
      </c>
      <c r="W54" s="62" t="str">
        <f t="shared" si="2"/>
        <v/>
      </c>
      <c r="X54" s="64" t="str">
        <f t="shared" si="3"/>
        <v/>
      </c>
      <c r="Y54" s="65" t="str">
        <f t="shared" si="4"/>
        <v/>
      </c>
      <c r="Z54" s="72"/>
      <c r="AA54" s="63">
        <v>14</v>
      </c>
      <c r="AB54" s="63">
        <v>10</v>
      </c>
      <c r="AC54" s="63">
        <v>7</v>
      </c>
      <c r="AD54" s="63">
        <v>12</v>
      </c>
      <c r="AE54" s="61">
        <f t="shared" si="15"/>
        <v>43</v>
      </c>
      <c r="AF54" s="62" t="str">
        <f>IFERROR(IF(AE54=0,"",ROUND((AE54/SUM([1]SETTINGS!$C$26:$C$29))*[1]SETTINGS!$C$30,0)),"")</f>
        <v/>
      </c>
      <c r="AG54" s="63">
        <v>72</v>
      </c>
      <c r="AH54" s="62" t="str">
        <f>IFERROR(IF(ISBLANK(AG54),"",ROUND((AG54/[1]SETTINGS!$C$31)*[1]SETTINGS!$C$32,0)),"")</f>
        <v/>
      </c>
      <c r="AI54" s="62" t="str">
        <f t="shared" si="16"/>
        <v/>
      </c>
      <c r="AJ54" s="64" t="str">
        <f t="shared" si="5"/>
        <v/>
      </c>
      <c r="AK54" s="75" t="str">
        <f t="shared" si="17"/>
        <v/>
      </c>
      <c r="AL54" s="72"/>
      <c r="AM54" s="63">
        <v>12</v>
      </c>
      <c r="AN54" s="63">
        <v>10</v>
      </c>
      <c r="AO54" s="63">
        <v>11</v>
      </c>
      <c r="AP54" s="63">
        <v>14</v>
      </c>
      <c r="AQ54" s="61">
        <f t="shared" si="18"/>
        <v>47</v>
      </c>
      <c r="AR54" s="62" t="str">
        <f>IFERROR(IF(AQ54=0,"",ROUND((AQ54/SUM([1]SETTINGS!$C$26:$C$29))*[1]SETTINGS!$C$30,0)),"")</f>
        <v/>
      </c>
      <c r="AS54" s="63">
        <v>48</v>
      </c>
      <c r="AT54" s="62" t="str">
        <f>IFERROR(IF(ISBLANK(AS54),"",ROUND((AS54/[1]SETTINGS!$C$31)*[1]SETTINGS!$C$32,0)),"")</f>
        <v/>
      </c>
      <c r="AU54" s="62" t="str">
        <f t="shared" si="19"/>
        <v/>
      </c>
      <c r="AV54" s="64" t="str">
        <f t="shared" si="6"/>
        <v/>
      </c>
      <c r="AW54" s="65" t="str">
        <f t="shared" si="20"/>
        <v/>
      </c>
      <c r="AX54" s="72"/>
      <c r="AY54" s="63">
        <v>12</v>
      </c>
      <c r="AZ54" s="63">
        <v>8</v>
      </c>
      <c r="BA54" s="63">
        <v>12</v>
      </c>
      <c r="BB54" s="63">
        <v>15</v>
      </c>
      <c r="BC54" s="61">
        <f t="shared" si="21"/>
        <v>47</v>
      </c>
      <c r="BD54" s="62" t="str">
        <f>IFERROR(IF(BC54=0,"",ROUND((BC54/SUM([1]SETTINGS!$C$26:$C$29))*[1]SETTINGS!$C$30,0)),"")</f>
        <v/>
      </c>
      <c r="BE54" s="63">
        <v>68</v>
      </c>
      <c r="BF54" s="62" t="str">
        <f>IFERROR(IF(ISBLANK(BE54),"",ROUND((BE54/[1]SETTINGS!$C$31)*[1]SETTINGS!$C$32,0)),"")</f>
        <v/>
      </c>
      <c r="BG54" s="62" t="str">
        <f t="shared" si="22"/>
        <v/>
      </c>
      <c r="BH54" s="64" t="str">
        <f t="shared" si="7"/>
        <v/>
      </c>
      <c r="BI54" s="75" t="str">
        <f t="shared" si="23"/>
        <v/>
      </c>
      <c r="BJ54" s="72"/>
      <c r="BK54" s="63">
        <v>15</v>
      </c>
      <c r="BL54" s="63">
        <v>15</v>
      </c>
      <c r="BM54" s="63">
        <v>11</v>
      </c>
      <c r="BN54" s="63">
        <v>15</v>
      </c>
      <c r="BO54" s="61">
        <f t="shared" si="24"/>
        <v>56</v>
      </c>
      <c r="BP54" s="62" t="str">
        <f>IFERROR(IF(BO54=0,"",ROUND((BO54/SUM([1]SETTINGS!$C$26:$C$29))*[1]SETTINGS!$C$30,0)),"")</f>
        <v/>
      </c>
      <c r="BQ54" s="63">
        <v>55</v>
      </c>
      <c r="BR54" s="62" t="str">
        <f>IFERROR(IF(ISBLANK(BQ54),"",ROUND((BQ54/[1]SETTINGS!$C$31)*[1]SETTINGS!$C$32,0)),"")</f>
        <v/>
      </c>
      <c r="BS54" s="62" t="str">
        <f t="shared" si="25"/>
        <v/>
      </c>
      <c r="BT54" s="64" t="str">
        <f t="shared" si="8"/>
        <v/>
      </c>
      <c r="BU54" s="65" t="str">
        <f t="shared" si="26"/>
        <v/>
      </c>
      <c r="BV54" s="72"/>
      <c r="BW54" s="63">
        <v>12</v>
      </c>
      <c r="BX54" s="63">
        <v>13</v>
      </c>
      <c r="BY54" s="63">
        <v>15</v>
      </c>
      <c r="BZ54" s="63">
        <v>15</v>
      </c>
      <c r="CA54" s="61">
        <f t="shared" si="27"/>
        <v>55</v>
      </c>
      <c r="CB54" s="62" t="str">
        <f>IFERROR(IF(CA54=0,"",ROUND((CA54/SUM([1]SETTINGS!$C$26:$C$29))*[1]SETTINGS!$C$30,0)),"")</f>
        <v/>
      </c>
      <c r="CC54" s="63">
        <v>58</v>
      </c>
      <c r="CD54" s="62" t="str">
        <f>IFERROR(IF(ISBLANK(CC54),"",ROUND((CC54/[1]SETTINGS!$C$31)*[1]SETTINGS!$C$32,0)),"")</f>
        <v/>
      </c>
      <c r="CE54" s="62" t="str">
        <f t="shared" si="28"/>
        <v/>
      </c>
      <c r="CF54" s="64" t="str">
        <f t="shared" si="9"/>
        <v/>
      </c>
      <c r="CG54" s="65" t="str">
        <f t="shared" si="29"/>
        <v/>
      </c>
      <c r="CH54" s="72"/>
      <c r="CI54" s="63">
        <v>15</v>
      </c>
      <c r="CJ54" s="63">
        <v>13</v>
      </c>
      <c r="CK54" s="63">
        <v>11</v>
      </c>
      <c r="CL54" s="63">
        <v>15</v>
      </c>
      <c r="CM54" s="61">
        <f t="shared" si="30"/>
        <v>54</v>
      </c>
      <c r="CN54" s="62" t="str">
        <f>IFERROR(IF(CM54=0,"",ROUND((CM54/SUM([1]SETTINGS!$C$26:$C$29))*[1]SETTINGS!$C$30,0)),"")</f>
        <v/>
      </c>
      <c r="CO54" s="63">
        <v>37</v>
      </c>
      <c r="CP54" s="62" t="str">
        <f>IFERROR(IF(ISBLANK(CO54),"",ROUND((CO54/[1]SETTINGS!$C$31)*[1]SETTINGS!$C$32,0)),"")</f>
        <v/>
      </c>
      <c r="CQ54" s="62" t="str">
        <f t="shared" si="31"/>
        <v/>
      </c>
      <c r="CR54" s="64" t="str">
        <f t="shared" si="10"/>
        <v/>
      </c>
      <c r="CS54" s="65" t="str">
        <f t="shared" si="32"/>
        <v/>
      </c>
      <c r="CT54" s="72"/>
      <c r="CU54" s="63">
        <v>11</v>
      </c>
      <c r="CV54" s="63">
        <v>15</v>
      </c>
      <c r="CW54" s="63">
        <v>10</v>
      </c>
      <c r="CX54" s="63">
        <v>13</v>
      </c>
      <c r="CY54" s="61">
        <f t="shared" si="33"/>
        <v>49</v>
      </c>
      <c r="CZ54" s="62" t="str">
        <f>IFERROR(IF(CY54=0,"",ROUND((CY54/SUM([1]SETTINGS!$C$26:$C$29))*[1]SETTINGS!$C$30,0)),"")</f>
        <v/>
      </c>
      <c r="DA54" s="63">
        <v>56</v>
      </c>
      <c r="DB54" s="62" t="str">
        <f>IFERROR(IF(ISBLANK(DA54),"",ROUND((DA54/[1]SETTINGS!$C$31)*[1]SETTINGS!$C$32,0)),"")</f>
        <v/>
      </c>
      <c r="DC54" s="62" t="str">
        <f t="shared" si="34"/>
        <v/>
      </c>
      <c r="DD54" s="64" t="str">
        <f t="shared" si="11"/>
        <v/>
      </c>
      <c r="DE54" s="65" t="str">
        <f t="shared" si="35"/>
        <v/>
      </c>
      <c r="DF54" s="64" t="str">
        <f t="shared" si="12"/>
        <v/>
      </c>
      <c r="DG54" s="64" t="str">
        <f>IFERROR(IF(AND(K54,W54,AI54,AU54,BG54,BS54,CE54,CQ54,DC54)="","",SUM(K54,W54,AI54,AU54,LARGE((BG54,BS54,CE54,CQ54,DC54),{1,2}))),"")</f>
        <v/>
      </c>
      <c r="DH54" s="64" t="str">
        <f>IFERROR(IF(AND(M54,Y54,AK54,AW54,,BI54,BU54,CG54,CS54,DE54)="","",SUM(M54,Y54,AK54,AW54,SMALL((BI54,BU54,CG54,CS54,DE54),{1,2}))),"")</f>
        <v/>
      </c>
      <c r="DI54" s="76" t="str">
        <f>IFERROR(pos&amp;IF(AND(MOD(ABS(18),100)&gt;10,MOD(ABS(pos),100)&lt;14),"th", CHOOSE(MOD(ABS(pos),10)+1,"th","st","nd","rd","th","th","th","th","th","th")),"")</f>
        <v/>
      </c>
      <c r="DJ54" s="15">
        <f>ROWS($B$12:$B54)</f>
        <v>43</v>
      </c>
      <c r="DK54" s="15">
        <f>IF($B54=[1]REPORT_CARD!$B$9,$DJ54,"")</f>
        <v>43</v>
      </c>
      <c r="DM54" s="74"/>
    </row>
    <row r="55" spans="1:117" ht="19.5" customHeight="1">
      <c r="A55" s="59" t="str">
        <f>IFERROR(IF(ISBLANK([1]PRIMARY_INFO!$A55),"",[1]PRIMARY_INFO!$A55),"")</f>
        <v/>
      </c>
      <c r="B55" s="59" t="str">
        <f>IFERROR(IF(ISBLANK([1]PRIMARY_INFO!$B55),"",[1]PRIMARY_INFO!$B55),"")</f>
        <v/>
      </c>
      <c r="C55" s="63">
        <v>9</v>
      </c>
      <c r="D55" s="63">
        <v>15</v>
      </c>
      <c r="E55" s="63">
        <v>11</v>
      </c>
      <c r="F55" s="63">
        <v>12</v>
      </c>
      <c r="G55" s="61">
        <f t="shared" si="36"/>
        <v>47</v>
      </c>
      <c r="H55" s="62" t="str">
        <f>IFERROR(IF(G55=0,"",ROUND((G55/SUM([1]SETTINGS!$C$26:$C$29))*[1]SETTINGS!$C$30,0)),"")</f>
        <v/>
      </c>
      <c r="I55" s="63">
        <v>32</v>
      </c>
      <c r="J55" s="62" t="str">
        <f>IFERROR(IF(ISBLANK(I55),"",ROUND((I55/[1]SETTINGS!$C$31)*[1]SETTINGS!$C$32,0)),"")</f>
        <v/>
      </c>
      <c r="K55" s="62" t="str">
        <f t="shared" si="13"/>
        <v/>
      </c>
      <c r="L55" s="64" t="str">
        <f t="shared" si="0"/>
        <v/>
      </c>
      <c r="M55" s="65" t="str">
        <f t="shared" si="14"/>
        <v/>
      </c>
      <c r="N55" s="66"/>
      <c r="O55" s="63">
        <v>5</v>
      </c>
      <c r="P55" s="63">
        <v>14</v>
      </c>
      <c r="Q55" s="63">
        <v>7</v>
      </c>
      <c r="R55" s="63">
        <v>12</v>
      </c>
      <c r="S55" s="61">
        <f t="shared" si="37"/>
        <v>38</v>
      </c>
      <c r="T55" s="62" t="str">
        <f>IFERROR(IF(S55=0,"",ROUND((S55/SUM([1]SETTINGS!$C$26:$C$29))*[1]SETTINGS!$C$30,0)),"")</f>
        <v/>
      </c>
      <c r="U55" s="63">
        <v>20</v>
      </c>
      <c r="V55" s="62" t="str">
        <f>IFERROR(IF(ISBLANK(U55),"",ROUND((U55/[1]SETTINGS!$C$31)*[1]SETTINGS!$C$32,0)),"")</f>
        <v/>
      </c>
      <c r="W55" s="62" t="str">
        <f t="shared" si="2"/>
        <v/>
      </c>
      <c r="X55" s="64" t="str">
        <f t="shared" si="3"/>
        <v/>
      </c>
      <c r="Y55" s="65" t="str">
        <f t="shared" si="4"/>
        <v/>
      </c>
      <c r="Z55" s="72"/>
      <c r="AA55" s="63">
        <v>10</v>
      </c>
      <c r="AB55" s="63">
        <v>10</v>
      </c>
      <c r="AC55" s="63">
        <v>6</v>
      </c>
      <c r="AD55" s="63">
        <v>10</v>
      </c>
      <c r="AE55" s="61">
        <f t="shared" si="15"/>
        <v>36</v>
      </c>
      <c r="AF55" s="62" t="str">
        <f>IFERROR(IF(AE55=0,"",ROUND((AE55/SUM([1]SETTINGS!$C$26:$C$29))*[1]SETTINGS!$C$30,0)),"")</f>
        <v/>
      </c>
      <c r="AG55" s="63">
        <v>27</v>
      </c>
      <c r="AH55" s="62" t="str">
        <f>IFERROR(IF(ISBLANK(AG55),"",ROUND((AG55/[1]SETTINGS!$C$31)*[1]SETTINGS!$C$32,0)),"")</f>
        <v/>
      </c>
      <c r="AI55" s="62" t="str">
        <f t="shared" si="16"/>
        <v/>
      </c>
      <c r="AJ55" s="64" t="str">
        <f t="shared" si="5"/>
        <v/>
      </c>
      <c r="AK55" s="75" t="str">
        <f t="shared" si="17"/>
        <v/>
      </c>
      <c r="AL55" s="72"/>
      <c r="AM55" s="63">
        <v>7</v>
      </c>
      <c r="AN55" s="63">
        <v>6</v>
      </c>
      <c r="AO55" s="63">
        <v>15</v>
      </c>
      <c r="AP55" s="63">
        <v>15</v>
      </c>
      <c r="AQ55" s="61">
        <f t="shared" si="18"/>
        <v>43</v>
      </c>
      <c r="AR55" s="62" t="str">
        <f>IFERROR(IF(AQ55=0,"",ROUND((AQ55/SUM([1]SETTINGS!$C$26:$C$29))*[1]SETTINGS!$C$30,0)),"")</f>
        <v/>
      </c>
      <c r="AS55" s="63">
        <v>19</v>
      </c>
      <c r="AT55" s="62" t="str">
        <f>IFERROR(IF(ISBLANK(AS55),"",ROUND((AS55/[1]SETTINGS!$C$31)*[1]SETTINGS!$C$32,0)),"")</f>
        <v/>
      </c>
      <c r="AU55" s="62" t="str">
        <f t="shared" si="19"/>
        <v/>
      </c>
      <c r="AV55" s="64" t="str">
        <f t="shared" si="6"/>
        <v/>
      </c>
      <c r="AW55" s="65" t="str">
        <f t="shared" si="20"/>
        <v/>
      </c>
      <c r="AX55" s="72"/>
      <c r="AY55" s="63">
        <v>8</v>
      </c>
      <c r="AZ55" s="63">
        <v>13</v>
      </c>
      <c r="BA55" s="63">
        <v>11</v>
      </c>
      <c r="BB55" s="63">
        <v>12</v>
      </c>
      <c r="BC55" s="61">
        <f t="shared" si="21"/>
        <v>44</v>
      </c>
      <c r="BD55" s="62" t="str">
        <f>IFERROR(IF(BC55=0,"",ROUND((BC55/SUM([1]SETTINGS!$C$26:$C$29))*[1]SETTINGS!$C$30,0)),"")</f>
        <v/>
      </c>
      <c r="BE55" s="63">
        <v>37</v>
      </c>
      <c r="BF55" s="62" t="str">
        <f>IFERROR(IF(ISBLANK(BE55),"",ROUND((BE55/[1]SETTINGS!$C$31)*[1]SETTINGS!$C$32,0)),"")</f>
        <v/>
      </c>
      <c r="BG55" s="62" t="str">
        <f t="shared" si="22"/>
        <v/>
      </c>
      <c r="BH55" s="64" t="str">
        <f t="shared" si="7"/>
        <v/>
      </c>
      <c r="BI55" s="75" t="str">
        <f t="shared" si="23"/>
        <v/>
      </c>
      <c r="BJ55" s="72"/>
      <c r="BK55" s="63">
        <v>12</v>
      </c>
      <c r="BL55" s="63">
        <v>2</v>
      </c>
      <c r="BM55" s="63">
        <v>3</v>
      </c>
      <c r="BN55" s="63">
        <v>15</v>
      </c>
      <c r="BO55" s="61">
        <f t="shared" si="24"/>
        <v>32</v>
      </c>
      <c r="BP55" s="62" t="str">
        <f>IFERROR(IF(BO55=0,"",ROUND((BO55/SUM([1]SETTINGS!$C$26:$C$29))*[1]SETTINGS!$C$30,0)),"")</f>
        <v/>
      </c>
      <c r="BQ55" s="63">
        <v>27</v>
      </c>
      <c r="BR55" s="62" t="str">
        <f>IFERROR(IF(ISBLANK(BQ55),"",ROUND((BQ55/[1]SETTINGS!$C$31)*[1]SETTINGS!$C$32,0)),"")</f>
        <v/>
      </c>
      <c r="BS55" s="62" t="str">
        <f t="shared" si="25"/>
        <v/>
      </c>
      <c r="BT55" s="64" t="str">
        <f t="shared" si="8"/>
        <v/>
      </c>
      <c r="BU55" s="65" t="str">
        <f t="shared" si="26"/>
        <v/>
      </c>
      <c r="BV55" s="72"/>
      <c r="BW55" s="63">
        <v>8</v>
      </c>
      <c r="BX55" s="63">
        <v>8</v>
      </c>
      <c r="BY55" s="63">
        <v>8</v>
      </c>
      <c r="BZ55" s="63">
        <v>2</v>
      </c>
      <c r="CA55" s="61">
        <f t="shared" si="27"/>
        <v>26</v>
      </c>
      <c r="CB55" s="62" t="str">
        <f>IFERROR(IF(CA55=0,"",ROUND((CA55/SUM([1]SETTINGS!$C$26:$C$29))*[1]SETTINGS!$C$30,0)),"")</f>
        <v/>
      </c>
      <c r="CC55" s="63">
        <v>23</v>
      </c>
      <c r="CD55" s="62" t="str">
        <f>IFERROR(IF(ISBLANK(CC55),"",ROUND((CC55/[1]SETTINGS!$C$31)*[1]SETTINGS!$C$32,0)),"")</f>
        <v/>
      </c>
      <c r="CE55" s="62" t="str">
        <f t="shared" si="28"/>
        <v/>
      </c>
      <c r="CF55" s="64" t="str">
        <f t="shared" si="9"/>
        <v/>
      </c>
      <c r="CG55" s="65" t="str">
        <f t="shared" si="29"/>
        <v/>
      </c>
      <c r="CH55" s="72"/>
      <c r="CI55" s="63">
        <v>7</v>
      </c>
      <c r="CJ55" s="63">
        <v>15</v>
      </c>
      <c r="CK55" s="63">
        <v>10</v>
      </c>
      <c r="CL55" s="63">
        <v>12</v>
      </c>
      <c r="CM55" s="61">
        <f t="shared" si="30"/>
        <v>44</v>
      </c>
      <c r="CN55" s="62" t="str">
        <f>IFERROR(IF(CM55=0,"",ROUND((CM55/SUM([1]SETTINGS!$C$26:$C$29))*[1]SETTINGS!$C$30,0)),"")</f>
        <v/>
      </c>
      <c r="CO55" s="63">
        <v>25</v>
      </c>
      <c r="CP55" s="62" t="str">
        <f>IFERROR(IF(ISBLANK(CO55),"",ROUND((CO55/[1]SETTINGS!$C$31)*[1]SETTINGS!$C$32,0)),"")</f>
        <v/>
      </c>
      <c r="CQ55" s="62" t="str">
        <f t="shared" si="31"/>
        <v/>
      </c>
      <c r="CR55" s="64" t="str">
        <f t="shared" si="10"/>
        <v/>
      </c>
      <c r="CS55" s="65" t="str">
        <f t="shared" si="32"/>
        <v/>
      </c>
      <c r="CT55" s="72"/>
      <c r="CU55" s="63">
        <v>12</v>
      </c>
      <c r="CV55" s="63">
        <v>14</v>
      </c>
      <c r="CW55" s="63">
        <v>14</v>
      </c>
      <c r="CX55" s="63">
        <v>8</v>
      </c>
      <c r="CY55" s="61">
        <f t="shared" si="33"/>
        <v>48</v>
      </c>
      <c r="CZ55" s="62" t="str">
        <f>IFERROR(IF(CY55=0,"",ROUND((CY55/SUM([1]SETTINGS!$C$26:$C$29))*[1]SETTINGS!$C$30,0)),"")</f>
        <v/>
      </c>
      <c r="DA55" s="63">
        <v>32</v>
      </c>
      <c r="DB55" s="62" t="str">
        <f>IFERROR(IF(ISBLANK(DA55),"",ROUND((DA55/[1]SETTINGS!$C$31)*[1]SETTINGS!$C$32,0)),"")</f>
        <v/>
      </c>
      <c r="DC55" s="62" t="str">
        <f t="shared" si="34"/>
        <v/>
      </c>
      <c r="DD55" s="64" t="str">
        <f t="shared" si="11"/>
        <v/>
      </c>
      <c r="DE55" s="65" t="str">
        <f t="shared" si="35"/>
        <v/>
      </c>
      <c r="DF55" s="64" t="str">
        <f t="shared" si="12"/>
        <v/>
      </c>
      <c r="DG55" s="64" t="str">
        <f>IFERROR(IF(AND(K55,W55,AI55,AU55,BG55,BS55,CE55,CQ55,DC55)="","",SUM(K55,W55,AI55,AU55,LARGE((BG55,BS55,CE55,CQ55,DC55),{1,2}))),"")</f>
        <v/>
      </c>
      <c r="DH55" s="64" t="str">
        <f>IFERROR(IF(AND(M55,Y55,AK55,AW55,,BI55,BU55,CG55,CS55,DE55)="","",SUM(M55,Y55,AK55,AW55,SMALL((BI55,BU55,CG55,CS55,DE55),{1,2}))),"")</f>
        <v/>
      </c>
      <c r="DI55" s="76" t="str">
        <f>IFERROR(pos&amp;IF(AND(MOD(ABS(18),100)&gt;10,MOD(ABS(pos),100)&lt;14),"th", CHOOSE(MOD(ABS(pos),10)+1,"th","st","nd","rd","th","th","th","th","th","th")),"")</f>
        <v/>
      </c>
      <c r="DJ55" s="15">
        <f>ROWS($B$12:$B55)</f>
        <v>44</v>
      </c>
      <c r="DK55" s="15">
        <f>IF($B55=[1]REPORT_CARD!$B$9,$DJ55,"")</f>
        <v>44</v>
      </c>
      <c r="DM55" s="74"/>
    </row>
    <row r="56" spans="1:117" ht="19.5" customHeight="1">
      <c r="A56" s="59" t="str">
        <f>IFERROR(IF(ISBLANK([1]PRIMARY_INFO!$A56),"",[1]PRIMARY_INFO!$A56),"")</f>
        <v/>
      </c>
      <c r="B56" s="59" t="str">
        <f>IFERROR(IF(ISBLANK([1]PRIMARY_INFO!$B56),"",[1]PRIMARY_INFO!$B56),"")</f>
        <v/>
      </c>
      <c r="C56" s="63">
        <v>10</v>
      </c>
      <c r="D56" s="63">
        <v>12</v>
      </c>
      <c r="E56" s="63">
        <v>15</v>
      </c>
      <c r="F56" s="63">
        <v>15</v>
      </c>
      <c r="G56" s="61">
        <f t="shared" si="36"/>
        <v>52</v>
      </c>
      <c r="H56" s="62" t="str">
        <f>IFERROR(IF(G56=0,"",ROUND((G56/SUM([1]SETTINGS!$C$26:$C$29))*[1]SETTINGS!$C$30,0)),"")</f>
        <v/>
      </c>
      <c r="I56" s="63">
        <v>24</v>
      </c>
      <c r="J56" s="62" t="str">
        <f>IFERROR(IF(ISBLANK(I56),"",ROUND((I56/[1]SETTINGS!$C$31)*[1]SETTINGS!$C$32,0)),"")</f>
        <v/>
      </c>
      <c r="K56" s="62" t="str">
        <f t="shared" si="13"/>
        <v/>
      </c>
      <c r="L56" s="64" t="str">
        <f t="shared" si="0"/>
        <v/>
      </c>
      <c r="M56" s="65" t="str">
        <f t="shared" si="14"/>
        <v/>
      </c>
      <c r="N56" s="66"/>
      <c r="O56" s="63">
        <v>5</v>
      </c>
      <c r="P56" s="63">
        <v>10</v>
      </c>
      <c r="Q56" s="63">
        <v>5</v>
      </c>
      <c r="R56" s="63">
        <v>5</v>
      </c>
      <c r="S56" s="61">
        <f t="shared" si="37"/>
        <v>25</v>
      </c>
      <c r="T56" s="62" t="str">
        <f>IFERROR(IF(S56=0,"",ROUND((S56/SUM([1]SETTINGS!$C$26:$C$29))*[1]SETTINGS!$C$30,0)),"")</f>
        <v/>
      </c>
      <c r="U56" s="63">
        <v>16</v>
      </c>
      <c r="V56" s="62" t="str">
        <f>IFERROR(IF(ISBLANK(U56),"",ROUND((U56/[1]SETTINGS!$C$31)*[1]SETTINGS!$C$32,0)),"")</f>
        <v/>
      </c>
      <c r="W56" s="62" t="str">
        <f t="shared" si="2"/>
        <v/>
      </c>
      <c r="X56" s="64" t="str">
        <f t="shared" si="3"/>
        <v/>
      </c>
      <c r="Y56" s="65" t="str">
        <f t="shared" si="4"/>
        <v/>
      </c>
      <c r="Z56" s="72"/>
      <c r="AA56" s="63">
        <v>8</v>
      </c>
      <c r="AB56" s="63">
        <v>10</v>
      </c>
      <c r="AC56" s="63">
        <v>10</v>
      </c>
      <c r="AD56" s="63">
        <v>8</v>
      </c>
      <c r="AE56" s="61">
        <f t="shared" si="15"/>
        <v>36</v>
      </c>
      <c r="AF56" s="62" t="str">
        <f>IFERROR(IF(AE56=0,"",ROUND((AE56/SUM([1]SETTINGS!$C$26:$C$29))*[1]SETTINGS!$C$30,0)),"")</f>
        <v/>
      </c>
      <c r="AG56" s="63">
        <v>39</v>
      </c>
      <c r="AH56" s="62" t="str">
        <f>IFERROR(IF(ISBLANK(AG56),"",ROUND((AG56/[1]SETTINGS!$C$31)*[1]SETTINGS!$C$32,0)),"")</f>
        <v/>
      </c>
      <c r="AI56" s="62" t="str">
        <f t="shared" si="16"/>
        <v/>
      </c>
      <c r="AJ56" s="64" t="str">
        <f t="shared" si="5"/>
        <v/>
      </c>
      <c r="AK56" s="75" t="str">
        <f t="shared" si="17"/>
        <v/>
      </c>
      <c r="AL56" s="72"/>
      <c r="AM56" s="63">
        <v>7</v>
      </c>
      <c r="AN56" s="63">
        <v>6</v>
      </c>
      <c r="AO56" s="63">
        <v>10</v>
      </c>
      <c r="AP56" s="63">
        <v>15</v>
      </c>
      <c r="AQ56" s="61">
        <f t="shared" si="18"/>
        <v>38</v>
      </c>
      <c r="AR56" s="62" t="str">
        <f>IFERROR(IF(AQ56=0,"",ROUND((AQ56/SUM([1]SETTINGS!$C$26:$C$29))*[1]SETTINGS!$C$30,0)),"")</f>
        <v/>
      </c>
      <c r="AS56" s="63">
        <v>22</v>
      </c>
      <c r="AT56" s="62" t="str">
        <f>IFERROR(IF(ISBLANK(AS56),"",ROUND((AS56/[1]SETTINGS!$C$31)*[1]SETTINGS!$C$32,0)),"")</f>
        <v/>
      </c>
      <c r="AU56" s="62" t="str">
        <f t="shared" si="19"/>
        <v/>
      </c>
      <c r="AV56" s="64" t="str">
        <f t="shared" si="6"/>
        <v/>
      </c>
      <c r="AW56" s="65" t="str">
        <f t="shared" si="20"/>
        <v/>
      </c>
      <c r="AX56" s="72"/>
      <c r="AY56" s="63">
        <v>6</v>
      </c>
      <c r="AZ56" s="63">
        <v>10</v>
      </c>
      <c r="BA56" s="63">
        <v>8</v>
      </c>
      <c r="BB56" s="63">
        <v>15</v>
      </c>
      <c r="BC56" s="61">
        <f t="shared" si="21"/>
        <v>39</v>
      </c>
      <c r="BD56" s="62" t="str">
        <f>IFERROR(IF(BC56=0,"",ROUND((BC56/SUM([1]SETTINGS!$C$26:$C$29))*[1]SETTINGS!$C$30,0)),"")</f>
        <v/>
      </c>
      <c r="BE56" s="63">
        <v>27</v>
      </c>
      <c r="BF56" s="62" t="str">
        <f>IFERROR(IF(ISBLANK(BE56),"",ROUND((BE56/[1]SETTINGS!$C$31)*[1]SETTINGS!$C$32,0)),"")</f>
        <v/>
      </c>
      <c r="BG56" s="62" t="str">
        <f t="shared" si="22"/>
        <v/>
      </c>
      <c r="BH56" s="64" t="str">
        <f t="shared" si="7"/>
        <v/>
      </c>
      <c r="BI56" s="75" t="str">
        <f t="shared" si="23"/>
        <v/>
      </c>
      <c r="BJ56" s="72"/>
      <c r="BK56" s="63">
        <v>2</v>
      </c>
      <c r="BL56" s="63">
        <v>8</v>
      </c>
      <c r="BM56" s="63">
        <v>1</v>
      </c>
      <c r="BN56" s="63">
        <v>15</v>
      </c>
      <c r="BO56" s="61">
        <f t="shared" si="24"/>
        <v>26</v>
      </c>
      <c r="BP56" s="62" t="str">
        <f>IFERROR(IF(BO56=0,"",ROUND((BO56/SUM([1]SETTINGS!$C$26:$C$29))*[1]SETTINGS!$C$30,0)),"")</f>
        <v/>
      </c>
      <c r="BQ56" s="63">
        <v>24</v>
      </c>
      <c r="BR56" s="62" t="str">
        <f>IFERROR(IF(ISBLANK(BQ56),"",ROUND((BQ56/[1]SETTINGS!$C$31)*[1]SETTINGS!$C$32,0)),"")</f>
        <v/>
      </c>
      <c r="BS56" s="62" t="str">
        <f t="shared" si="25"/>
        <v/>
      </c>
      <c r="BT56" s="64" t="str">
        <f t="shared" si="8"/>
        <v/>
      </c>
      <c r="BU56" s="65" t="str">
        <f t="shared" si="26"/>
        <v/>
      </c>
      <c r="BV56" s="72"/>
      <c r="BW56" s="63">
        <v>7</v>
      </c>
      <c r="BX56" s="63">
        <v>1</v>
      </c>
      <c r="BY56" s="63">
        <v>14</v>
      </c>
      <c r="BZ56" s="63">
        <v>8</v>
      </c>
      <c r="CA56" s="61">
        <f t="shared" si="27"/>
        <v>30</v>
      </c>
      <c r="CB56" s="62" t="str">
        <f>IFERROR(IF(CA56=0,"",ROUND((CA56/SUM([1]SETTINGS!$C$26:$C$29))*[1]SETTINGS!$C$30,0)),"")</f>
        <v/>
      </c>
      <c r="CC56" s="63">
        <v>23</v>
      </c>
      <c r="CD56" s="62" t="str">
        <f>IFERROR(IF(ISBLANK(CC56),"",ROUND((CC56/[1]SETTINGS!$C$31)*[1]SETTINGS!$C$32,0)),"")</f>
        <v/>
      </c>
      <c r="CE56" s="62" t="str">
        <f t="shared" si="28"/>
        <v/>
      </c>
      <c r="CF56" s="64" t="str">
        <f t="shared" si="9"/>
        <v/>
      </c>
      <c r="CG56" s="65" t="str">
        <f t="shared" si="29"/>
        <v/>
      </c>
      <c r="CH56" s="72"/>
      <c r="CI56" s="63">
        <v>9</v>
      </c>
      <c r="CJ56" s="63">
        <v>15</v>
      </c>
      <c r="CK56" s="63">
        <v>8</v>
      </c>
      <c r="CL56" s="63">
        <v>10</v>
      </c>
      <c r="CM56" s="61">
        <f t="shared" si="30"/>
        <v>42</v>
      </c>
      <c r="CN56" s="62" t="str">
        <f>IFERROR(IF(CM56=0,"",ROUND((CM56/SUM([1]SETTINGS!$C$26:$C$29))*[1]SETTINGS!$C$30,0)),"")</f>
        <v/>
      </c>
      <c r="CO56" s="63">
        <v>16</v>
      </c>
      <c r="CP56" s="62" t="str">
        <f>IFERROR(IF(ISBLANK(CO56),"",ROUND((CO56/[1]SETTINGS!$C$31)*[1]SETTINGS!$C$32,0)),"")</f>
        <v/>
      </c>
      <c r="CQ56" s="62" t="str">
        <f t="shared" si="31"/>
        <v/>
      </c>
      <c r="CR56" s="64" t="str">
        <f t="shared" si="10"/>
        <v/>
      </c>
      <c r="CS56" s="65" t="str">
        <f t="shared" si="32"/>
        <v/>
      </c>
      <c r="CT56" s="72"/>
      <c r="CU56" s="63">
        <v>13</v>
      </c>
      <c r="CV56" s="63">
        <v>4</v>
      </c>
      <c r="CW56" s="63">
        <v>6</v>
      </c>
      <c r="CX56" s="63">
        <v>4</v>
      </c>
      <c r="CY56" s="61">
        <f t="shared" si="33"/>
        <v>27</v>
      </c>
      <c r="CZ56" s="62" t="str">
        <f>IFERROR(IF(CY56=0,"",ROUND((CY56/SUM([1]SETTINGS!$C$26:$C$29))*[1]SETTINGS!$C$30,0)),"")</f>
        <v/>
      </c>
      <c r="DA56" s="63">
        <v>24</v>
      </c>
      <c r="DB56" s="62" t="str">
        <f>IFERROR(IF(ISBLANK(DA56),"",ROUND((DA56/[1]SETTINGS!$C$31)*[1]SETTINGS!$C$32,0)),"")</f>
        <v/>
      </c>
      <c r="DC56" s="62" t="str">
        <f t="shared" si="34"/>
        <v/>
      </c>
      <c r="DD56" s="64" t="str">
        <f t="shared" si="11"/>
        <v/>
      </c>
      <c r="DE56" s="65" t="str">
        <f t="shared" si="35"/>
        <v/>
      </c>
      <c r="DF56" s="64" t="str">
        <f t="shared" si="12"/>
        <v/>
      </c>
      <c r="DG56" s="64" t="str">
        <f>IFERROR(IF(AND(K56,W56,AI56,AU56,BG56,BS56,CE56,CQ56,DC56)="","",SUM(K56,W56,AI56,AU56,LARGE((BG56,BS56,CE56,CQ56,DC56),{1,2}))),"")</f>
        <v/>
      </c>
      <c r="DH56" s="64" t="str">
        <f>IFERROR(IF(AND(M56,Y56,AK56,AW56,,BI56,BU56,CG56,CS56,DE56)="","",SUM(M56,Y56,AK56,AW56,SMALL((BI56,BU56,CG56,CS56,DE56),{1,2}))),"")</f>
        <v/>
      </c>
      <c r="DI56" s="76" t="str">
        <f>IFERROR(pos&amp;IF(AND(MOD(ABS(18),100)&gt;10,MOD(ABS(pos),100)&lt;14),"th", CHOOSE(MOD(ABS(pos),10)+1,"th","st","nd","rd","th","th","th","th","th","th")),"")</f>
        <v/>
      </c>
      <c r="DJ56" s="15">
        <f>ROWS($B$12:$B56)</f>
        <v>45</v>
      </c>
      <c r="DK56" s="15">
        <f>IF($B56=[1]REPORT_CARD!$B$9,$DJ56,"")</f>
        <v>45</v>
      </c>
      <c r="DM56" s="74"/>
    </row>
    <row r="57" spans="1:117" ht="19.5" customHeight="1">
      <c r="A57" s="59" t="str">
        <f>IFERROR(IF(ISBLANK([1]PRIMARY_INFO!$A57),"",[1]PRIMARY_INFO!$A57),"")</f>
        <v/>
      </c>
      <c r="B57" s="59" t="str">
        <f>IFERROR(IF(ISBLANK([1]PRIMARY_INFO!$B57),"",[1]PRIMARY_INFO!$B57),"")</f>
        <v/>
      </c>
      <c r="C57" s="63">
        <v>15</v>
      </c>
      <c r="D57" s="63">
        <v>13</v>
      </c>
      <c r="E57" s="63">
        <v>10</v>
      </c>
      <c r="F57" s="63">
        <v>9</v>
      </c>
      <c r="G57" s="61">
        <f t="shared" si="36"/>
        <v>47</v>
      </c>
      <c r="H57" s="62" t="str">
        <f>IFERROR(IF(G57=0,"",ROUND((G57/SUM([1]SETTINGS!$C$26:$C$29))*[1]SETTINGS!$C$30,0)),"")</f>
        <v/>
      </c>
      <c r="I57" s="63">
        <v>57</v>
      </c>
      <c r="J57" s="62" t="str">
        <f>IFERROR(IF(ISBLANK(I57),"",ROUND((I57/[1]SETTINGS!$C$31)*[1]SETTINGS!$C$32,0)),"")</f>
        <v/>
      </c>
      <c r="K57" s="62" t="str">
        <f t="shared" si="13"/>
        <v/>
      </c>
      <c r="L57" s="64" t="str">
        <f t="shared" si="0"/>
        <v/>
      </c>
      <c r="M57" s="65" t="str">
        <f t="shared" si="14"/>
        <v/>
      </c>
      <c r="N57" s="66"/>
      <c r="O57" s="63">
        <v>11</v>
      </c>
      <c r="P57" s="63">
        <v>13</v>
      </c>
      <c r="Q57" s="63">
        <v>7</v>
      </c>
      <c r="R57" s="63">
        <v>12</v>
      </c>
      <c r="S57" s="61">
        <f t="shared" si="37"/>
        <v>43</v>
      </c>
      <c r="T57" s="62" t="str">
        <f>IFERROR(IF(S57=0,"",ROUND((S57/SUM([1]SETTINGS!$C$26:$C$29))*[1]SETTINGS!$C$30,0)),"")</f>
        <v/>
      </c>
      <c r="U57" s="63">
        <v>46</v>
      </c>
      <c r="V57" s="62" t="str">
        <f>IFERROR(IF(ISBLANK(U57),"",ROUND((U57/[1]SETTINGS!$C$31)*[1]SETTINGS!$C$32,0)),"")</f>
        <v/>
      </c>
      <c r="W57" s="62" t="str">
        <f t="shared" si="2"/>
        <v/>
      </c>
      <c r="X57" s="64" t="str">
        <f t="shared" si="3"/>
        <v/>
      </c>
      <c r="Y57" s="65" t="str">
        <f t="shared" si="4"/>
        <v/>
      </c>
      <c r="Z57" s="72"/>
      <c r="AA57" s="63">
        <v>11</v>
      </c>
      <c r="AB57" s="63">
        <v>10</v>
      </c>
      <c r="AC57" s="63">
        <v>12</v>
      </c>
      <c r="AD57" s="63">
        <v>12</v>
      </c>
      <c r="AE57" s="61">
        <f t="shared" si="15"/>
        <v>45</v>
      </c>
      <c r="AF57" s="62" t="str">
        <f>IFERROR(IF(AE57=0,"",ROUND((AE57/SUM([1]SETTINGS!$C$26:$C$29))*[1]SETTINGS!$C$30,0)),"")</f>
        <v/>
      </c>
      <c r="AG57" s="63">
        <v>66</v>
      </c>
      <c r="AH57" s="62" t="str">
        <f>IFERROR(IF(ISBLANK(AG57),"",ROUND((AG57/[1]SETTINGS!$C$31)*[1]SETTINGS!$C$32,0)),"")</f>
        <v/>
      </c>
      <c r="AI57" s="62" t="str">
        <f t="shared" si="16"/>
        <v/>
      </c>
      <c r="AJ57" s="64" t="str">
        <f t="shared" si="5"/>
        <v/>
      </c>
      <c r="AK57" s="75" t="str">
        <f t="shared" si="17"/>
        <v/>
      </c>
      <c r="AL57" s="72"/>
      <c r="AM57" s="63">
        <v>6</v>
      </c>
      <c r="AN57" s="63">
        <v>7</v>
      </c>
      <c r="AO57" s="63">
        <v>10</v>
      </c>
      <c r="AP57" s="63">
        <v>14</v>
      </c>
      <c r="AQ57" s="61">
        <f t="shared" si="18"/>
        <v>37</v>
      </c>
      <c r="AR57" s="62" t="str">
        <f>IFERROR(IF(AQ57=0,"",ROUND((AQ57/SUM([1]SETTINGS!$C$26:$C$29))*[1]SETTINGS!$C$30,0)),"")</f>
        <v/>
      </c>
      <c r="AS57" s="63">
        <v>37</v>
      </c>
      <c r="AT57" s="62" t="str">
        <f>IFERROR(IF(ISBLANK(AS57),"",ROUND((AS57/[1]SETTINGS!$C$31)*[1]SETTINGS!$C$32,0)),"")</f>
        <v/>
      </c>
      <c r="AU57" s="62" t="str">
        <f t="shared" si="19"/>
        <v/>
      </c>
      <c r="AV57" s="64" t="str">
        <f t="shared" si="6"/>
        <v/>
      </c>
      <c r="AW57" s="65" t="str">
        <f t="shared" si="20"/>
        <v/>
      </c>
      <c r="AX57" s="72"/>
      <c r="AY57" s="63">
        <v>12</v>
      </c>
      <c r="AZ57" s="63">
        <v>12</v>
      </c>
      <c r="BA57" s="63">
        <v>15</v>
      </c>
      <c r="BB57" s="63">
        <v>10</v>
      </c>
      <c r="BC57" s="61">
        <f t="shared" si="21"/>
        <v>49</v>
      </c>
      <c r="BD57" s="62" t="str">
        <f>IFERROR(IF(BC57=0,"",ROUND((BC57/SUM([1]SETTINGS!$C$26:$C$29))*[1]SETTINGS!$C$30,0)),"")</f>
        <v/>
      </c>
      <c r="BE57" s="63">
        <v>75</v>
      </c>
      <c r="BF57" s="62" t="str">
        <f>IFERROR(IF(ISBLANK(BE57),"",ROUND((BE57/[1]SETTINGS!$C$31)*[1]SETTINGS!$C$32,0)),"")</f>
        <v/>
      </c>
      <c r="BG57" s="62" t="str">
        <f t="shared" si="22"/>
        <v/>
      </c>
      <c r="BH57" s="64" t="str">
        <f t="shared" si="7"/>
        <v/>
      </c>
      <c r="BI57" s="75" t="str">
        <f t="shared" si="23"/>
        <v/>
      </c>
      <c r="BJ57" s="72"/>
      <c r="BK57" s="63">
        <v>12</v>
      </c>
      <c r="BL57" s="63">
        <v>5</v>
      </c>
      <c r="BM57" s="63">
        <v>2</v>
      </c>
      <c r="BN57" s="63">
        <v>15</v>
      </c>
      <c r="BO57" s="61">
        <f t="shared" si="24"/>
        <v>34</v>
      </c>
      <c r="BP57" s="62" t="str">
        <f>IFERROR(IF(BO57=0,"",ROUND((BO57/SUM([1]SETTINGS!$C$26:$C$29))*[1]SETTINGS!$C$30,0)),"")</f>
        <v/>
      </c>
      <c r="BQ57" s="63">
        <v>33</v>
      </c>
      <c r="BR57" s="62" t="str">
        <f>IFERROR(IF(ISBLANK(BQ57),"",ROUND((BQ57/[1]SETTINGS!$C$31)*[1]SETTINGS!$C$32,0)),"")</f>
        <v/>
      </c>
      <c r="BS57" s="62" t="str">
        <f t="shared" si="25"/>
        <v/>
      </c>
      <c r="BT57" s="64" t="str">
        <f t="shared" si="8"/>
        <v/>
      </c>
      <c r="BU57" s="65" t="str">
        <f t="shared" si="26"/>
        <v/>
      </c>
      <c r="BV57" s="72"/>
      <c r="BW57" s="63">
        <v>7</v>
      </c>
      <c r="BX57" s="63">
        <v>11</v>
      </c>
      <c r="BY57" s="63">
        <v>13</v>
      </c>
      <c r="BZ57" s="63">
        <v>13</v>
      </c>
      <c r="CA57" s="61">
        <f t="shared" si="27"/>
        <v>44</v>
      </c>
      <c r="CB57" s="62" t="str">
        <f>IFERROR(IF(CA57=0,"",ROUND((CA57/SUM([1]SETTINGS!$C$26:$C$29))*[1]SETTINGS!$C$30,0)),"")</f>
        <v/>
      </c>
      <c r="CC57" s="63">
        <v>52</v>
      </c>
      <c r="CD57" s="62" t="str">
        <f>IFERROR(IF(ISBLANK(CC57),"",ROUND((CC57/[1]SETTINGS!$C$31)*[1]SETTINGS!$C$32,0)),"")</f>
        <v/>
      </c>
      <c r="CE57" s="62" t="str">
        <f t="shared" si="28"/>
        <v/>
      </c>
      <c r="CF57" s="64" t="str">
        <f t="shared" si="9"/>
        <v/>
      </c>
      <c r="CG57" s="65" t="str">
        <f t="shared" si="29"/>
        <v/>
      </c>
      <c r="CH57" s="72"/>
      <c r="CI57" s="63">
        <v>10</v>
      </c>
      <c r="CJ57" s="63">
        <v>15</v>
      </c>
      <c r="CK57" s="63">
        <v>11</v>
      </c>
      <c r="CL57" s="63">
        <v>15</v>
      </c>
      <c r="CM57" s="61">
        <f t="shared" si="30"/>
        <v>51</v>
      </c>
      <c r="CN57" s="62" t="str">
        <f>IFERROR(IF(CM57=0,"",ROUND((CM57/SUM([1]SETTINGS!$C$26:$C$29))*[1]SETTINGS!$C$30,0)),"")</f>
        <v/>
      </c>
      <c r="CO57" s="63">
        <v>36</v>
      </c>
      <c r="CP57" s="62" t="str">
        <f>IFERROR(IF(ISBLANK(CO57),"",ROUND((CO57/[1]SETTINGS!$C$31)*[1]SETTINGS!$C$32,0)),"")</f>
        <v/>
      </c>
      <c r="CQ57" s="62" t="str">
        <f t="shared" si="31"/>
        <v/>
      </c>
      <c r="CR57" s="64" t="str">
        <f t="shared" si="10"/>
        <v/>
      </c>
      <c r="CS57" s="65" t="str">
        <f t="shared" si="32"/>
        <v/>
      </c>
      <c r="CT57" s="72"/>
      <c r="CU57" s="63">
        <v>7</v>
      </c>
      <c r="CV57" s="63">
        <v>15</v>
      </c>
      <c r="CW57" s="63">
        <v>7</v>
      </c>
      <c r="CX57" s="63">
        <v>10</v>
      </c>
      <c r="CY57" s="61">
        <f t="shared" si="33"/>
        <v>39</v>
      </c>
      <c r="CZ57" s="62" t="str">
        <f>IFERROR(IF(CY57=0,"",ROUND((CY57/SUM([1]SETTINGS!$C$26:$C$29))*[1]SETTINGS!$C$30,0)),"")</f>
        <v/>
      </c>
      <c r="DA57" s="63">
        <v>55</v>
      </c>
      <c r="DB57" s="62" t="str">
        <f>IFERROR(IF(ISBLANK(DA57),"",ROUND((DA57/[1]SETTINGS!$C$31)*[1]SETTINGS!$C$32,0)),"")</f>
        <v/>
      </c>
      <c r="DC57" s="62" t="str">
        <f t="shared" si="34"/>
        <v/>
      </c>
      <c r="DD57" s="64" t="str">
        <f t="shared" si="11"/>
        <v/>
      </c>
      <c r="DE57" s="65" t="str">
        <f t="shared" si="35"/>
        <v/>
      </c>
      <c r="DF57" s="64" t="str">
        <f t="shared" si="12"/>
        <v/>
      </c>
      <c r="DG57" s="64" t="str">
        <f>IFERROR(IF(AND(K57,W57,AI57,AU57,BG57,BS57,CE57,CQ57,DC57)="","",SUM(K57,W57,AI57,AU57,LARGE((BG57,BS57,CE57,CQ57,DC57),{1,2}))),"")</f>
        <v/>
      </c>
      <c r="DH57" s="64" t="str">
        <f>IFERROR(IF(AND(M57,Y57,AK57,AW57,,BI57,BU57,CG57,CS57,DE57)="","",SUM(M57,Y57,AK57,AW57,SMALL((BI57,BU57,CG57,CS57,DE57),{1,2}))),"")</f>
        <v/>
      </c>
      <c r="DI57" s="76" t="str">
        <f>IFERROR(pos&amp;IF(AND(MOD(ABS(18),100)&gt;10,MOD(ABS(pos),100)&lt;14),"th", CHOOSE(MOD(ABS(pos),10)+1,"th","st","nd","rd","th","th","th","th","th","th")),"")</f>
        <v/>
      </c>
      <c r="DJ57" s="15">
        <f>ROWS($B$12:$B57)</f>
        <v>46</v>
      </c>
      <c r="DK57" s="15">
        <f>IF($B57=[1]REPORT_CARD!$B$9,$DJ57,"")</f>
        <v>46</v>
      </c>
      <c r="DM57" s="74"/>
    </row>
    <row r="58" spans="1:117" ht="19.5" customHeight="1">
      <c r="A58" s="59" t="str">
        <f>IFERROR(IF(ISBLANK([1]PRIMARY_INFO!$A58),"",[1]PRIMARY_INFO!$A58),"")</f>
        <v/>
      </c>
      <c r="B58" s="59" t="str">
        <f>IFERROR(IF(ISBLANK([1]PRIMARY_INFO!$B58),"",[1]PRIMARY_INFO!$B58),"")</f>
        <v/>
      </c>
      <c r="C58" s="63">
        <v>12</v>
      </c>
      <c r="D58" s="63">
        <v>12</v>
      </c>
      <c r="E58" s="63">
        <v>15</v>
      </c>
      <c r="F58" s="63">
        <v>5</v>
      </c>
      <c r="G58" s="61">
        <f t="shared" si="36"/>
        <v>44</v>
      </c>
      <c r="H58" s="62" t="str">
        <f>IFERROR(IF(G58=0,"",ROUND((G58/SUM([1]SETTINGS!$C$26:$C$29))*[1]SETTINGS!$C$30,0)),"")</f>
        <v/>
      </c>
      <c r="I58" s="63">
        <v>34</v>
      </c>
      <c r="J58" s="62" t="str">
        <f>IFERROR(IF(ISBLANK(I58),"",ROUND((I58/[1]SETTINGS!$C$31)*[1]SETTINGS!$C$32,0)),"")</f>
        <v/>
      </c>
      <c r="K58" s="62" t="str">
        <f t="shared" si="13"/>
        <v/>
      </c>
      <c r="L58" s="64" t="str">
        <f t="shared" si="0"/>
        <v/>
      </c>
      <c r="M58" s="65" t="str">
        <f t="shared" si="14"/>
        <v/>
      </c>
      <c r="N58" s="66"/>
      <c r="O58" s="63">
        <v>5</v>
      </c>
      <c r="P58" s="63">
        <v>13</v>
      </c>
      <c r="Q58" s="63">
        <v>5</v>
      </c>
      <c r="R58" s="63">
        <v>8</v>
      </c>
      <c r="S58" s="61">
        <f t="shared" si="37"/>
        <v>31</v>
      </c>
      <c r="T58" s="62" t="str">
        <f>IFERROR(IF(S58=0,"",ROUND((S58/SUM([1]SETTINGS!$C$26:$C$29))*[1]SETTINGS!$C$30,0)),"")</f>
        <v/>
      </c>
      <c r="U58" s="63">
        <v>34</v>
      </c>
      <c r="V58" s="62" t="str">
        <f>IFERROR(IF(ISBLANK(U58),"",ROUND((U58/[1]SETTINGS!$C$31)*[1]SETTINGS!$C$32,0)),"")</f>
        <v/>
      </c>
      <c r="W58" s="62" t="str">
        <f t="shared" si="2"/>
        <v/>
      </c>
      <c r="X58" s="64" t="str">
        <f t="shared" si="3"/>
        <v/>
      </c>
      <c r="Y58" s="65" t="str">
        <f t="shared" si="4"/>
        <v/>
      </c>
      <c r="Z58" s="72"/>
      <c r="AA58" s="63">
        <v>14</v>
      </c>
      <c r="AB58" s="63">
        <v>10</v>
      </c>
      <c r="AC58" s="63">
        <v>10</v>
      </c>
      <c r="AD58" s="63">
        <v>14</v>
      </c>
      <c r="AE58" s="61">
        <f t="shared" si="15"/>
        <v>48</v>
      </c>
      <c r="AF58" s="62" t="str">
        <f>IFERROR(IF(AE58=0,"",ROUND((AE58/SUM([1]SETTINGS!$C$26:$C$29))*[1]SETTINGS!$C$30,0)),"")</f>
        <v/>
      </c>
      <c r="AG58" s="63">
        <v>35</v>
      </c>
      <c r="AH58" s="62" t="str">
        <f>IFERROR(IF(ISBLANK(AG58),"",ROUND((AG58/[1]SETTINGS!$C$31)*[1]SETTINGS!$C$32,0)),"")</f>
        <v/>
      </c>
      <c r="AI58" s="62" t="str">
        <f t="shared" si="16"/>
        <v/>
      </c>
      <c r="AJ58" s="64" t="str">
        <f t="shared" si="5"/>
        <v/>
      </c>
      <c r="AK58" s="75" t="str">
        <f t="shared" si="17"/>
        <v/>
      </c>
      <c r="AL58" s="72"/>
      <c r="AM58" s="63">
        <v>6</v>
      </c>
      <c r="AN58" s="63">
        <v>10</v>
      </c>
      <c r="AO58" s="63">
        <v>12</v>
      </c>
      <c r="AP58" s="63">
        <v>14</v>
      </c>
      <c r="AQ58" s="61">
        <f t="shared" si="18"/>
        <v>42</v>
      </c>
      <c r="AR58" s="62" t="str">
        <f>IFERROR(IF(AQ58=0,"",ROUND((AQ58/SUM([1]SETTINGS!$C$26:$C$29))*[1]SETTINGS!$C$30,0)),"")</f>
        <v/>
      </c>
      <c r="AS58" s="63">
        <v>34</v>
      </c>
      <c r="AT58" s="62" t="str">
        <f>IFERROR(IF(ISBLANK(AS58),"",ROUND((AS58/[1]SETTINGS!$C$31)*[1]SETTINGS!$C$32,0)),"")</f>
        <v/>
      </c>
      <c r="AU58" s="62" t="str">
        <f t="shared" si="19"/>
        <v/>
      </c>
      <c r="AV58" s="64" t="str">
        <f t="shared" si="6"/>
        <v/>
      </c>
      <c r="AW58" s="65" t="str">
        <f t="shared" si="20"/>
        <v/>
      </c>
      <c r="AX58" s="72"/>
      <c r="AY58" s="63">
        <v>15</v>
      </c>
      <c r="AZ58" s="63">
        <v>8</v>
      </c>
      <c r="BA58" s="63">
        <v>10</v>
      </c>
      <c r="BB58" s="63">
        <v>10</v>
      </c>
      <c r="BC58" s="61">
        <f t="shared" si="21"/>
        <v>43</v>
      </c>
      <c r="BD58" s="62" t="str">
        <f>IFERROR(IF(BC58=0,"",ROUND((BC58/SUM([1]SETTINGS!$C$26:$C$29))*[1]SETTINGS!$C$30,0)),"")</f>
        <v/>
      </c>
      <c r="BE58" s="63">
        <v>24</v>
      </c>
      <c r="BF58" s="62" t="str">
        <f>IFERROR(IF(ISBLANK(BE58),"",ROUND((BE58/[1]SETTINGS!$C$31)*[1]SETTINGS!$C$32,0)),"")</f>
        <v/>
      </c>
      <c r="BG58" s="62" t="str">
        <f t="shared" si="22"/>
        <v/>
      </c>
      <c r="BH58" s="64" t="str">
        <f t="shared" si="7"/>
        <v/>
      </c>
      <c r="BI58" s="75" t="str">
        <f t="shared" si="23"/>
        <v/>
      </c>
      <c r="BJ58" s="72"/>
      <c r="BK58" s="63">
        <v>11</v>
      </c>
      <c r="BL58" s="63">
        <v>12</v>
      </c>
      <c r="BM58" s="63">
        <v>10</v>
      </c>
      <c r="BN58" s="63">
        <v>11</v>
      </c>
      <c r="BO58" s="61">
        <f t="shared" si="24"/>
        <v>44</v>
      </c>
      <c r="BP58" s="62" t="str">
        <f>IFERROR(IF(BO58=0,"",ROUND((BO58/SUM([1]SETTINGS!$C$26:$C$29))*[1]SETTINGS!$C$30,0)),"")</f>
        <v/>
      </c>
      <c r="BQ58" s="63">
        <v>37</v>
      </c>
      <c r="BR58" s="62" t="str">
        <f>IFERROR(IF(ISBLANK(BQ58),"",ROUND((BQ58/[1]SETTINGS!$C$31)*[1]SETTINGS!$C$32,0)),"")</f>
        <v/>
      </c>
      <c r="BS58" s="62" t="str">
        <f t="shared" si="25"/>
        <v/>
      </c>
      <c r="BT58" s="64" t="str">
        <f t="shared" si="8"/>
        <v/>
      </c>
      <c r="BU58" s="65" t="str">
        <f t="shared" si="26"/>
        <v/>
      </c>
      <c r="BV58" s="72"/>
      <c r="BW58" s="63">
        <v>10</v>
      </c>
      <c r="BX58" s="63">
        <v>8</v>
      </c>
      <c r="BY58" s="63">
        <v>10</v>
      </c>
      <c r="BZ58" s="63">
        <v>8</v>
      </c>
      <c r="CA58" s="61">
        <f t="shared" si="27"/>
        <v>36</v>
      </c>
      <c r="CB58" s="62" t="str">
        <f>IFERROR(IF(CA58=0,"",ROUND((CA58/SUM([1]SETTINGS!$C$26:$C$29))*[1]SETTINGS!$C$30,0)),"")</f>
        <v/>
      </c>
      <c r="CC58" s="63">
        <v>21</v>
      </c>
      <c r="CD58" s="62" t="str">
        <f>IFERROR(IF(ISBLANK(CC58),"",ROUND((CC58/[1]SETTINGS!$C$31)*[1]SETTINGS!$C$32,0)),"")</f>
        <v/>
      </c>
      <c r="CE58" s="62" t="str">
        <f t="shared" si="28"/>
        <v/>
      </c>
      <c r="CF58" s="64" t="str">
        <f t="shared" si="9"/>
        <v/>
      </c>
      <c r="CG58" s="65" t="str">
        <f t="shared" si="29"/>
        <v/>
      </c>
      <c r="CH58" s="72"/>
      <c r="CI58" s="63">
        <v>14</v>
      </c>
      <c r="CJ58" s="63">
        <v>13</v>
      </c>
      <c r="CK58" s="63">
        <v>13</v>
      </c>
      <c r="CL58" s="63">
        <v>15</v>
      </c>
      <c r="CM58" s="61">
        <f t="shared" si="30"/>
        <v>55</v>
      </c>
      <c r="CN58" s="62" t="str">
        <f>IFERROR(IF(CM58=0,"",ROUND((CM58/SUM([1]SETTINGS!$C$26:$C$29))*[1]SETTINGS!$C$30,0)),"")</f>
        <v/>
      </c>
      <c r="CO58" s="63">
        <v>24</v>
      </c>
      <c r="CP58" s="62" t="str">
        <f>IFERROR(IF(ISBLANK(CO58),"",ROUND((CO58/[1]SETTINGS!$C$31)*[1]SETTINGS!$C$32,0)),"")</f>
        <v/>
      </c>
      <c r="CQ58" s="62" t="str">
        <f t="shared" si="31"/>
        <v/>
      </c>
      <c r="CR58" s="64" t="str">
        <f t="shared" si="10"/>
        <v/>
      </c>
      <c r="CS58" s="65" t="str">
        <f t="shared" si="32"/>
        <v/>
      </c>
      <c r="CT58" s="72"/>
      <c r="CU58" s="63">
        <v>8</v>
      </c>
      <c r="CV58" s="63">
        <v>8</v>
      </c>
      <c r="CW58" s="63">
        <v>8</v>
      </c>
      <c r="CX58" s="63">
        <v>8</v>
      </c>
      <c r="CY58" s="61">
        <f t="shared" si="33"/>
        <v>32</v>
      </c>
      <c r="CZ58" s="62" t="str">
        <f>IFERROR(IF(CY58=0,"",ROUND((CY58/SUM([1]SETTINGS!$C$26:$C$29))*[1]SETTINGS!$C$30,0)),"")</f>
        <v/>
      </c>
      <c r="DA58" s="63">
        <v>24</v>
      </c>
      <c r="DB58" s="62" t="str">
        <f>IFERROR(IF(ISBLANK(DA58),"",ROUND((DA58/[1]SETTINGS!$C$31)*[1]SETTINGS!$C$32,0)),"")</f>
        <v/>
      </c>
      <c r="DC58" s="62" t="str">
        <f t="shared" si="34"/>
        <v/>
      </c>
      <c r="DD58" s="64" t="str">
        <f t="shared" si="11"/>
        <v/>
      </c>
      <c r="DE58" s="65" t="str">
        <f t="shared" si="35"/>
        <v/>
      </c>
      <c r="DF58" s="64" t="str">
        <f t="shared" si="12"/>
        <v/>
      </c>
      <c r="DG58" s="64" t="str">
        <f>IFERROR(IF(AND(K58,W58,AI58,AU58,BG58,BS58,CE58,CQ58,DC58)="","",SUM(K58,W58,AI58,AU58,LARGE((BG58,BS58,CE58,CQ58,DC58),{1,2}))),"")</f>
        <v/>
      </c>
      <c r="DH58" s="64" t="str">
        <f>IFERROR(IF(AND(M58,Y58,AK58,AW58,,BI58,BU58,CG58,CS58,DE58)="","",SUM(M58,Y58,AK58,AW58,SMALL((BI58,BU58,CG58,CS58,DE58),{1,2}))),"")</f>
        <v/>
      </c>
      <c r="DI58" s="76" t="str">
        <f>IFERROR(pos&amp;IF(AND(MOD(ABS(18),100)&gt;10,MOD(ABS(pos),100)&lt;14),"th", CHOOSE(MOD(ABS(pos),10)+1,"th","st","nd","rd","th","th","th","th","th","th")),"")</f>
        <v/>
      </c>
      <c r="DJ58" s="15">
        <f>ROWS($B$12:$B58)</f>
        <v>47</v>
      </c>
      <c r="DK58" s="15">
        <f>IF($B58=[1]REPORT_CARD!$B$9,$DJ58,"")</f>
        <v>47</v>
      </c>
      <c r="DM58" s="74"/>
    </row>
    <row r="59" spans="1:117" ht="19.5" customHeight="1">
      <c r="A59" s="59" t="str">
        <f>IFERROR(IF(ISBLANK([1]PRIMARY_INFO!$A59),"",[1]PRIMARY_INFO!$A59),"")</f>
        <v/>
      </c>
      <c r="B59" s="59" t="str">
        <f>IFERROR(IF(ISBLANK([1]PRIMARY_INFO!$B59),"",[1]PRIMARY_INFO!$B59),"")</f>
        <v/>
      </c>
      <c r="C59" s="63">
        <v>15</v>
      </c>
      <c r="D59" s="63">
        <v>9</v>
      </c>
      <c r="E59" s="63">
        <v>15</v>
      </c>
      <c r="F59" s="63">
        <v>15</v>
      </c>
      <c r="G59" s="61">
        <f t="shared" si="36"/>
        <v>54</v>
      </c>
      <c r="H59" s="62" t="str">
        <f>IFERROR(IF(G59=0,"",ROUND((G59/SUM([1]SETTINGS!$C$26:$C$29))*[1]SETTINGS!$C$30,0)),"")</f>
        <v/>
      </c>
      <c r="I59" s="63">
        <v>40</v>
      </c>
      <c r="J59" s="62" t="str">
        <f>IFERROR(IF(ISBLANK(I59),"",ROUND((I59/[1]SETTINGS!$C$31)*[1]SETTINGS!$C$32,0)),"")</f>
        <v/>
      </c>
      <c r="K59" s="62" t="str">
        <f t="shared" si="13"/>
        <v/>
      </c>
      <c r="L59" s="64" t="str">
        <f t="shared" si="0"/>
        <v/>
      </c>
      <c r="M59" s="65" t="str">
        <f t="shared" si="14"/>
        <v/>
      </c>
      <c r="N59" s="66"/>
      <c r="O59" s="63">
        <v>5</v>
      </c>
      <c r="P59" s="63">
        <v>7</v>
      </c>
      <c r="Q59" s="63">
        <v>9</v>
      </c>
      <c r="R59" s="63">
        <v>8</v>
      </c>
      <c r="S59" s="61">
        <f t="shared" si="37"/>
        <v>29</v>
      </c>
      <c r="T59" s="62" t="str">
        <f>IFERROR(IF(S59=0,"",ROUND((S59/SUM([1]SETTINGS!$C$26:$C$29))*[1]SETTINGS!$C$30,0)),"")</f>
        <v/>
      </c>
      <c r="U59" s="63">
        <v>43</v>
      </c>
      <c r="V59" s="62" t="str">
        <f>IFERROR(IF(ISBLANK(U59),"",ROUND((U59/[1]SETTINGS!$C$31)*[1]SETTINGS!$C$32,0)),"")</f>
        <v/>
      </c>
      <c r="W59" s="62" t="str">
        <f t="shared" si="2"/>
        <v/>
      </c>
      <c r="X59" s="64" t="str">
        <f t="shared" si="3"/>
        <v/>
      </c>
      <c r="Y59" s="65" t="str">
        <f t="shared" si="4"/>
        <v/>
      </c>
      <c r="Z59" s="72"/>
      <c r="AA59" s="63">
        <v>5</v>
      </c>
      <c r="AB59" s="63">
        <v>10</v>
      </c>
      <c r="AC59" s="63">
        <v>10</v>
      </c>
      <c r="AD59" s="63">
        <v>14</v>
      </c>
      <c r="AE59" s="61">
        <f t="shared" si="15"/>
        <v>39</v>
      </c>
      <c r="AF59" s="62" t="str">
        <f>IFERROR(IF(AE59=0,"",ROUND((AE59/SUM([1]SETTINGS!$C$26:$C$29))*[1]SETTINGS!$C$30,0)),"")</f>
        <v/>
      </c>
      <c r="AG59" s="63">
        <v>35</v>
      </c>
      <c r="AH59" s="62" t="str">
        <f>IFERROR(IF(ISBLANK(AG59),"",ROUND((AG59/[1]SETTINGS!$C$31)*[1]SETTINGS!$C$32,0)),"")</f>
        <v/>
      </c>
      <c r="AI59" s="62" t="str">
        <f t="shared" si="16"/>
        <v/>
      </c>
      <c r="AJ59" s="64" t="str">
        <f t="shared" si="5"/>
        <v/>
      </c>
      <c r="AK59" s="75" t="str">
        <f t="shared" si="17"/>
        <v/>
      </c>
      <c r="AL59" s="72"/>
      <c r="AM59" s="63">
        <v>6</v>
      </c>
      <c r="AN59" s="63">
        <v>9</v>
      </c>
      <c r="AO59" s="63">
        <v>10</v>
      </c>
      <c r="AP59" s="63">
        <v>15</v>
      </c>
      <c r="AQ59" s="61">
        <f t="shared" si="18"/>
        <v>40</v>
      </c>
      <c r="AR59" s="62" t="str">
        <f>IFERROR(IF(AQ59=0,"",ROUND((AQ59/SUM([1]SETTINGS!$C$26:$C$29))*[1]SETTINGS!$C$30,0)),"")</f>
        <v/>
      </c>
      <c r="AS59" s="63">
        <v>35</v>
      </c>
      <c r="AT59" s="62" t="str">
        <f>IFERROR(IF(ISBLANK(AS59),"",ROUND((AS59/[1]SETTINGS!$C$31)*[1]SETTINGS!$C$32,0)),"")</f>
        <v/>
      </c>
      <c r="AU59" s="62" t="str">
        <f t="shared" si="19"/>
        <v/>
      </c>
      <c r="AV59" s="64" t="str">
        <f t="shared" si="6"/>
        <v/>
      </c>
      <c r="AW59" s="65" t="str">
        <f t="shared" si="20"/>
        <v/>
      </c>
      <c r="AX59" s="72"/>
      <c r="AY59" s="63">
        <v>15</v>
      </c>
      <c r="AZ59" s="63">
        <v>9</v>
      </c>
      <c r="BA59" s="63">
        <v>11</v>
      </c>
      <c r="BB59" s="63">
        <v>12</v>
      </c>
      <c r="BC59" s="61">
        <f t="shared" si="21"/>
        <v>47</v>
      </c>
      <c r="BD59" s="62" t="str">
        <f>IFERROR(IF(BC59=0,"",ROUND((BC59/SUM([1]SETTINGS!$C$26:$C$29))*[1]SETTINGS!$C$30,0)),"")</f>
        <v/>
      </c>
      <c r="BE59" s="63">
        <v>59</v>
      </c>
      <c r="BF59" s="62" t="str">
        <f>IFERROR(IF(ISBLANK(BE59),"",ROUND((BE59/[1]SETTINGS!$C$31)*[1]SETTINGS!$C$32,0)),"")</f>
        <v/>
      </c>
      <c r="BG59" s="62" t="str">
        <f t="shared" si="22"/>
        <v/>
      </c>
      <c r="BH59" s="64" t="str">
        <f t="shared" si="7"/>
        <v/>
      </c>
      <c r="BI59" s="75" t="str">
        <f t="shared" si="23"/>
        <v/>
      </c>
      <c r="BJ59" s="72"/>
      <c r="BK59" s="63">
        <v>11</v>
      </c>
      <c r="BL59" s="63">
        <v>3</v>
      </c>
      <c r="BM59" s="63">
        <v>1</v>
      </c>
      <c r="BN59" s="63">
        <v>15</v>
      </c>
      <c r="BO59" s="61">
        <f t="shared" si="24"/>
        <v>30</v>
      </c>
      <c r="BP59" s="62" t="str">
        <f>IFERROR(IF(BO59=0,"",ROUND((BO59/SUM([1]SETTINGS!$C$26:$C$29))*[1]SETTINGS!$C$30,0)),"")</f>
        <v/>
      </c>
      <c r="BQ59" s="63">
        <v>38</v>
      </c>
      <c r="BR59" s="62" t="str">
        <f>IFERROR(IF(ISBLANK(BQ59),"",ROUND((BQ59/[1]SETTINGS!$C$31)*[1]SETTINGS!$C$32,0)),"")</f>
        <v/>
      </c>
      <c r="BS59" s="62" t="str">
        <f t="shared" si="25"/>
        <v/>
      </c>
      <c r="BT59" s="64" t="str">
        <f t="shared" si="8"/>
        <v/>
      </c>
      <c r="BU59" s="65" t="str">
        <f t="shared" si="26"/>
        <v/>
      </c>
      <c r="BV59" s="72"/>
      <c r="BW59" s="63">
        <v>13</v>
      </c>
      <c r="BX59" s="63">
        <v>5</v>
      </c>
      <c r="BY59" s="63">
        <v>13</v>
      </c>
      <c r="BZ59" s="63">
        <v>15</v>
      </c>
      <c r="CA59" s="61">
        <f t="shared" si="27"/>
        <v>46</v>
      </c>
      <c r="CB59" s="62" t="str">
        <f>IFERROR(IF(CA59=0,"",ROUND((CA59/SUM([1]SETTINGS!$C$26:$C$29))*[1]SETTINGS!$C$30,0)),"")</f>
        <v/>
      </c>
      <c r="CC59" s="63">
        <v>53</v>
      </c>
      <c r="CD59" s="62" t="str">
        <f>IFERROR(IF(ISBLANK(CC59),"",ROUND((CC59/[1]SETTINGS!$C$31)*[1]SETTINGS!$C$32,0)),"")</f>
        <v/>
      </c>
      <c r="CE59" s="62" t="str">
        <f t="shared" si="28"/>
        <v/>
      </c>
      <c r="CF59" s="64" t="str">
        <f t="shared" si="9"/>
        <v/>
      </c>
      <c r="CG59" s="65" t="str">
        <f t="shared" si="29"/>
        <v/>
      </c>
      <c r="CH59" s="72"/>
      <c r="CI59" s="63">
        <v>12</v>
      </c>
      <c r="CJ59" s="63">
        <v>13</v>
      </c>
      <c r="CK59" s="63">
        <v>12</v>
      </c>
      <c r="CL59" s="63">
        <v>12</v>
      </c>
      <c r="CM59" s="61">
        <f t="shared" si="30"/>
        <v>49</v>
      </c>
      <c r="CN59" s="62" t="str">
        <f>IFERROR(IF(CM59=0,"",ROUND((CM59/SUM([1]SETTINGS!$C$26:$C$29))*[1]SETTINGS!$C$30,0)),"")</f>
        <v/>
      </c>
      <c r="CO59" s="63">
        <v>43</v>
      </c>
      <c r="CP59" s="62" t="str">
        <f>IFERROR(IF(ISBLANK(CO59),"",ROUND((CO59/[1]SETTINGS!$C$31)*[1]SETTINGS!$C$32,0)),"")</f>
        <v/>
      </c>
      <c r="CQ59" s="62" t="str">
        <f t="shared" si="31"/>
        <v/>
      </c>
      <c r="CR59" s="64" t="str">
        <f t="shared" si="10"/>
        <v/>
      </c>
      <c r="CS59" s="65" t="str">
        <f t="shared" si="32"/>
        <v/>
      </c>
      <c r="CT59" s="72"/>
      <c r="CU59" s="63">
        <v>12</v>
      </c>
      <c r="CV59" s="63">
        <v>8</v>
      </c>
      <c r="CW59" s="63">
        <v>7</v>
      </c>
      <c r="CX59" s="63">
        <v>10</v>
      </c>
      <c r="CY59" s="61">
        <f t="shared" si="33"/>
        <v>37</v>
      </c>
      <c r="CZ59" s="62" t="str">
        <f>IFERROR(IF(CY59=0,"",ROUND((CY59/SUM([1]SETTINGS!$C$26:$C$29))*[1]SETTINGS!$C$30,0)),"")</f>
        <v/>
      </c>
      <c r="DA59" s="63">
        <v>29</v>
      </c>
      <c r="DB59" s="62" t="str">
        <f>IFERROR(IF(ISBLANK(DA59),"",ROUND((DA59/[1]SETTINGS!$C$31)*[1]SETTINGS!$C$32,0)),"")</f>
        <v/>
      </c>
      <c r="DC59" s="62" t="str">
        <f t="shared" si="34"/>
        <v/>
      </c>
      <c r="DD59" s="64" t="str">
        <f t="shared" si="11"/>
        <v/>
      </c>
      <c r="DE59" s="65" t="str">
        <f t="shared" si="35"/>
        <v/>
      </c>
      <c r="DF59" s="64" t="str">
        <f t="shared" si="12"/>
        <v/>
      </c>
      <c r="DG59" s="64" t="str">
        <f>IFERROR(IF(AND(K59,W59,AI59,AU59,BG59,BS59,CE59,CQ59,DC59)="","",SUM(K59,W59,AI59,AU59,LARGE((BG59,BS59,CE59,CQ59,DC59),{1,2}))),"")</f>
        <v/>
      </c>
      <c r="DH59" s="64" t="str">
        <f>IFERROR(IF(AND(M59,Y59,AK59,AW59,,BI59,BU59,CG59,CS59,DE59)="","",SUM(M59,Y59,AK59,AW59,SMALL((BI59,BU59,CG59,CS59,DE59),{1,2}))),"")</f>
        <v/>
      </c>
      <c r="DI59" s="76" t="str">
        <f>IFERROR(pos&amp;IF(AND(MOD(ABS(18),100)&gt;10,MOD(ABS(pos),100)&lt;14),"th", CHOOSE(MOD(ABS(pos),10)+1,"th","st","nd","rd","th","th","th","th","th","th")),"")</f>
        <v/>
      </c>
      <c r="DJ59" s="15">
        <f>ROWS($B$12:$B59)</f>
        <v>48</v>
      </c>
      <c r="DK59" s="15">
        <f>IF($B59=[1]REPORT_CARD!$B$9,$DJ59,"")</f>
        <v>48</v>
      </c>
      <c r="DM59" s="74"/>
    </row>
    <row r="60" spans="1:117" ht="19.5" customHeight="1">
      <c r="A60" s="59" t="str">
        <f>IFERROR(IF(ISBLANK([1]PRIMARY_INFO!$A60),"",[1]PRIMARY_INFO!$A60),"")</f>
        <v/>
      </c>
      <c r="B60" s="59" t="str">
        <f>IFERROR(IF(ISBLANK([1]PRIMARY_INFO!$B60),"",[1]PRIMARY_INFO!$B60),"")</f>
        <v/>
      </c>
      <c r="C60" s="63">
        <v>15</v>
      </c>
      <c r="D60" s="63">
        <v>9</v>
      </c>
      <c r="E60" s="63">
        <v>14</v>
      </c>
      <c r="F60" s="63">
        <v>15</v>
      </c>
      <c r="G60" s="61">
        <f t="shared" si="36"/>
        <v>53</v>
      </c>
      <c r="H60" s="62" t="str">
        <f>IFERROR(IF(G60=0,"",ROUND((G60/SUM([1]SETTINGS!$C$26:$C$29))*[1]SETTINGS!$C$30,0)),"")</f>
        <v/>
      </c>
      <c r="I60" s="63">
        <v>29</v>
      </c>
      <c r="J60" s="62" t="str">
        <f>IFERROR(IF(ISBLANK(I60),"",ROUND((I60/[1]SETTINGS!$C$31)*[1]SETTINGS!$C$32,0)),"")</f>
        <v/>
      </c>
      <c r="K60" s="62" t="str">
        <f t="shared" si="13"/>
        <v/>
      </c>
      <c r="L60" s="64" t="str">
        <f t="shared" si="0"/>
        <v/>
      </c>
      <c r="M60" s="65" t="str">
        <f t="shared" si="14"/>
        <v/>
      </c>
      <c r="N60" s="66"/>
      <c r="O60" s="63">
        <v>5</v>
      </c>
      <c r="P60" s="63">
        <v>13</v>
      </c>
      <c r="Q60" s="63">
        <v>5</v>
      </c>
      <c r="R60" s="63">
        <v>11</v>
      </c>
      <c r="S60" s="61">
        <f t="shared" si="37"/>
        <v>34</v>
      </c>
      <c r="T60" s="62" t="str">
        <f>IFERROR(IF(S60=0,"",ROUND((S60/SUM([1]SETTINGS!$C$26:$C$29))*[1]SETTINGS!$C$30,0)),"")</f>
        <v/>
      </c>
      <c r="U60" s="63">
        <v>32</v>
      </c>
      <c r="V60" s="62" t="str">
        <f>IFERROR(IF(ISBLANK(U60),"",ROUND((U60/[1]SETTINGS!$C$31)*[1]SETTINGS!$C$32,0)),"")</f>
        <v/>
      </c>
      <c r="W60" s="62" t="str">
        <f t="shared" si="2"/>
        <v/>
      </c>
      <c r="X60" s="64" t="str">
        <f t="shared" si="3"/>
        <v/>
      </c>
      <c r="Y60" s="65" t="str">
        <f t="shared" si="4"/>
        <v/>
      </c>
      <c r="Z60" s="72"/>
      <c r="AA60" s="63">
        <v>12</v>
      </c>
      <c r="AB60" s="63">
        <v>12</v>
      </c>
      <c r="AC60" s="63">
        <v>12</v>
      </c>
      <c r="AD60" s="63">
        <v>13</v>
      </c>
      <c r="AE60" s="61">
        <f t="shared" si="15"/>
        <v>49</v>
      </c>
      <c r="AF60" s="62" t="str">
        <f>IFERROR(IF(AE60=0,"",ROUND((AE60/SUM([1]SETTINGS!$C$26:$C$29))*[1]SETTINGS!$C$30,0)),"")</f>
        <v/>
      </c>
      <c r="AG60" s="63">
        <v>64</v>
      </c>
      <c r="AH60" s="62" t="str">
        <f>IFERROR(IF(ISBLANK(AG60),"",ROUND((AG60/[1]SETTINGS!$C$31)*[1]SETTINGS!$C$32,0)),"")</f>
        <v/>
      </c>
      <c r="AI60" s="62" t="str">
        <f t="shared" si="16"/>
        <v/>
      </c>
      <c r="AJ60" s="64" t="str">
        <f t="shared" si="5"/>
        <v/>
      </c>
      <c r="AK60" s="75" t="str">
        <f t="shared" si="17"/>
        <v/>
      </c>
      <c r="AL60" s="72"/>
      <c r="AM60" s="63">
        <v>10</v>
      </c>
      <c r="AN60" s="63">
        <v>11</v>
      </c>
      <c r="AO60" s="63">
        <v>13</v>
      </c>
      <c r="AP60" s="63">
        <v>15</v>
      </c>
      <c r="AQ60" s="61">
        <f t="shared" si="18"/>
        <v>49</v>
      </c>
      <c r="AR60" s="62" t="str">
        <f>IFERROR(IF(AQ60=0,"",ROUND((AQ60/SUM([1]SETTINGS!$C$26:$C$29))*[1]SETTINGS!$C$30,0)),"")</f>
        <v/>
      </c>
      <c r="AS60" s="63">
        <v>31</v>
      </c>
      <c r="AT60" s="62" t="str">
        <f>IFERROR(IF(ISBLANK(AS60),"",ROUND((AS60/[1]SETTINGS!$C$31)*[1]SETTINGS!$C$32,0)),"")</f>
        <v/>
      </c>
      <c r="AU60" s="62" t="str">
        <f t="shared" si="19"/>
        <v/>
      </c>
      <c r="AV60" s="64" t="str">
        <f t="shared" si="6"/>
        <v/>
      </c>
      <c r="AW60" s="65" t="str">
        <f t="shared" si="20"/>
        <v/>
      </c>
      <c r="AX60" s="72"/>
      <c r="AY60" s="63">
        <v>12</v>
      </c>
      <c r="AZ60" s="63">
        <v>10</v>
      </c>
      <c r="BA60" s="63">
        <v>10</v>
      </c>
      <c r="BB60" s="63">
        <v>10</v>
      </c>
      <c r="BC60" s="61">
        <f t="shared" si="21"/>
        <v>42</v>
      </c>
      <c r="BD60" s="62" t="str">
        <f>IFERROR(IF(BC60=0,"",ROUND((BC60/SUM([1]SETTINGS!$C$26:$C$29))*[1]SETTINGS!$C$30,0)),"")</f>
        <v/>
      </c>
      <c r="BE60" s="63">
        <v>36</v>
      </c>
      <c r="BF60" s="62" t="str">
        <f>IFERROR(IF(ISBLANK(BE60),"",ROUND((BE60/[1]SETTINGS!$C$31)*[1]SETTINGS!$C$32,0)),"")</f>
        <v/>
      </c>
      <c r="BG60" s="62" t="str">
        <f t="shared" si="22"/>
        <v/>
      </c>
      <c r="BH60" s="64" t="str">
        <f t="shared" si="7"/>
        <v/>
      </c>
      <c r="BI60" s="75" t="str">
        <f t="shared" si="23"/>
        <v/>
      </c>
      <c r="BJ60" s="72"/>
      <c r="BK60" s="63">
        <v>14</v>
      </c>
      <c r="BL60" s="63">
        <v>10</v>
      </c>
      <c r="BM60" s="63">
        <v>5</v>
      </c>
      <c r="BN60" s="63">
        <v>15</v>
      </c>
      <c r="BO60" s="61">
        <f t="shared" si="24"/>
        <v>44</v>
      </c>
      <c r="BP60" s="62" t="str">
        <f>IFERROR(IF(BO60=0,"",ROUND((BO60/SUM([1]SETTINGS!$C$26:$C$29))*[1]SETTINGS!$C$30,0)),"")</f>
        <v/>
      </c>
      <c r="BQ60" s="63">
        <v>29</v>
      </c>
      <c r="BR60" s="62" t="str">
        <f>IFERROR(IF(ISBLANK(BQ60),"",ROUND((BQ60/[1]SETTINGS!$C$31)*[1]SETTINGS!$C$32,0)),"")</f>
        <v/>
      </c>
      <c r="BS60" s="62" t="str">
        <f t="shared" si="25"/>
        <v/>
      </c>
      <c r="BT60" s="64" t="str">
        <f t="shared" si="8"/>
        <v/>
      </c>
      <c r="BU60" s="65" t="str">
        <f t="shared" si="26"/>
        <v/>
      </c>
      <c r="BV60" s="72"/>
      <c r="BW60" s="63">
        <v>8</v>
      </c>
      <c r="BX60" s="63">
        <v>13</v>
      </c>
      <c r="BY60" s="63">
        <v>14</v>
      </c>
      <c r="BZ60" s="63">
        <v>15</v>
      </c>
      <c r="CA60" s="61">
        <f t="shared" si="27"/>
        <v>50</v>
      </c>
      <c r="CB60" s="62" t="str">
        <f>IFERROR(IF(CA60=0,"",ROUND((CA60/SUM([1]SETTINGS!$C$26:$C$29))*[1]SETTINGS!$C$30,0)),"")</f>
        <v/>
      </c>
      <c r="CC60" s="63">
        <v>39</v>
      </c>
      <c r="CD60" s="62" t="str">
        <f>IFERROR(IF(ISBLANK(CC60),"",ROUND((CC60/[1]SETTINGS!$C$31)*[1]SETTINGS!$C$32,0)),"")</f>
        <v/>
      </c>
      <c r="CE60" s="62" t="str">
        <f t="shared" si="28"/>
        <v/>
      </c>
      <c r="CF60" s="64" t="str">
        <f t="shared" si="9"/>
        <v/>
      </c>
      <c r="CG60" s="65" t="str">
        <f t="shared" si="29"/>
        <v/>
      </c>
      <c r="CH60" s="72"/>
      <c r="CI60" s="63">
        <v>15</v>
      </c>
      <c r="CJ60" s="63">
        <v>13</v>
      </c>
      <c r="CK60" s="63">
        <v>14</v>
      </c>
      <c r="CL60" s="63">
        <v>15</v>
      </c>
      <c r="CM60" s="61">
        <f t="shared" si="30"/>
        <v>57</v>
      </c>
      <c r="CN60" s="62" t="str">
        <f>IFERROR(IF(CM60=0,"",ROUND((CM60/SUM([1]SETTINGS!$C$26:$C$29))*[1]SETTINGS!$C$30,0)),"")</f>
        <v/>
      </c>
      <c r="CO60" s="63">
        <v>22</v>
      </c>
      <c r="CP60" s="62" t="str">
        <f>IFERROR(IF(ISBLANK(CO60),"",ROUND((CO60/[1]SETTINGS!$C$31)*[1]SETTINGS!$C$32,0)),"")</f>
        <v/>
      </c>
      <c r="CQ60" s="62" t="str">
        <f t="shared" si="31"/>
        <v/>
      </c>
      <c r="CR60" s="64" t="str">
        <f t="shared" si="10"/>
        <v/>
      </c>
      <c r="CS60" s="65" t="str">
        <f t="shared" si="32"/>
        <v/>
      </c>
      <c r="CT60" s="72"/>
      <c r="CU60" s="63">
        <v>10</v>
      </c>
      <c r="CV60" s="63">
        <v>11</v>
      </c>
      <c r="CW60" s="63">
        <v>10</v>
      </c>
      <c r="CX60" s="63">
        <v>12</v>
      </c>
      <c r="CY60" s="61">
        <f t="shared" si="33"/>
        <v>43</v>
      </c>
      <c r="CZ60" s="62" t="str">
        <f>IFERROR(IF(CY60=0,"",ROUND((CY60/SUM([1]SETTINGS!$C$26:$C$29))*[1]SETTINGS!$C$30,0)),"")</f>
        <v/>
      </c>
      <c r="DA60" s="63">
        <v>39</v>
      </c>
      <c r="DB60" s="62" t="str">
        <f>IFERROR(IF(ISBLANK(DA60),"",ROUND((DA60/[1]SETTINGS!$C$31)*[1]SETTINGS!$C$32,0)),"")</f>
        <v/>
      </c>
      <c r="DC60" s="62" t="str">
        <f t="shared" si="34"/>
        <v/>
      </c>
      <c r="DD60" s="64" t="str">
        <f t="shared" si="11"/>
        <v/>
      </c>
      <c r="DE60" s="65" t="str">
        <f t="shared" si="35"/>
        <v/>
      </c>
      <c r="DF60" s="64" t="str">
        <f t="shared" si="12"/>
        <v/>
      </c>
      <c r="DG60" s="64" t="str">
        <f>IFERROR(IF(AND(K60,W60,AI60,AU60,BG60,BS60,CE60,CQ60,DC60)="","",SUM(K60,W60,AI60,AU60,LARGE((BG60,BS60,CE60,CQ60,DC60),{1,2}))),"")</f>
        <v/>
      </c>
      <c r="DH60" s="64" t="str">
        <f>IFERROR(IF(AND(M60,Y60,AK60,AW60,,BI60,BU60,CG60,CS60,DE60)="","",SUM(M60,Y60,AK60,AW60,SMALL((BI60,BU60,CG60,CS60,DE60),{1,2}))),"")</f>
        <v/>
      </c>
      <c r="DI60" s="76" t="str">
        <f>IFERROR(pos&amp;IF(AND(MOD(ABS(18),100)&gt;10,MOD(ABS(pos),100)&lt;14),"th", CHOOSE(MOD(ABS(pos),10)+1,"th","st","nd","rd","th","th","th","th","th","th")),"")</f>
        <v/>
      </c>
      <c r="DJ60" s="15">
        <f>ROWS($B$12:$B60)</f>
        <v>49</v>
      </c>
      <c r="DK60" s="15">
        <f>IF($B60=[1]REPORT_CARD!$B$9,$DJ60,"")</f>
        <v>49</v>
      </c>
      <c r="DM60" s="74"/>
    </row>
    <row r="61" spans="1:117" ht="19.5" customHeight="1">
      <c r="A61" s="59" t="str">
        <f>IFERROR(IF(ISBLANK([1]PRIMARY_INFO!$A61),"",[1]PRIMARY_INFO!$A61),"")</f>
        <v/>
      </c>
      <c r="B61" s="59" t="str">
        <f>IFERROR(IF(ISBLANK([1]PRIMARY_INFO!$B61),"",[1]PRIMARY_INFO!$B61),"")</f>
        <v/>
      </c>
      <c r="C61" s="63">
        <v>14</v>
      </c>
      <c r="D61" s="63">
        <v>15</v>
      </c>
      <c r="E61" s="63">
        <v>15</v>
      </c>
      <c r="F61" s="63">
        <v>10</v>
      </c>
      <c r="G61" s="61">
        <f t="shared" si="36"/>
        <v>54</v>
      </c>
      <c r="H61" s="62" t="str">
        <f>IFERROR(IF(G61=0,"",ROUND((G61/SUM([1]SETTINGS!$C$26:$C$29))*[1]SETTINGS!$C$30,0)),"")</f>
        <v/>
      </c>
      <c r="I61" s="63">
        <v>44</v>
      </c>
      <c r="J61" s="62" t="str">
        <f>IFERROR(IF(ISBLANK(I61),"",ROUND((I61/[1]SETTINGS!$C$31)*[1]SETTINGS!$C$32,0)),"")</f>
        <v/>
      </c>
      <c r="K61" s="62" t="str">
        <f t="shared" si="13"/>
        <v/>
      </c>
      <c r="L61" s="64" t="str">
        <f t="shared" si="0"/>
        <v/>
      </c>
      <c r="M61" s="65" t="str">
        <f t="shared" si="14"/>
        <v/>
      </c>
      <c r="N61" s="66"/>
      <c r="O61" s="63">
        <v>9</v>
      </c>
      <c r="P61" s="63">
        <v>12</v>
      </c>
      <c r="Q61" s="63">
        <v>9</v>
      </c>
      <c r="R61" s="63">
        <v>10</v>
      </c>
      <c r="S61" s="61">
        <f t="shared" si="37"/>
        <v>40</v>
      </c>
      <c r="T61" s="62" t="str">
        <f>IFERROR(IF(S61=0,"",ROUND((S61/SUM([1]SETTINGS!$C$26:$C$29))*[1]SETTINGS!$C$30,0)),"")</f>
        <v/>
      </c>
      <c r="U61" s="63">
        <v>39</v>
      </c>
      <c r="V61" s="62" t="str">
        <f>IFERROR(IF(ISBLANK(U61),"",ROUND((U61/[1]SETTINGS!$C$31)*[1]SETTINGS!$C$32,0)),"")</f>
        <v/>
      </c>
      <c r="W61" s="62" t="str">
        <f t="shared" si="2"/>
        <v/>
      </c>
      <c r="X61" s="64" t="str">
        <f t="shared" si="3"/>
        <v/>
      </c>
      <c r="Y61" s="65" t="str">
        <f t="shared" si="4"/>
        <v/>
      </c>
      <c r="Z61" s="72"/>
      <c r="AA61" s="63">
        <v>9</v>
      </c>
      <c r="AB61" s="63">
        <v>10</v>
      </c>
      <c r="AC61" s="63">
        <v>8</v>
      </c>
      <c r="AD61" s="63">
        <v>14</v>
      </c>
      <c r="AE61" s="61">
        <f t="shared" si="15"/>
        <v>41</v>
      </c>
      <c r="AF61" s="62" t="str">
        <f>IFERROR(IF(AE61=0,"",ROUND((AE61/SUM([1]SETTINGS!$C$26:$C$29))*[1]SETTINGS!$C$30,0)),"")</f>
        <v/>
      </c>
      <c r="AG61" s="63">
        <v>43</v>
      </c>
      <c r="AH61" s="62" t="str">
        <f>IFERROR(IF(ISBLANK(AG61),"",ROUND((AG61/[1]SETTINGS!$C$31)*[1]SETTINGS!$C$32,0)),"")</f>
        <v/>
      </c>
      <c r="AI61" s="62" t="str">
        <f t="shared" si="16"/>
        <v/>
      </c>
      <c r="AJ61" s="64" t="str">
        <f t="shared" si="5"/>
        <v/>
      </c>
      <c r="AK61" s="75" t="str">
        <f t="shared" si="17"/>
        <v/>
      </c>
      <c r="AL61" s="72"/>
      <c r="AM61" s="63">
        <v>9</v>
      </c>
      <c r="AN61" s="63">
        <v>10</v>
      </c>
      <c r="AO61" s="63">
        <v>6</v>
      </c>
      <c r="AP61" s="63">
        <v>14</v>
      </c>
      <c r="AQ61" s="61">
        <f t="shared" si="18"/>
        <v>39</v>
      </c>
      <c r="AR61" s="62" t="str">
        <f>IFERROR(IF(AQ61=0,"",ROUND((AQ61/SUM([1]SETTINGS!$C$26:$C$29))*[1]SETTINGS!$C$30,0)),"")</f>
        <v/>
      </c>
      <c r="AS61" s="63">
        <v>27</v>
      </c>
      <c r="AT61" s="62" t="str">
        <f>IFERROR(IF(ISBLANK(AS61),"",ROUND((AS61/[1]SETTINGS!$C$31)*[1]SETTINGS!$C$32,0)),"")</f>
        <v/>
      </c>
      <c r="AU61" s="62" t="str">
        <f t="shared" si="19"/>
        <v/>
      </c>
      <c r="AV61" s="64" t="str">
        <f t="shared" si="6"/>
        <v/>
      </c>
      <c r="AW61" s="65" t="str">
        <f t="shared" si="20"/>
        <v/>
      </c>
      <c r="AX61" s="72"/>
      <c r="AY61" s="63">
        <v>12</v>
      </c>
      <c r="AZ61" s="63">
        <v>10</v>
      </c>
      <c r="BA61" s="63">
        <v>14</v>
      </c>
      <c r="BB61" s="63">
        <v>10</v>
      </c>
      <c r="BC61" s="61">
        <f t="shared" si="21"/>
        <v>46</v>
      </c>
      <c r="BD61" s="62" t="str">
        <f>IFERROR(IF(BC61=0,"",ROUND((BC61/SUM([1]SETTINGS!$C$26:$C$29))*[1]SETTINGS!$C$30,0)),"")</f>
        <v/>
      </c>
      <c r="BE61" s="63">
        <v>71</v>
      </c>
      <c r="BF61" s="62" t="str">
        <f>IFERROR(IF(ISBLANK(BE61),"",ROUND((BE61/[1]SETTINGS!$C$31)*[1]SETTINGS!$C$32,0)),"")</f>
        <v/>
      </c>
      <c r="BG61" s="62" t="str">
        <f t="shared" si="22"/>
        <v/>
      </c>
      <c r="BH61" s="64" t="str">
        <f t="shared" si="7"/>
        <v/>
      </c>
      <c r="BI61" s="75" t="str">
        <f t="shared" si="23"/>
        <v/>
      </c>
      <c r="BJ61" s="72"/>
      <c r="BK61" s="63">
        <v>15</v>
      </c>
      <c r="BL61" s="63">
        <v>15</v>
      </c>
      <c r="BM61" s="63">
        <v>3</v>
      </c>
      <c r="BN61" s="63">
        <v>15</v>
      </c>
      <c r="BO61" s="61">
        <f t="shared" si="24"/>
        <v>48</v>
      </c>
      <c r="BP61" s="62" t="str">
        <f>IFERROR(IF(BO61=0,"",ROUND((BO61/SUM([1]SETTINGS!$C$26:$C$29))*[1]SETTINGS!$C$30,0)),"")</f>
        <v/>
      </c>
      <c r="BQ61" s="63">
        <v>36</v>
      </c>
      <c r="BR61" s="62" t="str">
        <f>IFERROR(IF(ISBLANK(BQ61),"",ROUND((BQ61/[1]SETTINGS!$C$31)*[1]SETTINGS!$C$32,0)),"")</f>
        <v/>
      </c>
      <c r="BS61" s="62" t="str">
        <f t="shared" si="25"/>
        <v/>
      </c>
      <c r="BT61" s="64" t="str">
        <f t="shared" si="8"/>
        <v/>
      </c>
      <c r="BU61" s="65" t="str">
        <f t="shared" si="26"/>
        <v/>
      </c>
      <c r="BV61" s="72"/>
      <c r="BW61" s="63">
        <v>15</v>
      </c>
      <c r="BX61" s="63">
        <v>10</v>
      </c>
      <c r="BY61" s="63">
        <v>13</v>
      </c>
      <c r="BZ61" s="63">
        <v>13</v>
      </c>
      <c r="CA61" s="61">
        <f t="shared" si="27"/>
        <v>51</v>
      </c>
      <c r="CB61" s="62" t="str">
        <f>IFERROR(IF(CA61=0,"",ROUND((CA61/SUM([1]SETTINGS!$C$26:$C$29))*[1]SETTINGS!$C$30,0)),"")</f>
        <v/>
      </c>
      <c r="CC61" s="63">
        <v>49</v>
      </c>
      <c r="CD61" s="62" t="str">
        <f>IFERROR(IF(ISBLANK(CC61),"",ROUND((CC61/[1]SETTINGS!$C$31)*[1]SETTINGS!$C$32,0)),"")</f>
        <v/>
      </c>
      <c r="CE61" s="62" t="str">
        <f t="shared" si="28"/>
        <v/>
      </c>
      <c r="CF61" s="64" t="str">
        <f t="shared" si="9"/>
        <v/>
      </c>
      <c r="CG61" s="65" t="str">
        <f t="shared" si="29"/>
        <v/>
      </c>
      <c r="CH61" s="72"/>
      <c r="CI61" s="63">
        <v>9</v>
      </c>
      <c r="CJ61" s="63">
        <v>13</v>
      </c>
      <c r="CK61" s="63">
        <v>13</v>
      </c>
      <c r="CL61" s="63">
        <v>13</v>
      </c>
      <c r="CM61" s="61">
        <f t="shared" si="30"/>
        <v>48</v>
      </c>
      <c r="CN61" s="62" t="str">
        <f>IFERROR(IF(CM61=0,"",ROUND((CM61/SUM([1]SETTINGS!$C$26:$C$29))*[1]SETTINGS!$C$30,0)),"")</f>
        <v/>
      </c>
      <c r="CO61" s="63">
        <v>31</v>
      </c>
      <c r="CP61" s="62" t="str">
        <f>IFERROR(IF(ISBLANK(CO61),"",ROUND((CO61/[1]SETTINGS!$C$31)*[1]SETTINGS!$C$32,0)),"")</f>
        <v/>
      </c>
      <c r="CQ61" s="62" t="str">
        <f t="shared" si="31"/>
        <v/>
      </c>
      <c r="CR61" s="64" t="str">
        <f t="shared" si="10"/>
        <v/>
      </c>
      <c r="CS61" s="65" t="str">
        <f t="shared" si="32"/>
        <v/>
      </c>
      <c r="CT61" s="72"/>
      <c r="CU61" s="63">
        <v>11</v>
      </c>
      <c r="CV61" s="63">
        <v>8</v>
      </c>
      <c r="CW61" s="63">
        <v>8</v>
      </c>
      <c r="CX61" s="63">
        <v>10</v>
      </c>
      <c r="CY61" s="61">
        <f t="shared" si="33"/>
        <v>37</v>
      </c>
      <c r="CZ61" s="62" t="str">
        <f>IFERROR(IF(CY61=0,"",ROUND((CY61/SUM([1]SETTINGS!$C$26:$C$29))*[1]SETTINGS!$C$30,0)),"")</f>
        <v/>
      </c>
      <c r="DA61" s="63">
        <v>19</v>
      </c>
      <c r="DB61" s="62" t="str">
        <f>IFERROR(IF(ISBLANK(DA61),"",ROUND((DA61/[1]SETTINGS!$C$31)*[1]SETTINGS!$C$32,0)),"")</f>
        <v/>
      </c>
      <c r="DC61" s="62" t="str">
        <f t="shared" si="34"/>
        <v/>
      </c>
      <c r="DD61" s="64" t="str">
        <f t="shared" si="11"/>
        <v/>
      </c>
      <c r="DE61" s="65" t="str">
        <f t="shared" si="35"/>
        <v/>
      </c>
      <c r="DF61" s="64" t="str">
        <f t="shared" si="12"/>
        <v/>
      </c>
      <c r="DG61" s="64" t="str">
        <f>IFERROR(IF(AND(K61,W61,AI61,AU61,BG61,BS61,CE61,CQ61,DC61)="","",SUM(K61,W61,AI61,AU61,LARGE((BG61,BS61,CE61,CQ61,DC61),{1,2}))),"")</f>
        <v/>
      </c>
      <c r="DH61" s="64" t="str">
        <f>IFERROR(IF(AND(M61,Y61,AK61,AW61,,BI61,BU61,CG61,CS61,DE61)="","",SUM(M61,Y61,AK61,AW61,SMALL((BI61,BU61,CG61,CS61,DE61),{1,2}))),"")</f>
        <v/>
      </c>
      <c r="DI61" s="76" t="str">
        <f>IFERROR(pos&amp;IF(AND(MOD(ABS(18),100)&gt;10,MOD(ABS(pos),100)&lt;14),"th", CHOOSE(MOD(ABS(pos),10)+1,"th","st","nd","rd","th","th","th","th","th","th")),"")</f>
        <v/>
      </c>
      <c r="DJ61" s="15">
        <f>ROWS($B$12:$B61)</f>
        <v>50</v>
      </c>
      <c r="DK61" s="15">
        <f>IF($B61=[1]REPORT_CARD!$B$9,$DJ61,"")</f>
        <v>50</v>
      </c>
      <c r="DM61" s="74"/>
    </row>
    <row r="62" spans="1:117" ht="19.5" customHeight="1">
      <c r="A62" s="59" t="str">
        <f>IFERROR(IF(ISBLANK([1]PRIMARY_INFO!$A62),"",[1]PRIMARY_INFO!$A62),"")</f>
        <v/>
      </c>
      <c r="B62" s="59" t="str">
        <f>IFERROR(IF(ISBLANK([1]PRIMARY_INFO!$B62),"",[1]PRIMARY_INFO!$B62),"")</f>
        <v/>
      </c>
      <c r="C62" s="63">
        <v>15</v>
      </c>
      <c r="D62" s="63">
        <v>15</v>
      </c>
      <c r="E62" s="63">
        <v>15</v>
      </c>
      <c r="F62" s="63">
        <v>11</v>
      </c>
      <c r="G62" s="61">
        <f t="shared" si="36"/>
        <v>56</v>
      </c>
      <c r="H62" s="62" t="str">
        <f>IFERROR(IF(G62=0,"",ROUND((G62/SUM([1]SETTINGS!$C$26:$C$29))*[1]SETTINGS!$C$30,0)),"")</f>
        <v/>
      </c>
      <c r="I62" s="63">
        <v>66</v>
      </c>
      <c r="J62" s="62" t="str">
        <f>IFERROR(IF(ISBLANK(I62),"",ROUND((I62/[1]SETTINGS!$C$31)*[1]SETTINGS!$C$32,0)),"")</f>
        <v/>
      </c>
      <c r="K62" s="62" t="str">
        <f t="shared" si="13"/>
        <v/>
      </c>
      <c r="L62" s="64" t="str">
        <f t="shared" si="0"/>
        <v/>
      </c>
      <c r="M62" s="65" t="str">
        <f t="shared" si="14"/>
        <v/>
      </c>
      <c r="N62" s="66"/>
      <c r="O62" s="63">
        <v>13</v>
      </c>
      <c r="P62" s="63">
        <v>13</v>
      </c>
      <c r="Q62" s="63">
        <v>11</v>
      </c>
      <c r="R62" s="63">
        <v>10</v>
      </c>
      <c r="S62" s="61">
        <f t="shared" si="37"/>
        <v>47</v>
      </c>
      <c r="T62" s="62" t="str">
        <f>IFERROR(IF(S62=0,"",ROUND((S62/SUM([1]SETTINGS!$C$26:$C$29))*[1]SETTINGS!$C$30,0)),"")</f>
        <v/>
      </c>
      <c r="U62" s="63">
        <v>49</v>
      </c>
      <c r="V62" s="62" t="str">
        <f>IFERROR(IF(ISBLANK(U62),"",ROUND((U62/[1]SETTINGS!$C$31)*[1]SETTINGS!$C$32,0)),"")</f>
        <v/>
      </c>
      <c r="W62" s="62" t="str">
        <f t="shared" si="2"/>
        <v/>
      </c>
      <c r="X62" s="64" t="str">
        <f t="shared" si="3"/>
        <v/>
      </c>
      <c r="Y62" s="65" t="str">
        <f t="shared" si="4"/>
        <v/>
      </c>
      <c r="Z62" s="72"/>
      <c r="AA62" s="63">
        <v>14</v>
      </c>
      <c r="AB62" s="63">
        <v>12</v>
      </c>
      <c r="AC62" s="63">
        <v>10</v>
      </c>
      <c r="AD62" s="63">
        <v>15</v>
      </c>
      <c r="AE62" s="61">
        <f t="shared" si="15"/>
        <v>51</v>
      </c>
      <c r="AF62" s="62" t="str">
        <f>IFERROR(IF(AE62=0,"",ROUND((AE62/SUM([1]SETTINGS!$C$26:$C$29))*[1]SETTINGS!$C$30,0)),"")</f>
        <v/>
      </c>
      <c r="AG62" s="63">
        <v>85</v>
      </c>
      <c r="AH62" s="62" t="str">
        <f>IFERROR(IF(ISBLANK(AG62),"",ROUND((AG62/[1]SETTINGS!$C$31)*[1]SETTINGS!$C$32,0)),"")</f>
        <v/>
      </c>
      <c r="AI62" s="62" t="str">
        <f t="shared" si="16"/>
        <v/>
      </c>
      <c r="AJ62" s="64" t="str">
        <f t="shared" si="5"/>
        <v/>
      </c>
      <c r="AK62" s="75" t="str">
        <f t="shared" si="17"/>
        <v/>
      </c>
      <c r="AL62" s="72"/>
      <c r="AM62" s="63">
        <v>10</v>
      </c>
      <c r="AN62" s="63">
        <v>15</v>
      </c>
      <c r="AO62" s="63">
        <v>6</v>
      </c>
      <c r="AP62" s="63">
        <v>15</v>
      </c>
      <c r="AQ62" s="61">
        <f t="shared" si="18"/>
        <v>46</v>
      </c>
      <c r="AR62" s="62" t="str">
        <f>IFERROR(IF(AQ62=0,"",ROUND((AQ62/SUM([1]SETTINGS!$C$26:$C$29))*[1]SETTINGS!$C$30,0)),"")</f>
        <v/>
      </c>
      <c r="AS62" s="63">
        <v>42</v>
      </c>
      <c r="AT62" s="62" t="str">
        <f>IFERROR(IF(ISBLANK(AS62),"",ROUND((AS62/[1]SETTINGS!$C$31)*[1]SETTINGS!$C$32,0)),"")</f>
        <v/>
      </c>
      <c r="AU62" s="62" t="str">
        <f t="shared" si="19"/>
        <v/>
      </c>
      <c r="AV62" s="64" t="str">
        <f t="shared" si="6"/>
        <v/>
      </c>
      <c r="AW62" s="65" t="str">
        <f t="shared" si="20"/>
        <v/>
      </c>
      <c r="AX62" s="72"/>
      <c r="AY62" s="63">
        <v>11</v>
      </c>
      <c r="AZ62" s="63">
        <v>10</v>
      </c>
      <c r="BA62" s="63">
        <v>15</v>
      </c>
      <c r="BB62" s="63">
        <v>10</v>
      </c>
      <c r="BC62" s="61">
        <f t="shared" si="21"/>
        <v>46</v>
      </c>
      <c r="BD62" s="62" t="str">
        <f>IFERROR(IF(BC62=0,"",ROUND((BC62/SUM([1]SETTINGS!$C$26:$C$29))*[1]SETTINGS!$C$30,0)),"")</f>
        <v/>
      </c>
      <c r="BE62" s="63">
        <v>82</v>
      </c>
      <c r="BF62" s="62" t="str">
        <f>IFERROR(IF(ISBLANK(BE62),"",ROUND((BE62/[1]SETTINGS!$C$31)*[1]SETTINGS!$C$32,0)),"")</f>
        <v/>
      </c>
      <c r="BG62" s="62" t="str">
        <f t="shared" si="22"/>
        <v/>
      </c>
      <c r="BH62" s="64" t="str">
        <f t="shared" si="7"/>
        <v/>
      </c>
      <c r="BI62" s="75" t="str">
        <f t="shared" si="23"/>
        <v/>
      </c>
      <c r="BJ62" s="72"/>
      <c r="BK62" s="63">
        <v>14</v>
      </c>
      <c r="BL62" s="63">
        <v>11</v>
      </c>
      <c r="BM62" s="63">
        <v>1</v>
      </c>
      <c r="BN62" s="63">
        <v>15</v>
      </c>
      <c r="BO62" s="61">
        <f t="shared" si="24"/>
        <v>41</v>
      </c>
      <c r="BP62" s="62" t="str">
        <f>IFERROR(IF(BO62=0,"",ROUND((BO62/SUM([1]SETTINGS!$C$26:$C$29))*[1]SETTINGS!$C$30,0)),"")</f>
        <v/>
      </c>
      <c r="BQ62" s="63">
        <v>62</v>
      </c>
      <c r="BR62" s="62" t="str">
        <f>IFERROR(IF(ISBLANK(BQ62),"",ROUND((BQ62/[1]SETTINGS!$C$31)*[1]SETTINGS!$C$32,0)),"")</f>
        <v/>
      </c>
      <c r="BS62" s="62" t="str">
        <f t="shared" si="25"/>
        <v/>
      </c>
      <c r="BT62" s="64" t="str">
        <f t="shared" si="8"/>
        <v/>
      </c>
      <c r="BU62" s="65" t="str">
        <f t="shared" si="26"/>
        <v/>
      </c>
      <c r="BV62" s="72"/>
      <c r="BW62" s="63">
        <v>13</v>
      </c>
      <c r="BX62" s="63">
        <v>13</v>
      </c>
      <c r="BY62" s="63">
        <v>13</v>
      </c>
      <c r="BZ62" s="63">
        <v>9</v>
      </c>
      <c r="CA62" s="61">
        <f t="shared" si="27"/>
        <v>48</v>
      </c>
      <c r="CB62" s="62" t="str">
        <f>IFERROR(IF(CA62=0,"",ROUND((CA62/SUM([1]SETTINGS!$C$26:$C$29))*[1]SETTINGS!$C$30,0)),"")</f>
        <v/>
      </c>
      <c r="CC62" s="63">
        <v>81</v>
      </c>
      <c r="CD62" s="62" t="str">
        <f>IFERROR(IF(ISBLANK(CC62),"",ROUND((CC62/[1]SETTINGS!$C$31)*[1]SETTINGS!$C$32,0)),"")</f>
        <v/>
      </c>
      <c r="CE62" s="62" t="str">
        <f t="shared" si="28"/>
        <v/>
      </c>
      <c r="CF62" s="64" t="str">
        <f t="shared" si="9"/>
        <v/>
      </c>
      <c r="CG62" s="65" t="str">
        <f t="shared" si="29"/>
        <v/>
      </c>
      <c r="CH62" s="72"/>
      <c r="CI62" s="63">
        <v>15</v>
      </c>
      <c r="CJ62" s="63">
        <v>13</v>
      </c>
      <c r="CK62" s="63">
        <v>13</v>
      </c>
      <c r="CL62" s="63">
        <v>12</v>
      </c>
      <c r="CM62" s="61">
        <f t="shared" si="30"/>
        <v>53</v>
      </c>
      <c r="CN62" s="62" t="str">
        <f>IFERROR(IF(CM62=0,"",ROUND((CM62/SUM([1]SETTINGS!$C$26:$C$29))*[1]SETTINGS!$C$30,0)),"")</f>
        <v/>
      </c>
      <c r="CO62" s="63">
        <v>36</v>
      </c>
      <c r="CP62" s="62" t="str">
        <f>IFERROR(IF(ISBLANK(CO62),"",ROUND((CO62/[1]SETTINGS!$C$31)*[1]SETTINGS!$C$32,0)),"")</f>
        <v/>
      </c>
      <c r="CQ62" s="62" t="str">
        <f t="shared" si="31"/>
        <v/>
      </c>
      <c r="CR62" s="64" t="str">
        <f t="shared" si="10"/>
        <v/>
      </c>
      <c r="CS62" s="65" t="str">
        <f t="shared" si="32"/>
        <v/>
      </c>
      <c r="CT62" s="72"/>
      <c r="CU62" s="63">
        <v>15</v>
      </c>
      <c r="CV62" s="63">
        <v>13</v>
      </c>
      <c r="CW62" s="63">
        <v>10</v>
      </c>
      <c r="CX62" s="63">
        <v>10</v>
      </c>
      <c r="CY62" s="61">
        <f t="shared" si="33"/>
        <v>48</v>
      </c>
      <c r="CZ62" s="62" t="str">
        <f>IFERROR(IF(CY62=0,"",ROUND((CY62/SUM([1]SETTINGS!$C$26:$C$29))*[1]SETTINGS!$C$30,0)),"")</f>
        <v/>
      </c>
      <c r="DA62" s="63">
        <v>70</v>
      </c>
      <c r="DB62" s="62" t="str">
        <f>IFERROR(IF(ISBLANK(DA62),"",ROUND((DA62/[1]SETTINGS!$C$31)*[1]SETTINGS!$C$32,0)),"")</f>
        <v/>
      </c>
      <c r="DC62" s="62" t="str">
        <f t="shared" si="34"/>
        <v/>
      </c>
      <c r="DD62" s="64" t="str">
        <f t="shared" si="11"/>
        <v/>
      </c>
      <c r="DE62" s="65" t="str">
        <f t="shared" si="35"/>
        <v/>
      </c>
      <c r="DF62" s="64" t="str">
        <f t="shared" si="12"/>
        <v/>
      </c>
      <c r="DG62" s="64" t="str">
        <f>IFERROR(IF(AND(K62,W62,AI62,AU62,BG62,BS62,CE62,CQ62,DC62)="","",SUM(K62,W62,AI62,AU62,LARGE((BG62,BS62,CE62,CQ62,DC62),{1,2}))),"")</f>
        <v/>
      </c>
      <c r="DH62" s="64" t="str">
        <f>IFERROR(IF(AND(M62,Y62,AK62,AW62,,BI62,BU62,CG62,CS62,DE62)="","",SUM(M62,Y62,AK62,AW62,SMALL((BI62,BU62,CG62,CS62,DE62),{1,2}))),"")</f>
        <v/>
      </c>
      <c r="DI62" s="76" t="str">
        <f>IFERROR(pos&amp;IF(AND(MOD(ABS(18),100)&gt;10,MOD(ABS(pos),100)&lt;14),"th", CHOOSE(MOD(ABS(pos),10)+1,"th","st","nd","rd","th","th","th","th","th","th")),"")</f>
        <v/>
      </c>
      <c r="DJ62" s="15">
        <f>ROWS($B$12:$B62)</f>
        <v>51</v>
      </c>
      <c r="DK62" s="15">
        <f>IF($B62=[1]REPORT_CARD!$B$9,$DJ62,"")</f>
        <v>51</v>
      </c>
      <c r="DM62" s="74"/>
    </row>
    <row r="63" spans="1:117" ht="19.5" customHeight="1">
      <c r="A63" s="59" t="str">
        <f>IFERROR(IF(ISBLANK([1]PRIMARY_INFO!$A63),"",[1]PRIMARY_INFO!$A63),"")</f>
        <v/>
      </c>
      <c r="B63" s="59" t="str">
        <f>IFERROR(IF(ISBLANK([1]PRIMARY_INFO!$B63),"",[1]PRIMARY_INFO!$B63),"")</f>
        <v/>
      </c>
      <c r="C63" s="63">
        <v>12</v>
      </c>
      <c r="D63" s="63">
        <v>15</v>
      </c>
      <c r="E63" s="63">
        <v>11</v>
      </c>
      <c r="F63" s="63">
        <v>10</v>
      </c>
      <c r="G63" s="61">
        <f t="shared" si="36"/>
        <v>48</v>
      </c>
      <c r="H63" s="62" t="str">
        <f>IFERROR(IF(G63=0,"",ROUND((G63/SUM([1]SETTINGS!$C$26:$C$29))*[1]SETTINGS!$C$30,0)),"")</f>
        <v/>
      </c>
      <c r="I63" s="63">
        <v>32</v>
      </c>
      <c r="J63" s="62" t="str">
        <f>IFERROR(IF(ISBLANK(I63),"",ROUND((I63/[1]SETTINGS!$C$31)*[1]SETTINGS!$C$32,0)),"")</f>
        <v/>
      </c>
      <c r="K63" s="62" t="str">
        <f t="shared" si="13"/>
        <v/>
      </c>
      <c r="L63" s="64" t="str">
        <f t="shared" si="0"/>
        <v/>
      </c>
      <c r="M63" s="65" t="str">
        <f t="shared" si="14"/>
        <v/>
      </c>
      <c r="N63" s="66"/>
      <c r="O63" s="63">
        <v>5</v>
      </c>
      <c r="P63" s="63">
        <v>10</v>
      </c>
      <c r="Q63" s="63">
        <v>9</v>
      </c>
      <c r="R63" s="63">
        <v>12</v>
      </c>
      <c r="S63" s="61">
        <f t="shared" si="37"/>
        <v>36</v>
      </c>
      <c r="T63" s="62" t="str">
        <f>IFERROR(IF(S63=0,"",ROUND((S63/SUM([1]SETTINGS!$C$26:$C$29))*[1]SETTINGS!$C$30,0)),"")</f>
        <v/>
      </c>
      <c r="U63" s="63">
        <v>31</v>
      </c>
      <c r="V63" s="62" t="str">
        <f>IFERROR(IF(ISBLANK(U63),"",ROUND((U63/[1]SETTINGS!$C$31)*[1]SETTINGS!$C$32,0)),"")</f>
        <v/>
      </c>
      <c r="W63" s="62" t="str">
        <f t="shared" si="2"/>
        <v/>
      </c>
      <c r="X63" s="64" t="str">
        <f t="shared" si="3"/>
        <v/>
      </c>
      <c r="Y63" s="65" t="str">
        <f t="shared" si="4"/>
        <v/>
      </c>
      <c r="Z63" s="72"/>
      <c r="AA63" s="63">
        <v>14</v>
      </c>
      <c r="AB63" s="63">
        <v>10</v>
      </c>
      <c r="AC63" s="63">
        <v>12</v>
      </c>
      <c r="AD63" s="63">
        <v>15</v>
      </c>
      <c r="AE63" s="61">
        <f t="shared" si="15"/>
        <v>51</v>
      </c>
      <c r="AF63" s="62" t="str">
        <f>IFERROR(IF(AE63=0,"",ROUND((AE63/SUM([1]SETTINGS!$C$26:$C$29))*[1]SETTINGS!$C$30,0)),"")</f>
        <v/>
      </c>
      <c r="AG63" s="63">
        <v>41</v>
      </c>
      <c r="AH63" s="62" t="str">
        <f>IFERROR(IF(ISBLANK(AG63),"",ROUND((AG63/[1]SETTINGS!$C$31)*[1]SETTINGS!$C$32,0)),"")</f>
        <v/>
      </c>
      <c r="AI63" s="62" t="str">
        <f t="shared" si="16"/>
        <v/>
      </c>
      <c r="AJ63" s="64" t="str">
        <f t="shared" si="5"/>
        <v/>
      </c>
      <c r="AK63" s="75" t="str">
        <f t="shared" si="17"/>
        <v/>
      </c>
      <c r="AL63" s="72"/>
      <c r="AM63" s="63">
        <v>13</v>
      </c>
      <c r="AN63" s="63">
        <v>10</v>
      </c>
      <c r="AO63" s="63">
        <v>15</v>
      </c>
      <c r="AP63" s="63">
        <v>14</v>
      </c>
      <c r="AQ63" s="61">
        <f t="shared" si="18"/>
        <v>52</v>
      </c>
      <c r="AR63" s="62" t="str">
        <f>IFERROR(IF(AQ63=0,"",ROUND((AQ63/SUM([1]SETTINGS!$C$26:$C$29))*[1]SETTINGS!$C$30,0)),"")</f>
        <v/>
      </c>
      <c r="AS63" s="63">
        <v>38</v>
      </c>
      <c r="AT63" s="62" t="str">
        <f>IFERROR(IF(ISBLANK(AS63),"",ROUND((AS63/[1]SETTINGS!$C$31)*[1]SETTINGS!$C$32,0)),"")</f>
        <v/>
      </c>
      <c r="AU63" s="62" t="str">
        <f t="shared" si="19"/>
        <v/>
      </c>
      <c r="AV63" s="64" t="str">
        <f t="shared" si="6"/>
        <v/>
      </c>
      <c r="AW63" s="65" t="str">
        <f t="shared" si="20"/>
        <v/>
      </c>
      <c r="AX63" s="72"/>
      <c r="AY63" s="63">
        <v>10</v>
      </c>
      <c r="AZ63" s="63">
        <v>11</v>
      </c>
      <c r="BA63" s="63">
        <v>10</v>
      </c>
      <c r="BB63" s="63">
        <v>10</v>
      </c>
      <c r="BC63" s="61">
        <f t="shared" si="21"/>
        <v>41</v>
      </c>
      <c r="BD63" s="62" t="str">
        <f>IFERROR(IF(BC63=0,"",ROUND((BC63/SUM([1]SETTINGS!$C$26:$C$29))*[1]SETTINGS!$C$30,0)),"")</f>
        <v/>
      </c>
      <c r="BE63" s="63">
        <v>57</v>
      </c>
      <c r="BF63" s="62" t="str">
        <f>IFERROR(IF(ISBLANK(BE63),"",ROUND((BE63/[1]SETTINGS!$C$31)*[1]SETTINGS!$C$32,0)),"")</f>
        <v/>
      </c>
      <c r="BG63" s="62" t="str">
        <f t="shared" si="22"/>
        <v/>
      </c>
      <c r="BH63" s="64" t="str">
        <f t="shared" si="7"/>
        <v/>
      </c>
      <c r="BI63" s="75" t="str">
        <f t="shared" si="23"/>
        <v/>
      </c>
      <c r="BJ63" s="72"/>
      <c r="BK63" s="63">
        <v>13</v>
      </c>
      <c r="BL63" s="63">
        <v>12</v>
      </c>
      <c r="BM63" s="63">
        <v>2</v>
      </c>
      <c r="BN63" s="63">
        <v>15</v>
      </c>
      <c r="BO63" s="61">
        <f t="shared" si="24"/>
        <v>42</v>
      </c>
      <c r="BP63" s="62" t="str">
        <f>IFERROR(IF(BO63=0,"",ROUND((BO63/SUM([1]SETTINGS!$C$26:$C$29))*[1]SETTINGS!$C$30,0)),"")</f>
        <v/>
      </c>
      <c r="BQ63" s="63">
        <v>37</v>
      </c>
      <c r="BR63" s="62" t="str">
        <f>IFERROR(IF(ISBLANK(BQ63),"",ROUND((BQ63/[1]SETTINGS!$C$31)*[1]SETTINGS!$C$32,0)),"")</f>
        <v/>
      </c>
      <c r="BS63" s="62" t="str">
        <f t="shared" si="25"/>
        <v/>
      </c>
      <c r="BT63" s="64" t="str">
        <f t="shared" si="8"/>
        <v/>
      </c>
      <c r="BU63" s="65" t="str">
        <f t="shared" si="26"/>
        <v/>
      </c>
      <c r="BV63" s="72"/>
      <c r="BW63" s="63">
        <v>15</v>
      </c>
      <c r="BX63" s="63">
        <v>13</v>
      </c>
      <c r="BY63" s="63">
        <v>7</v>
      </c>
      <c r="BZ63" s="63">
        <v>12</v>
      </c>
      <c r="CA63" s="61">
        <f t="shared" si="27"/>
        <v>47</v>
      </c>
      <c r="CB63" s="62" t="str">
        <f>IFERROR(IF(CA63=0,"",ROUND((CA63/SUM([1]SETTINGS!$C$26:$C$29))*[1]SETTINGS!$C$30,0)),"")</f>
        <v/>
      </c>
      <c r="CC63" s="63">
        <v>41</v>
      </c>
      <c r="CD63" s="62" t="str">
        <f>IFERROR(IF(ISBLANK(CC63),"",ROUND((CC63/[1]SETTINGS!$C$31)*[1]SETTINGS!$C$32,0)),"")</f>
        <v/>
      </c>
      <c r="CE63" s="62" t="str">
        <f t="shared" si="28"/>
        <v/>
      </c>
      <c r="CF63" s="64" t="str">
        <f t="shared" si="9"/>
        <v/>
      </c>
      <c r="CG63" s="65" t="str">
        <f t="shared" si="29"/>
        <v/>
      </c>
      <c r="CH63" s="72"/>
      <c r="CI63" s="63">
        <v>15</v>
      </c>
      <c r="CJ63" s="63">
        <v>15</v>
      </c>
      <c r="CK63" s="63">
        <v>13</v>
      </c>
      <c r="CL63" s="63">
        <v>13</v>
      </c>
      <c r="CM63" s="61">
        <f t="shared" si="30"/>
        <v>56</v>
      </c>
      <c r="CN63" s="62" t="str">
        <f>IFERROR(IF(CM63=0,"",ROUND((CM63/SUM([1]SETTINGS!$C$26:$C$29))*[1]SETTINGS!$C$30,0)),"")</f>
        <v/>
      </c>
      <c r="CO63" s="63">
        <v>24</v>
      </c>
      <c r="CP63" s="62" t="str">
        <f>IFERROR(IF(ISBLANK(CO63),"",ROUND((CO63/[1]SETTINGS!$C$31)*[1]SETTINGS!$C$32,0)),"")</f>
        <v/>
      </c>
      <c r="CQ63" s="62" t="str">
        <f t="shared" si="31"/>
        <v/>
      </c>
      <c r="CR63" s="64" t="str">
        <f t="shared" si="10"/>
        <v/>
      </c>
      <c r="CS63" s="65" t="str">
        <f t="shared" si="32"/>
        <v/>
      </c>
      <c r="CT63" s="72"/>
      <c r="CU63" s="63">
        <v>14</v>
      </c>
      <c r="CV63" s="63">
        <v>12</v>
      </c>
      <c r="CW63" s="63">
        <v>14</v>
      </c>
      <c r="CX63" s="63">
        <v>10</v>
      </c>
      <c r="CY63" s="61">
        <f t="shared" si="33"/>
        <v>50</v>
      </c>
      <c r="CZ63" s="62" t="str">
        <f>IFERROR(IF(CY63=0,"",ROUND((CY63/SUM([1]SETTINGS!$C$26:$C$29))*[1]SETTINGS!$C$30,0)),"")</f>
        <v/>
      </c>
      <c r="DA63" s="63">
        <v>59</v>
      </c>
      <c r="DB63" s="62" t="str">
        <f>IFERROR(IF(ISBLANK(DA63),"",ROUND((DA63/[1]SETTINGS!$C$31)*[1]SETTINGS!$C$32,0)),"")</f>
        <v/>
      </c>
      <c r="DC63" s="62" t="str">
        <f t="shared" si="34"/>
        <v/>
      </c>
      <c r="DD63" s="64" t="str">
        <f t="shared" si="11"/>
        <v/>
      </c>
      <c r="DE63" s="65" t="str">
        <f t="shared" si="35"/>
        <v/>
      </c>
      <c r="DF63" s="64" t="str">
        <f t="shared" si="12"/>
        <v/>
      </c>
      <c r="DG63" s="64" t="str">
        <f>IFERROR(IF(AND(K63,W63,AI63,AU63,BG63,BS63,CE63,CQ63,DC63)="","",SUM(K63,W63,AI63,AU63,LARGE((BG63,BS63,CE63,CQ63,DC63),{1,2}))),"")</f>
        <v/>
      </c>
      <c r="DH63" s="64" t="str">
        <f>IFERROR(IF(AND(M63,Y63,AK63,AW63,,BI63,BU63,CG63,CS63,DE63)="","",SUM(M63,Y63,AK63,AW63,SMALL((BI63,BU63,CG63,CS63,DE63),{1,2}))),"")</f>
        <v/>
      </c>
      <c r="DI63" s="76" t="str">
        <f>IFERROR(pos&amp;IF(AND(MOD(ABS(18),100)&gt;10,MOD(ABS(pos),100)&lt;14),"th", CHOOSE(MOD(ABS(pos),10)+1,"th","st","nd","rd","th","th","th","th","th","th")),"")</f>
        <v/>
      </c>
      <c r="DJ63" s="15">
        <f>ROWS($B$12:$B63)</f>
        <v>52</v>
      </c>
      <c r="DK63" s="15">
        <f>IF($B63=[1]REPORT_CARD!$B$9,$DJ63,"")</f>
        <v>52</v>
      </c>
      <c r="DM63" s="74"/>
    </row>
    <row r="64" spans="1:117" ht="19.5" customHeight="1">
      <c r="A64" s="59" t="str">
        <f>IFERROR(IF(ISBLANK([1]PRIMARY_INFO!$A64),"",[1]PRIMARY_INFO!$A64),"")</f>
        <v/>
      </c>
      <c r="B64" s="59" t="str">
        <f>IFERROR(IF(ISBLANK([1]PRIMARY_INFO!$B64),"",[1]PRIMARY_INFO!$B64),"")</f>
        <v/>
      </c>
      <c r="C64" s="63">
        <v>15</v>
      </c>
      <c r="D64" s="63">
        <v>14</v>
      </c>
      <c r="E64" s="63">
        <v>9</v>
      </c>
      <c r="F64" s="63">
        <v>15</v>
      </c>
      <c r="G64" s="61">
        <f t="shared" si="36"/>
        <v>53</v>
      </c>
      <c r="H64" s="62" t="str">
        <f>IFERROR(IF(G64=0,"",ROUND((G64/SUM([1]SETTINGS!$C$26:$C$29))*[1]SETTINGS!$C$30,0)),"")</f>
        <v/>
      </c>
      <c r="I64" s="63">
        <v>23</v>
      </c>
      <c r="J64" s="62" t="str">
        <f>IFERROR(IF(ISBLANK(I64),"",ROUND((I64/[1]SETTINGS!$C$31)*[1]SETTINGS!$C$32,0)),"")</f>
        <v/>
      </c>
      <c r="K64" s="62" t="str">
        <f t="shared" si="13"/>
        <v/>
      </c>
      <c r="L64" s="64" t="str">
        <f t="shared" si="0"/>
        <v/>
      </c>
      <c r="M64" s="65" t="str">
        <f t="shared" si="14"/>
        <v/>
      </c>
      <c r="N64" s="66"/>
      <c r="O64" s="63">
        <v>5</v>
      </c>
      <c r="P64" s="63">
        <v>12</v>
      </c>
      <c r="Q64" s="63">
        <v>13</v>
      </c>
      <c r="R64" s="63">
        <v>5</v>
      </c>
      <c r="S64" s="61">
        <f t="shared" si="37"/>
        <v>35</v>
      </c>
      <c r="T64" s="62" t="str">
        <f>IFERROR(IF(S64=0,"",ROUND((S64/SUM([1]SETTINGS!$C$26:$C$29))*[1]SETTINGS!$C$30,0)),"")</f>
        <v/>
      </c>
      <c r="U64" s="63">
        <v>25</v>
      </c>
      <c r="V64" s="62" t="str">
        <f>IFERROR(IF(ISBLANK(U64),"",ROUND((U64/[1]SETTINGS!$C$31)*[1]SETTINGS!$C$32,0)),"")</f>
        <v/>
      </c>
      <c r="W64" s="62" t="str">
        <f t="shared" si="2"/>
        <v/>
      </c>
      <c r="X64" s="64" t="str">
        <f t="shared" si="3"/>
        <v/>
      </c>
      <c r="Y64" s="65" t="str">
        <f t="shared" si="4"/>
        <v/>
      </c>
      <c r="Z64" s="72"/>
      <c r="AA64" s="63">
        <v>7</v>
      </c>
      <c r="AB64" s="63">
        <v>10</v>
      </c>
      <c r="AC64" s="63">
        <v>10</v>
      </c>
      <c r="AD64" s="63">
        <v>9</v>
      </c>
      <c r="AE64" s="61">
        <f t="shared" si="15"/>
        <v>36</v>
      </c>
      <c r="AF64" s="62" t="str">
        <f>IFERROR(IF(AE64=0,"",ROUND((AE64/SUM([1]SETTINGS!$C$26:$C$29))*[1]SETTINGS!$C$30,0)),"")</f>
        <v/>
      </c>
      <c r="AG64" s="63">
        <v>32</v>
      </c>
      <c r="AH64" s="62" t="str">
        <f>IFERROR(IF(ISBLANK(AG64),"",ROUND((AG64/[1]SETTINGS!$C$31)*[1]SETTINGS!$C$32,0)),"")</f>
        <v/>
      </c>
      <c r="AI64" s="62" t="str">
        <f t="shared" si="16"/>
        <v/>
      </c>
      <c r="AJ64" s="64" t="str">
        <f t="shared" si="5"/>
        <v/>
      </c>
      <c r="AK64" s="75" t="str">
        <f t="shared" si="17"/>
        <v/>
      </c>
      <c r="AL64" s="72"/>
      <c r="AM64" s="63">
        <v>7</v>
      </c>
      <c r="AN64" s="63">
        <v>2</v>
      </c>
      <c r="AO64" s="63">
        <v>1</v>
      </c>
      <c r="AP64" s="63">
        <v>15</v>
      </c>
      <c r="AQ64" s="61">
        <f t="shared" si="18"/>
        <v>25</v>
      </c>
      <c r="AR64" s="62" t="str">
        <f>IFERROR(IF(AQ64=0,"",ROUND((AQ64/SUM([1]SETTINGS!$C$26:$C$29))*[1]SETTINGS!$C$30,0)),"")</f>
        <v/>
      </c>
      <c r="AS64" s="63">
        <v>19</v>
      </c>
      <c r="AT64" s="62" t="str">
        <f>IFERROR(IF(ISBLANK(AS64),"",ROUND((AS64/[1]SETTINGS!$C$31)*[1]SETTINGS!$C$32,0)),"")</f>
        <v/>
      </c>
      <c r="AU64" s="62" t="str">
        <f t="shared" si="19"/>
        <v/>
      </c>
      <c r="AV64" s="64" t="str">
        <f t="shared" si="6"/>
        <v/>
      </c>
      <c r="AW64" s="65" t="str">
        <f t="shared" si="20"/>
        <v/>
      </c>
      <c r="AX64" s="72"/>
      <c r="AY64" s="63">
        <v>13</v>
      </c>
      <c r="AZ64" s="63">
        <v>8</v>
      </c>
      <c r="BA64" s="63">
        <v>12</v>
      </c>
      <c r="BB64" s="63">
        <v>12</v>
      </c>
      <c r="BC64" s="61">
        <f t="shared" si="21"/>
        <v>45</v>
      </c>
      <c r="BD64" s="62" t="str">
        <f>IFERROR(IF(BC64=0,"",ROUND((BC64/SUM([1]SETTINGS!$C$26:$C$29))*[1]SETTINGS!$C$30,0)),"")</f>
        <v/>
      </c>
      <c r="BE64" s="63">
        <v>20</v>
      </c>
      <c r="BF64" s="62" t="str">
        <f>IFERROR(IF(ISBLANK(BE64),"",ROUND((BE64/[1]SETTINGS!$C$31)*[1]SETTINGS!$C$32,0)),"")</f>
        <v/>
      </c>
      <c r="BG64" s="62" t="str">
        <f t="shared" si="22"/>
        <v/>
      </c>
      <c r="BH64" s="64" t="str">
        <f t="shared" si="7"/>
        <v/>
      </c>
      <c r="BI64" s="75" t="str">
        <f t="shared" si="23"/>
        <v/>
      </c>
      <c r="BJ64" s="72"/>
      <c r="BK64" s="63">
        <v>11</v>
      </c>
      <c r="BL64" s="63">
        <v>6</v>
      </c>
      <c r="BM64" s="63">
        <v>3</v>
      </c>
      <c r="BN64" s="63">
        <v>15</v>
      </c>
      <c r="BO64" s="61">
        <f t="shared" si="24"/>
        <v>35</v>
      </c>
      <c r="BP64" s="62" t="str">
        <f>IFERROR(IF(BO64=0,"",ROUND((BO64/SUM([1]SETTINGS!$C$26:$C$29))*[1]SETTINGS!$C$30,0)),"")</f>
        <v/>
      </c>
      <c r="BQ64" s="63">
        <v>25</v>
      </c>
      <c r="BR64" s="62" t="str">
        <f>IFERROR(IF(ISBLANK(BQ64),"",ROUND((BQ64/[1]SETTINGS!$C$31)*[1]SETTINGS!$C$32,0)),"")</f>
        <v/>
      </c>
      <c r="BS64" s="62" t="str">
        <f t="shared" si="25"/>
        <v/>
      </c>
      <c r="BT64" s="64" t="str">
        <f t="shared" si="8"/>
        <v/>
      </c>
      <c r="BU64" s="65" t="str">
        <f t="shared" si="26"/>
        <v/>
      </c>
      <c r="BV64" s="72"/>
      <c r="BW64" s="63">
        <v>4</v>
      </c>
      <c r="BX64" s="63">
        <v>9</v>
      </c>
      <c r="BY64" s="63">
        <v>13</v>
      </c>
      <c r="BZ64" s="63">
        <v>10</v>
      </c>
      <c r="CA64" s="61">
        <f t="shared" si="27"/>
        <v>36</v>
      </c>
      <c r="CB64" s="62" t="str">
        <f>IFERROR(IF(CA64=0,"",ROUND((CA64/SUM([1]SETTINGS!$C$26:$C$29))*[1]SETTINGS!$C$30,0)),"")</f>
        <v/>
      </c>
      <c r="CC64" s="63">
        <v>19</v>
      </c>
      <c r="CD64" s="62" t="str">
        <f>IFERROR(IF(ISBLANK(CC64),"",ROUND((CC64/[1]SETTINGS!$C$31)*[1]SETTINGS!$C$32,0)),"")</f>
        <v/>
      </c>
      <c r="CE64" s="62" t="str">
        <f t="shared" si="28"/>
        <v/>
      </c>
      <c r="CF64" s="64" t="str">
        <f t="shared" si="9"/>
        <v/>
      </c>
      <c r="CG64" s="65" t="str">
        <f t="shared" si="29"/>
        <v/>
      </c>
      <c r="CH64" s="72"/>
      <c r="CI64" s="63">
        <v>9</v>
      </c>
      <c r="CJ64" s="63">
        <v>14</v>
      </c>
      <c r="CK64" s="63">
        <v>5</v>
      </c>
      <c r="CL64" s="63">
        <v>11</v>
      </c>
      <c r="CM64" s="61">
        <f t="shared" si="30"/>
        <v>39</v>
      </c>
      <c r="CN64" s="62" t="str">
        <f>IFERROR(IF(CM64=0,"",ROUND((CM64/SUM([1]SETTINGS!$C$26:$C$29))*[1]SETTINGS!$C$30,0)),"")</f>
        <v/>
      </c>
      <c r="CO64" s="63">
        <v>9</v>
      </c>
      <c r="CP64" s="62" t="str">
        <f>IFERROR(IF(ISBLANK(CO64),"",ROUND((CO64/[1]SETTINGS!$C$31)*[1]SETTINGS!$C$32,0)),"")</f>
        <v/>
      </c>
      <c r="CQ64" s="62" t="str">
        <f t="shared" si="31"/>
        <v/>
      </c>
      <c r="CR64" s="64" t="str">
        <f t="shared" si="10"/>
        <v/>
      </c>
      <c r="CS64" s="65" t="str">
        <f t="shared" si="32"/>
        <v/>
      </c>
      <c r="CT64" s="72"/>
      <c r="CU64" s="63">
        <v>6</v>
      </c>
      <c r="CV64" s="63">
        <v>6</v>
      </c>
      <c r="CW64" s="63">
        <v>6</v>
      </c>
      <c r="CX64" s="63">
        <v>6</v>
      </c>
      <c r="CY64" s="61">
        <f t="shared" si="33"/>
        <v>24</v>
      </c>
      <c r="CZ64" s="62" t="str">
        <f>IFERROR(IF(CY64=0,"",ROUND((CY64/SUM([1]SETTINGS!$C$26:$C$29))*[1]SETTINGS!$C$30,0)),"")</f>
        <v/>
      </c>
      <c r="DA64" s="63">
        <v>35</v>
      </c>
      <c r="DB64" s="62" t="str">
        <f>IFERROR(IF(ISBLANK(DA64),"",ROUND((DA64/[1]SETTINGS!$C$31)*[1]SETTINGS!$C$32,0)),"")</f>
        <v/>
      </c>
      <c r="DC64" s="62" t="str">
        <f t="shared" si="34"/>
        <v/>
      </c>
      <c r="DD64" s="64" t="str">
        <f t="shared" si="11"/>
        <v/>
      </c>
      <c r="DE64" s="65" t="str">
        <f t="shared" si="35"/>
        <v/>
      </c>
      <c r="DF64" s="64" t="str">
        <f t="shared" si="12"/>
        <v/>
      </c>
      <c r="DG64" s="64" t="str">
        <f>IFERROR(IF(AND(K64,W64,AI64,AU64,BG64,BS64,CE64,CQ64,DC64)="","",SUM(K64,W64,AI64,AU64,LARGE((BG64,BS64,CE64,CQ64,DC64),{1,2}))),"")</f>
        <v/>
      </c>
      <c r="DH64" s="64" t="str">
        <f>IFERROR(IF(AND(M64,Y64,AK64,AW64,,BI64,BU64,CG64,CS64,DE64)="","",SUM(M64,Y64,AK64,AW64,SMALL((BI64,BU64,CG64,CS64,DE64),{1,2}))),"")</f>
        <v/>
      </c>
      <c r="DI64" s="76" t="str">
        <f>IFERROR(pos&amp;IF(AND(MOD(ABS(18),100)&gt;10,MOD(ABS(pos),100)&lt;14),"th", CHOOSE(MOD(ABS(pos),10)+1,"th","st","nd","rd","th","th","th","th","th","th")),"")</f>
        <v/>
      </c>
      <c r="DJ64" s="15">
        <f>ROWS($B$12:$B64)</f>
        <v>53</v>
      </c>
      <c r="DK64" s="15">
        <f>IF($B64=[1]REPORT_CARD!$B$9,$DJ64,"")</f>
        <v>53</v>
      </c>
      <c r="DM64" s="74"/>
    </row>
    <row r="65" spans="1:117" ht="19.5" customHeight="1">
      <c r="A65" s="59" t="str">
        <f>IFERROR(IF(ISBLANK([1]PRIMARY_INFO!$A65),"",[1]PRIMARY_INFO!$A65),"")</f>
        <v/>
      </c>
      <c r="B65" s="59" t="str">
        <f>IFERROR(IF(ISBLANK([1]PRIMARY_INFO!$B65),"",[1]PRIMARY_INFO!$B65),"")</f>
        <v/>
      </c>
      <c r="C65" s="63">
        <v>15</v>
      </c>
      <c r="D65" s="63">
        <v>15</v>
      </c>
      <c r="E65" s="63">
        <v>10</v>
      </c>
      <c r="F65" s="63">
        <v>9</v>
      </c>
      <c r="G65" s="61">
        <f t="shared" si="36"/>
        <v>49</v>
      </c>
      <c r="H65" s="62" t="str">
        <f>IFERROR(IF(G65=0,"",ROUND((G65/SUM([1]SETTINGS!$C$26:$C$29))*[1]SETTINGS!$C$30,0)),"")</f>
        <v/>
      </c>
      <c r="I65" s="63">
        <v>56</v>
      </c>
      <c r="J65" s="62" t="str">
        <f>IFERROR(IF(ISBLANK(I65),"",ROUND((I65/[1]SETTINGS!$C$31)*[1]SETTINGS!$C$32,0)),"")</f>
        <v/>
      </c>
      <c r="K65" s="62" t="str">
        <f t="shared" si="13"/>
        <v/>
      </c>
      <c r="L65" s="64" t="str">
        <f t="shared" si="0"/>
        <v/>
      </c>
      <c r="M65" s="65" t="str">
        <f t="shared" si="14"/>
        <v/>
      </c>
      <c r="N65" s="66"/>
      <c r="O65" s="63">
        <v>10</v>
      </c>
      <c r="P65" s="63">
        <v>10</v>
      </c>
      <c r="Q65" s="63">
        <v>11</v>
      </c>
      <c r="R65" s="63">
        <v>11</v>
      </c>
      <c r="S65" s="61">
        <f t="shared" si="37"/>
        <v>42</v>
      </c>
      <c r="T65" s="62" t="str">
        <f>IFERROR(IF(S65=0,"",ROUND((S65/SUM([1]SETTINGS!$C$26:$C$29))*[1]SETTINGS!$C$30,0)),"")</f>
        <v/>
      </c>
      <c r="U65" s="63">
        <v>46</v>
      </c>
      <c r="V65" s="62" t="str">
        <f>IFERROR(IF(ISBLANK(U65),"",ROUND((U65/[1]SETTINGS!$C$31)*[1]SETTINGS!$C$32,0)),"")</f>
        <v/>
      </c>
      <c r="W65" s="62" t="str">
        <f t="shared" si="2"/>
        <v/>
      </c>
      <c r="X65" s="64" t="str">
        <f t="shared" si="3"/>
        <v/>
      </c>
      <c r="Y65" s="65" t="str">
        <f t="shared" si="4"/>
        <v/>
      </c>
      <c r="Z65" s="72"/>
      <c r="AA65" s="63">
        <v>12</v>
      </c>
      <c r="AB65" s="63">
        <v>12</v>
      </c>
      <c r="AC65" s="63">
        <v>12</v>
      </c>
      <c r="AD65" s="63">
        <v>14</v>
      </c>
      <c r="AE65" s="61">
        <f t="shared" si="15"/>
        <v>50</v>
      </c>
      <c r="AF65" s="62" t="str">
        <f>IFERROR(IF(AE65=0,"",ROUND((AE65/SUM([1]SETTINGS!$C$26:$C$29))*[1]SETTINGS!$C$30,0)),"")</f>
        <v/>
      </c>
      <c r="AG65" s="63">
        <v>65</v>
      </c>
      <c r="AH65" s="62" t="str">
        <f>IFERROR(IF(ISBLANK(AG65),"",ROUND((AG65/[1]SETTINGS!$C$31)*[1]SETTINGS!$C$32,0)),"")</f>
        <v/>
      </c>
      <c r="AI65" s="62" t="str">
        <f t="shared" si="16"/>
        <v/>
      </c>
      <c r="AJ65" s="64" t="str">
        <f t="shared" si="5"/>
        <v/>
      </c>
      <c r="AK65" s="75" t="str">
        <f t="shared" si="17"/>
        <v/>
      </c>
      <c r="AL65" s="72"/>
      <c r="AM65" s="63">
        <v>8</v>
      </c>
      <c r="AN65" s="63">
        <v>10</v>
      </c>
      <c r="AO65" s="63">
        <v>12</v>
      </c>
      <c r="AP65" s="63">
        <v>15</v>
      </c>
      <c r="AQ65" s="61">
        <f t="shared" si="18"/>
        <v>45</v>
      </c>
      <c r="AR65" s="62" t="str">
        <f>IFERROR(IF(AQ65=0,"",ROUND((AQ65/SUM([1]SETTINGS!$C$26:$C$29))*[1]SETTINGS!$C$30,0)),"")</f>
        <v/>
      </c>
      <c r="AS65" s="63">
        <v>39</v>
      </c>
      <c r="AT65" s="62" t="str">
        <f>IFERROR(IF(ISBLANK(AS65),"",ROUND((AS65/[1]SETTINGS!$C$31)*[1]SETTINGS!$C$32,0)),"")</f>
        <v/>
      </c>
      <c r="AU65" s="62" t="str">
        <f t="shared" si="19"/>
        <v/>
      </c>
      <c r="AV65" s="64" t="str">
        <f t="shared" si="6"/>
        <v/>
      </c>
      <c r="AW65" s="65" t="str">
        <f t="shared" si="20"/>
        <v/>
      </c>
      <c r="AX65" s="72"/>
      <c r="AY65" s="63">
        <v>13</v>
      </c>
      <c r="AZ65" s="63">
        <v>9</v>
      </c>
      <c r="BA65" s="63">
        <v>13</v>
      </c>
      <c r="BB65" s="63">
        <v>15</v>
      </c>
      <c r="BC65" s="61">
        <f t="shared" si="21"/>
        <v>50</v>
      </c>
      <c r="BD65" s="62" t="str">
        <f>IFERROR(IF(BC65=0,"",ROUND((BC65/SUM([1]SETTINGS!$C$26:$C$29))*[1]SETTINGS!$C$30,0)),"")</f>
        <v/>
      </c>
      <c r="BE65" s="63">
        <v>53</v>
      </c>
      <c r="BF65" s="62" t="str">
        <f>IFERROR(IF(ISBLANK(BE65),"",ROUND((BE65/[1]SETTINGS!$C$31)*[1]SETTINGS!$C$32,0)),"")</f>
        <v/>
      </c>
      <c r="BG65" s="62" t="str">
        <f t="shared" si="22"/>
        <v/>
      </c>
      <c r="BH65" s="64" t="str">
        <f t="shared" si="7"/>
        <v/>
      </c>
      <c r="BI65" s="75" t="str">
        <f t="shared" si="23"/>
        <v/>
      </c>
      <c r="BJ65" s="72"/>
      <c r="BK65" s="63">
        <v>14</v>
      </c>
      <c r="BL65" s="63">
        <v>15</v>
      </c>
      <c r="BM65" s="63">
        <v>5</v>
      </c>
      <c r="BN65" s="63">
        <v>15</v>
      </c>
      <c r="BO65" s="61">
        <f t="shared" si="24"/>
        <v>49</v>
      </c>
      <c r="BP65" s="62" t="str">
        <f>IFERROR(IF(BO65=0,"",ROUND((BO65/SUM([1]SETTINGS!$C$26:$C$29))*[1]SETTINGS!$C$30,0)),"")</f>
        <v/>
      </c>
      <c r="BQ65" s="63">
        <v>45</v>
      </c>
      <c r="BR65" s="62" t="str">
        <f>IFERROR(IF(ISBLANK(BQ65),"",ROUND((BQ65/[1]SETTINGS!$C$31)*[1]SETTINGS!$C$32,0)),"")</f>
        <v/>
      </c>
      <c r="BS65" s="62" t="str">
        <f t="shared" si="25"/>
        <v/>
      </c>
      <c r="BT65" s="64" t="str">
        <f t="shared" si="8"/>
        <v/>
      </c>
      <c r="BU65" s="65" t="str">
        <f t="shared" si="26"/>
        <v/>
      </c>
      <c r="BV65" s="72"/>
      <c r="BW65" s="63">
        <v>13</v>
      </c>
      <c r="BX65" s="63">
        <v>13</v>
      </c>
      <c r="BY65" s="63">
        <v>15</v>
      </c>
      <c r="BZ65" s="63">
        <v>15</v>
      </c>
      <c r="CA65" s="61">
        <f t="shared" si="27"/>
        <v>56</v>
      </c>
      <c r="CB65" s="62" t="str">
        <f>IFERROR(IF(CA65=0,"",ROUND((CA65/SUM([1]SETTINGS!$C$26:$C$29))*[1]SETTINGS!$C$30,0)),"")</f>
        <v/>
      </c>
      <c r="CC65" s="63">
        <v>76</v>
      </c>
      <c r="CD65" s="62" t="str">
        <f>IFERROR(IF(ISBLANK(CC65),"",ROUND((CC65/[1]SETTINGS!$C$31)*[1]SETTINGS!$C$32,0)),"")</f>
        <v/>
      </c>
      <c r="CE65" s="62" t="str">
        <f t="shared" si="28"/>
        <v/>
      </c>
      <c r="CF65" s="64" t="str">
        <f t="shared" si="9"/>
        <v/>
      </c>
      <c r="CG65" s="65" t="str">
        <f t="shared" si="29"/>
        <v/>
      </c>
      <c r="CH65" s="72"/>
      <c r="CI65" s="63">
        <v>13</v>
      </c>
      <c r="CJ65" s="63">
        <v>15</v>
      </c>
      <c r="CK65" s="63">
        <v>14</v>
      </c>
      <c r="CL65" s="63">
        <v>15</v>
      </c>
      <c r="CM65" s="61">
        <f t="shared" si="30"/>
        <v>57</v>
      </c>
      <c r="CN65" s="62" t="str">
        <f>IFERROR(IF(CM65=0,"",ROUND((CM65/SUM([1]SETTINGS!$C$26:$C$29))*[1]SETTINGS!$C$30,0)),"")</f>
        <v/>
      </c>
      <c r="CO65" s="63">
        <v>39</v>
      </c>
      <c r="CP65" s="62" t="str">
        <f>IFERROR(IF(ISBLANK(CO65),"",ROUND((CO65/[1]SETTINGS!$C$31)*[1]SETTINGS!$C$32,0)),"")</f>
        <v/>
      </c>
      <c r="CQ65" s="62" t="str">
        <f t="shared" si="31"/>
        <v/>
      </c>
      <c r="CR65" s="64" t="str">
        <f t="shared" si="10"/>
        <v/>
      </c>
      <c r="CS65" s="65" t="str">
        <f t="shared" si="32"/>
        <v/>
      </c>
      <c r="CT65" s="72"/>
      <c r="CU65" s="63">
        <v>13</v>
      </c>
      <c r="CV65" s="63">
        <v>15</v>
      </c>
      <c r="CW65" s="63">
        <v>12</v>
      </c>
      <c r="CX65" s="63">
        <v>13</v>
      </c>
      <c r="CY65" s="61">
        <f t="shared" si="33"/>
        <v>53</v>
      </c>
      <c r="CZ65" s="62" t="str">
        <f>IFERROR(IF(CY65=0,"",ROUND((CY65/SUM([1]SETTINGS!$C$26:$C$29))*[1]SETTINGS!$C$30,0)),"")</f>
        <v/>
      </c>
      <c r="DA65" s="63">
        <v>72</v>
      </c>
      <c r="DB65" s="62" t="str">
        <f>IFERROR(IF(ISBLANK(DA65),"",ROUND((DA65/[1]SETTINGS!$C$31)*[1]SETTINGS!$C$32,0)),"")</f>
        <v/>
      </c>
      <c r="DC65" s="62" t="str">
        <f t="shared" si="34"/>
        <v/>
      </c>
      <c r="DD65" s="64" t="str">
        <f t="shared" si="11"/>
        <v/>
      </c>
      <c r="DE65" s="65" t="str">
        <f t="shared" si="35"/>
        <v/>
      </c>
      <c r="DF65" s="64" t="str">
        <f t="shared" si="12"/>
        <v/>
      </c>
      <c r="DG65" s="64" t="str">
        <f>IFERROR(IF(AND(K65,W65,AI65,AU65,BG65,BS65,CE65,CQ65,DC65)="","",SUM(K65,W65,AI65,AU65,LARGE((BG65,BS65,CE65,CQ65,DC65),{1,2}))),"")</f>
        <v/>
      </c>
      <c r="DH65" s="64" t="str">
        <f>IFERROR(IF(AND(M65,Y65,AK65,AW65,,BI65,BU65,CG65,CS65,DE65)="","",SUM(M65,Y65,AK65,AW65,SMALL((BI65,BU65,CG65,CS65,DE65),{1,2}))),"")</f>
        <v/>
      </c>
      <c r="DI65" s="76" t="str">
        <f>IFERROR(pos&amp;IF(AND(MOD(ABS(18),100)&gt;10,MOD(ABS(pos),100)&lt;14),"th", CHOOSE(MOD(ABS(pos),10)+1,"th","st","nd","rd","th","th","th","th","th","th")),"")</f>
        <v/>
      </c>
      <c r="DJ65" s="15">
        <f>ROWS($B$12:$B65)</f>
        <v>54</v>
      </c>
      <c r="DK65" s="15">
        <f>IF($B65=[1]REPORT_CARD!$B$9,$DJ65,"")</f>
        <v>54</v>
      </c>
      <c r="DM65" s="74"/>
    </row>
    <row r="66" spans="1:117" ht="19.5" customHeight="1">
      <c r="A66" s="59" t="str">
        <f>IFERROR(IF(ISBLANK([1]PRIMARY_INFO!$A66),"",[1]PRIMARY_INFO!$A66),"")</f>
        <v/>
      </c>
      <c r="B66" s="59" t="str">
        <f>IFERROR(IF(ISBLANK([1]PRIMARY_INFO!$B66),"",[1]PRIMARY_INFO!$B66),"")</f>
        <v/>
      </c>
      <c r="C66" s="63">
        <v>15</v>
      </c>
      <c r="D66" s="63">
        <v>14</v>
      </c>
      <c r="E66" s="63">
        <v>10</v>
      </c>
      <c r="F66" s="63">
        <v>11</v>
      </c>
      <c r="G66" s="61">
        <f t="shared" si="36"/>
        <v>50</v>
      </c>
      <c r="H66" s="62" t="str">
        <f>IFERROR(IF(G66=0,"",ROUND((G66/SUM([1]SETTINGS!$C$26:$C$29))*[1]SETTINGS!$C$30,0)),"")</f>
        <v/>
      </c>
      <c r="I66" s="63">
        <v>63</v>
      </c>
      <c r="J66" s="62" t="str">
        <f>IFERROR(IF(ISBLANK(I66),"",ROUND((I66/[1]SETTINGS!$C$31)*[1]SETTINGS!$C$32,0)),"")</f>
        <v/>
      </c>
      <c r="K66" s="62" t="str">
        <f t="shared" si="13"/>
        <v/>
      </c>
      <c r="L66" s="64" t="str">
        <f t="shared" si="0"/>
        <v/>
      </c>
      <c r="M66" s="65" t="str">
        <f t="shared" si="14"/>
        <v/>
      </c>
      <c r="N66" s="66"/>
      <c r="O66" s="63">
        <v>7</v>
      </c>
      <c r="P66" s="63">
        <v>10</v>
      </c>
      <c r="Q66" s="63">
        <v>10</v>
      </c>
      <c r="R66" s="63">
        <v>12</v>
      </c>
      <c r="S66" s="61">
        <f t="shared" si="37"/>
        <v>39</v>
      </c>
      <c r="T66" s="62" t="str">
        <f>IFERROR(IF(S66=0,"",ROUND((S66/SUM([1]SETTINGS!$C$26:$C$29))*[1]SETTINGS!$C$30,0)),"")</f>
        <v/>
      </c>
      <c r="U66" s="63">
        <v>48</v>
      </c>
      <c r="V66" s="62" t="str">
        <f>IFERROR(IF(ISBLANK(U66),"",ROUND((U66/[1]SETTINGS!$C$31)*[1]SETTINGS!$C$32,0)),"")</f>
        <v/>
      </c>
      <c r="W66" s="62" t="str">
        <f t="shared" si="2"/>
        <v/>
      </c>
      <c r="X66" s="64" t="str">
        <f t="shared" si="3"/>
        <v/>
      </c>
      <c r="Y66" s="65" t="str">
        <f t="shared" si="4"/>
        <v/>
      </c>
      <c r="Z66" s="72"/>
      <c r="AA66" s="63">
        <v>14</v>
      </c>
      <c r="AB66" s="63">
        <v>12</v>
      </c>
      <c r="AC66" s="63">
        <v>12</v>
      </c>
      <c r="AD66" s="63">
        <v>15</v>
      </c>
      <c r="AE66" s="61">
        <f t="shared" si="15"/>
        <v>53</v>
      </c>
      <c r="AF66" s="62" t="str">
        <f>IFERROR(IF(AE66=0,"",ROUND((AE66/SUM([1]SETTINGS!$C$26:$C$29))*[1]SETTINGS!$C$30,0)),"")</f>
        <v/>
      </c>
      <c r="AG66" s="63">
        <v>67</v>
      </c>
      <c r="AH66" s="62" t="str">
        <f>IFERROR(IF(ISBLANK(AG66),"",ROUND((AG66/[1]SETTINGS!$C$31)*[1]SETTINGS!$C$32,0)),"")</f>
        <v/>
      </c>
      <c r="AI66" s="62" t="str">
        <f t="shared" si="16"/>
        <v/>
      </c>
      <c r="AJ66" s="64" t="str">
        <f t="shared" si="5"/>
        <v/>
      </c>
      <c r="AK66" s="75" t="str">
        <f t="shared" si="17"/>
        <v/>
      </c>
      <c r="AL66" s="72"/>
      <c r="AM66" s="63">
        <v>12</v>
      </c>
      <c r="AN66" s="63">
        <v>10</v>
      </c>
      <c r="AO66" s="63">
        <v>9</v>
      </c>
      <c r="AP66" s="63">
        <v>15</v>
      </c>
      <c r="AQ66" s="61">
        <f t="shared" si="18"/>
        <v>46</v>
      </c>
      <c r="AR66" s="62" t="str">
        <f>IFERROR(IF(AQ66=0,"",ROUND((AQ66/SUM([1]SETTINGS!$C$26:$C$29))*[1]SETTINGS!$C$30,0)),"")</f>
        <v/>
      </c>
      <c r="AS66" s="63">
        <v>40</v>
      </c>
      <c r="AT66" s="62" t="str">
        <f>IFERROR(IF(ISBLANK(AS66),"",ROUND((AS66/[1]SETTINGS!$C$31)*[1]SETTINGS!$C$32,0)),"")</f>
        <v/>
      </c>
      <c r="AU66" s="62" t="str">
        <f t="shared" si="19"/>
        <v/>
      </c>
      <c r="AV66" s="64" t="str">
        <f t="shared" si="6"/>
        <v/>
      </c>
      <c r="AW66" s="65" t="str">
        <f t="shared" si="20"/>
        <v/>
      </c>
      <c r="AX66" s="72"/>
      <c r="AY66" s="63">
        <v>12</v>
      </c>
      <c r="AZ66" s="63">
        <v>11</v>
      </c>
      <c r="BA66" s="63">
        <v>12</v>
      </c>
      <c r="BB66" s="63">
        <v>10</v>
      </c>
      <c r="BC66" s="61">
        <f t="shared" si="21"/>
        <v>45</v>
      </c>
      <c r="BD66" s="62" t="str">
        <f>IFERROR(IF(BC66=0,"",ROUND((BC66/SUM([1]SETTINGS!$C$26:$C$29))*[1]SETTINGS!$C$30,0)),"")</f>
        <v/>
      </c>
      <c r="BE66" s="63">
        <v>75</v>
      </c>
      <c r="BF66" s="62" t="str">
        <f>IFERROR(IF(ISBLANK(BE66),"",ROUND((BE66/[1]SETTINGS!$C$31)*[1]SETTINGS!$C$32,0)),"")</f>
        <v/>
      </c>
      <c r="BG66" s="62" t="str">
        <f t="shared" si="22"/>
        <v/>
      </c>
      <c r="BH66" s="64" t="str">
        <f t="shared" si="7"/>
        <v/>
      </c>
      <c r="BI66" s="75" t="str">
        <f t="shared" si="23"/>
        <v/>
      </c>
      <c r="BJ66" s="72"/>
      <c r="BK66" s="63">
        <v>12</v>
      </c>
      <c r="BL66" s="63">
        <v>14</v>
      </c>
      <c r="BM66" s="63">
        <v>3</v>
      </c>
      <c r="BN66" s="63">
        <v>15</v>
      </c>
      <c r="BO66" s="61">
        <f t="shared" si="24"/>
        <v>44</v>
      </c>
      <c r="BP66" s="62" t="str">
        <f>IFERROR(IF(BO66=0,"",ROUND((BO66/SUM([1]SETTINGS!$C$26:$C$29))*[1]SETTINGS!$C$30,0)),"")</f>
        <v/>
      </c>
      <c r="BQ66" s="63">
        <v>46</v>
      </c>
      <c r="BR66" s="62" t="str">
        <f>IFERROR(IF(ISBLANK(BQ66),"",ROUND((BQ66/[1]SETTINGS!$C$31)*[1]SETTINGS!$C$32,0)),"")</f>
        <v/>
      </c>
      <c r="BS66" s="62" t="str">
        <f t="shared" si="25"/>
        <v/>
      </c>
      <c r="BT66" s="64" t="str">
        <f t="shared" si="8"/>
        <v/>
      </c>
      <c r="BU66" s="65" t="str">
        <f t="shared" si="26"/>
        <v/>
      </c>
      <c r="BV66" s="72"/>
      <c r="BW66" s="63">
        <v>13</v>
      </c>
      <c r="BX66" s="63">
        <v>11</v>
      </c>
      <c r="BY66" s="63">
        <v>15</v>
      </c>
      <c r="BZ66" s="63">
        <v>5</v>
      </c>
      <c r="CA66" s="61">
        <f t="shared" si="27"/>
        <v>44</v>
      </c>
      <c r="CB66" s="62" t="str">
        <f>IFERROR(IF(CA66=0,"",ROUND((CA66/SUM([1]SETTINGS!$C$26:$C$29))*[1]SETTINGS!$C$30,0)),"")</f>
        <v/>
      </c>
      <c r="CC66" s="63">
        <v>68</v>
      </c>
      <c r="CD66" s="62" t="str">
        <f>IFERROR(IF(ISBLANK(CC66),"",ROUND((CC66/[1]SETTINGS!$C$31)*[1]SETTINGS!$C$32,0)),"")</f>
        <v/>
      </c>
      <c r="CE66" s="62" t="str">
        <f t="shared" si="28"/>
        <v/>
      </c>
      <c r="CF66" s="64" t="str">
        <f t="shared" si="9"/>
        <v/>
      </c>
      <c r="CG66" s="65" t="str">
        <f t="shared" si="29"/>
        <v/>
      </c>
      <c r="CH66" s="72"/>
      <c r="CI66" s="63">
        <v>14</v>
      </c>
      <c r="CJ66" s="63">
        <v>15</v>
      </c>
      <c r="CK66" s="63">
        <v>10</v>
      </c>
      <c r="CL66" s="63">
        <v>15</v>
      </c>
      <c r="CM66" s="61">
        <f t="shared" si="30"/>
        <v>54</v>
      </c>
      <c r="CN66" s="62" t="str">
        <f>IFERROR(IF(CM66=0,"",ROUND((CM66/SUM([1]SETTINGS!$C$26:$C$29))*[1]SETTINGS!$C$30,0)),"")</f>
        <v/>
      </c>
      <c r="CO66" s="63">
        <v>44</v>
      </c>
      <c r="CP66" s="62" t="str">
        <f>IFERROR(IF(ISBLANK(CO66),"",ROUND((CO66/[1]SETTINGS!$C$31)*[1]SETTINGS!$C$32,0)),"")</f>
        <v/>
      </c>
      <c r="CQ66" s="62" t="str">
        <f t="shared" si="31"/>
        <v/>
      </c>
      <c r="CR66" s="64" t="str">
        <f t="shared" si="10"/>
        <v/>
      </c>
      <c r="CS66" s="65" t="str">
        <f t="shared" si="32"/>
        <v/>
      </c>
      <c r="CT66" s="72"/>
      <c r="CU66" s="63">
        <v>14</v>
      </c>
      <c r="CV66" s="63">
        <v>13</v>
      </c>
      <c r="CW66" s="63">
        <v>13</v>
      </c>
      <c r="CX66" s="63">
        <v>14</v>
      </c>
      <c r="CY66" s="61">
        <f t="shared" si="33"/>
        <v>54</v>
      </c>
      <c r="CZ66" s="62" t="str">
        <f>IFERROR(IF(CY66=0,"",ROUND((CY66/SUM([1]SETTINGS!$C$26:$C$29))*[1]SETTINGS!$C$30,0)),"")</f>
        <v/>
      </c>
      <c r="DA66" s="63">
        <v>51</v>
      </c>
      <c r="DB66" s="62" t="str">
        <f>IFERROR(IF(ISBLANK(DA66),"",ROUND((DA66/[1]SETTINGS!$C$31)*[1]SETTINGS!$C$32,0)),"")</f>
        <v/>
      </c>
      <c r="DC66" s="62" t="str">
        <f t="shared" si="34"/>
        <v/>
      </c>
      <c r="DD66" s="64" t="str">
        <f t="shared" si="11"/>
        <v/>
      </c>
      <c r="DE66" s="65" t="str">
        <f t="shared" si="35"/>
        <v/>
      </c>
      <c r="DF66" s="64" t="str">
        <f t="shared" si="12"/>
        <v/>
      </c>
      <c r="DG66" s="64" t="str">
        <f>IFERROR(IF(AND(K66,W66,AI66,AU66,BG66,BS66,CE66,CQ66,DC66)="","",SUM(K66,W66,AI66,AU66,LARGE((BG66,BS66,CE66,CQ66,DC66),{1,2}))),"")</f>
        <v/>
      </c>
      <c r="DH66" s="64" t="str">
        <f>IFERROR(IF(AND(M66,Y66,AK66,AW66,,BI66,BU66,CG66,CS66,DE66)="","",SUM(M66,Y66,AK66,AW66,SMALL((BI66,BU66,CG66,CS66,DE66),{1,2}))),"")</f>
        <v/>
      </c>
      <c r="DI66" s="76" t="str">
        <f>IFERROR(pos&amp;IF(AND(MOD(ABS(18),100)&gt;10,MOD(ABS(pos),100)&lt;14),"th", CHOOSE(MOD(ABS(pos),10)+1,"th","st","nd","rd","th","th","th","th","th","th")),"")</f>
        <v/>
      </c>
      <c r="DJ66" s="15">
        <f>ROWS($B$12:$B66)</f>
        <v>55</v>
      </c>
      <c r="DK66" s="15">
        <f>IF($B66=[1]REPORT_CARD!$B$9,$DJ66,"")</f>
        <v>55</v>
      </c>
      <c r="DM66" s="74"/>
    </row>
    <row r="67" spans="1:117" ht="19.5" customHeight="1">
      <c r="A67" s="59" t="str">
        <f>IFERROR(IF(ISBLANK([1]PRIMARY_INFO!$A67),"",[1]PRIMARY_INFO!$A67),"")</f>
        <v/>
      </c>
      <c r="B67" s="59" t="str">
        <f>IFERROR(IF(ISBLANK([1]PRIMARY_INFO!$B67),"",[1]PRIMARY_INFO!$B67),"")</f>
        <v/>
      </c>
      <c r="C67" s="63">
        <v>12</v>
      </c>
      <c r="D67" s="63">
        <v>13</v>
      </c>
      <c r="E67" s="63">
        <v>15</v>
      </c>
      <c r="F67" s="63">
        <v>10</v>
      </c>
      <c r="G67" s="61">
        <f t="shared" si="36"/>
        <v>50</v>
      </c>
      <c r="H67" s="62" t="str">
        <f>IFERROR(IF(G67=0,"",ROUND((G67/SUM([1]SETTINGS!$C$26:$C$29))*[1]SETTINGS!$C$30,0)),"")</f>
        <v/>
      </c>
      <c r="I67" s="63">
        <v>38</v>
      </c>
      <c r="J67" s="62" t="str">
        <f>IFERROR(IF(ISBLANK(I67),"",ROUND((I67/[1]SETTINGS!$C$31)*[1]SETTINGS!$C$32,0)),"")</f>
        <v/>
      </c>
      <c r="K67" s="62" t="str">
        <f t="shared" si="13"/>
        <v/>
      </c>
      <c r="L67" s="64" t="str">
        <f t="shared" si="0"/>
        <v/>
      </c>
      <c r="M67" s="65" t="str">
        <f t="shared" si="14"/>
        <v/>
      </c>
      <c r="N67" s="66"/>
      <c r="O67" s="63">
        <v>5</v>
      </c>
      <c r="P67" s="63">
        <v>13</v>
      </c>
      <c r="Q67" s="63">
        <v>5</v>
      </c>
      <c r="R67" s="63">
        <v>13</v>
      </c>
      <c r="S67" s="61">
        <f t="shared" si="37"/>
        <v>36</v>
      </c>
      <c r="T67" s="62" t="str">
        <f>IFERROR(IF(S67=0,"",ROUND((S67/SUM([1]SETTINGS!$C$26:$C$29))*[1]SETTINGS!$C$30,0)),"")</f>
        <v/>
      </c>
      <c r="U67" s="63">
        <v>32</v>
      </c>
      <c r="V67" s="62" t="str">
        <f>IFERROR(IF(ISBLANK(U67),"",ROUND((U67/[1]SETTINGS!$C$31)*[1]SETTINGS!$C$32,0)),"")</f>
        <v/>
      </c>
      <c r="W67" s="62" t="str">
        <f t="shared" si="2"/>
        <v/>
      </c>
      <c r="X67" s="64" t="str">
        <f t="shared" si="3"/>
        <v/>
      </c>
      <c r="Y67" s="65" t="str">
        <f t="shared" si="4"/>
        <v/>
      </c>
      <c r="Z67" s="72"/>
      <c r="AA67" s="63">
        <v>10</v>
      </c>
      <c r="AB67" s="63">
        <v>10</v>
      </c>
      <c r="AC67" s="63">
        <v>12</v>
      </c>
      <c r="AD67" s="63">
        <v>8</v>
      </c>
      <c r="AE67" s="61">
        <f t="shared" si="15"/>
        <v>40</v>
      </c>
      <c r="AF67" s="62" t="str">
        <f>IFERROR(IF(AE67=0,"",ROUND((AE67/SUM([1]SETTINGS!$C$26:$C$29))*[1]SETTINGS!$C$30,0)),"")</f>
        <v/>
      </c>
      <c r="AG67" s="63">
        <v>62</v>
      </c>
      <c r="AH67" s="62" t="str">
        <f>IFERROR(IF(ISBLANK(AG67),"",ROUND((AG67/[1]SETTINGS!$C$31)*[1]SETTINGS!$C$32,0)),"")</f>
        <v/>
      </c>
      <c r="AI67" s="62" t="str">
        <f t="shared" si="16"/>
        <v/>
      </c>
      <c r="AJ67" s="64" t="str">
        <f t="shared" si="5"/>
        <v/>
      </c>
      <c r="AK67" s="75" t="str">
        <f t="shared" si="17"/>
        <v/>
      </c>
      <c r="AL67" s="72"/>
      <c r="AM67" s="63">
        <v>12</v>
      </c>
      <c r="AN67" s="63">
        <v>11</v>
      </c>
      <c r="AO67" s="63">
        <v>10</v>
      </c>
      <c r="AP67" s="63">
        <v>15</v>
      </c>
      <c r="AQ67" s="61">
        <f t="shared" si="18"/>
        <v>48</v>
      </c>
      <c r="AR67" s="62" t="str">
        <f>IFERROR(IF(AQ67=0,"",ROUND((AQ67/SUM([1]SETTINGS!$C$26:$C$29))*[1]SETTINGS!$C$30,0)),"")</f>
        <v/>
      </c>
      <c r="AS67" s="63">
        <v>33</v>
      </c>
      <c r="AT67" s="62" t="str">
        <f>IFERROR(IF(ISBLANK(AS67),"",ROUND((AS67/[1]SETTINGS!$C$31)*[1]SETTINGS!$C$32,0)),"")</f>
        <v/>
      </c>
      <c r="AU67" s="62" t="str">
        <f t="shared" si="19"/>
        <v/>
      </c>
      <c r="AV67" s="64" t="str">
        <f t="shared" si="6"/>
        <v/>
      </c>
      <c r="AW67" s="65" t="str">
        <f t="shared" si="20"/>
        <v/>
      </c>
      <c r="AX67" s="72"/>
      <c r="AY67" s="63">
        <v>13</v>
      </c>
      <c r="AZ67" s="63">
        <v>10</v>
      </c>
      <c r="BA67" s="63">
        <v>8</v>
      </c>
      <c r="BB67" s="63">
        <v>10</v>
      </c>
      <c r="BC67" s="61">
        <f t="shared" si="21"/>
        <v>41</v>
      </c>
      <c r="BD67" s="62" t="str">
        <f>IFERROR(IF(BC67=0,"",ROUND((BC67/SUM([1]SETTINGS!$C$26:$C$29))*[1]SETTINGS!$C$30,0)),"")</f>
        <v/>
      </c>
      <c r="BE67" s="63">
        <v>43</v>
      </c>
      <c r="BF67" s="62" t="str">
        <f>IFERROR(IF(ISBLANK(BE67),"",ROUND((BE67/[1]SETTINGS!$C$31)*[1]SETTINGS!$C$32,0)),"")</f>
        <v/>
      </c>
      <c r="BG67" s="62" t="str">
        <f t="shared" si="22"/>
        <v/>
      </c>
      <c r="BH67" s="64" t="str">
        <f t="shared" si="7"/>
        <v/>
      </c>
      <c r="BI67" s="75" t="str">
        <f t="shared" si="23"/>
        <v/>
      </c>
      <c r="BJ67" s="72"/>
      <c r="BK67" s="63">
        <v>7</v>
      </c>
      <c r="BL67" s="63">
        <v>3</v>
      </c>
      <c r="BM67" s="63">
        <v>8</v>
      </c>
      <c r="BN67" s="63">
        <v>15</v>
      </c>
      <c r="BO67" s="61">
        <f t="shared" si="24"/>
        <v>33</v>
      </c>
      <c r="BP67" s="62" t="str">
        <f>IFERROR(IF(BO67=0,"",ROUND((BO67/SUM([1]SETTINGS!$C$26:$C$29))*[1]SETTINGS!$C$30,0)),"")</f>
        <v/>
      </c>
      <c r="BQ67" s="63">
        <v>34</v>
      </c>
      <c r="BR67" s="62" t="str">
        <f>IFERROR(IF(ISBLANK(BQ67),"",ROUND((BQ67/[1]SETTINGS!$C$31)*[1]SETTINGS!$C$32,0)),"")</f>
        <v/>
      </c>
      <c r="BS67" s="62" t="str">
        <f t="shared" si="25"/>
        <v/>
      </c>
      <c r="BT67" s="64" t="str">
        <f t="shared" si="8"/>
        <v/>
      </c>
      <c r="BU67" s="65" t="str">
        <f t="shared" si="26"/>
        <v/>
      </c>
      <c r="BV67" s="72"/>
      <c r="BW67" s="63">
        <v>10</v>
      </c>
      <c r="BX67" s="63">
        <v>12</v>
      </c>
      <c r="BY67" s="63">
        <v>15</v>
      </c>
      <c r="BZ67" s="63">
        <v>5</v>
      </c>
      <c r="CA67" s="61">
        <f t="shared" si="27"/>
        <v>42</v>
      </c>
      <c r="CB67" s="62" t="str">
        <f>IFERROR(IF(CA67=0,"",ROUND((CA67/SUM([1]SETTINGS!$C$26:$C$29))*[1]SETTINGS!$C$30,0)),"")</f>
        <v/>
      </c>
      <c r="CC67" s="63">
        <v>58</v>
      </c>
      <c r="CD67" s="62" t="str">
        <f>IFERROR(IF(ISBLANK(CC67),"",ROUND((CC67/[1]SETTINGS!$C$31)*[1]SETTINGS!$C$32,0)),"")</f>
        <v/>
      </c>
      <c r="CE67" s="62" t="str">
        <f t="shared" si="28"/>
        <v/>
      </c>
      <c r="CF67" s="64" t="str">
        <f t="shared" si="9"/>
        <v/>
      </c>
      <c r="CG67" s="65" t="str">
        <f t="shared" si="29"/>
        <v/>
      </c>
      <c r="CH67" s="72"/>
      <c r="CI67" s="63">
        <v>15</v>
      </c>
      <c r="CJ67" s="63">
        <v>13</v>
      </c>
      <c r="CK67" s="63">
        <v>13</v>
      </c>
      <c r="CL67" s="63">
        <v>12</v>
      </c>
      <c r="CM67" s="61">
        <f t="shared" si="30"/>
        <v>53</v>
      </c>
      <c r="CN67" s="62" t="str">
        <f>IFERROR(IF(CM67=0,"",ROUND((CM67/SUM([1]SETTINGS!$C$26:$C$29))*[1]SETTINGS!$C$30,0)),"")</f>
        <v/>
      </c>
      <c r="CO67" s="63">
        <v>26</v>
      </c>
      <c r="CP67" s="62" t="str">
        <f>IFERROR(IF(ISBLANK(CO67),"",ROUND((CO67/[1]SETTINGS!$C$31)*[1]SETTINGS!$C$32,0)),"")</f>
        <v/>
      </c>
      <c r="CQ67" s="62" t="str">
        <f t="shared" si="31"/>
        <v/>
      </c>
      <c r="CR67" s="64" t="str">
        <f t="shared" si="10"/>
        <v/>
      </c>
      <c r="CS67" s="65" t="str">
        <f t="shared" si="32"/>
        <v/>
      </c>
      <c r="CT67" s="72"/>
      <c r="CU67" s="63">
        <v>13</v>
      </c>
      <c r="CV67" s="63">
        <v>9</v>
      </c>
      <c r="CW67" s="63">
        <v>6</v>
      </c>
      <c r="CX67" s="63">
        <v>0</v>
      </c>
      <c r="CY67" s="61">
        <f t="shared" si="33"/>
        <v>28</v>
      </c>
      <c r="CZ67" s="62" t="str">
        <f>IFERROR(IF(CY67=0,"",ROUND((CY67/SUM([1]SETTINGS!$C$26:$C$29))*[1]SETTINGS!$C$30,0)),"")</f>
        <v/>
      </c>
      <c r="DA67" s="63">
        <v>24</v>
      </c>
      <c r="DB67" s="62" t="str">
        <f>IFERROR(IF(ISBLANK(DA67),"",ROUND((DA67/[1]SETTINGS!$C$31)*[1]SETTINGS!$C$32,0)),"")</f>
        <v/>
      </c>
      <c r="DC67" s="62" t="str">
        <f t="shared" si="34"/>
        <v/>
      </c>
      <c r="DD67" s="64" t="str">
        <f t="shared" si="11"/>
        <v/>
      </c>
      <c r="DE67" s="65" t="str">
        <f t="shared" si="35"/>
        <v/>
      </c>
      <c r="DF67" s="64" t="str">
        <f t="shared" si="12"/>
        <v/>
      </c>
      <c r="DG67" s="64" t="str">
        <f>IFERROR(IF(AND(K67,W67,AI67,AU67,BG67,BS67,CE67,CQ67,DC67)="","",SUM(K67,W67,AI67,AU67,LARGE((BG67,BS67,CE67,CQ67,DC67),{1,2}))),"")</f>
        <v/>
      </c>
      <c r="DH67" s="64" t="str">
        <f>IFERROR(IF(AND(M67,Y67,AK67,AW67,,BI67,BU67,CG67,CS67,DE67)="","",SUM(M67,Y67,AK67,AW67,SMALL((BI67,BU67,CG67,CS67,DE67),{1,2}))),"")</f>
        <v/>
      </c>
      <c r="DI67" s="76" t="str">
        <f>IFERROR(pos&amp;IF(AND(MOD(ABS(18),100)&gt;10,MOD(ABS(pos),100)&lt;14),"th", CHOOSE(MOD(ABS(pos),10)+1,"th","st","nd","rd","th","th","th","th","th","th")),"")</f>
        <v/>
      </c>
      <c r="DJ67" s="15">
        <f>ROWS($B$12:$B67)</f>
        <v>56</v>
      </c>
      <c r="DK67" s="15">
        <f>IF($B67=[1]REPORT_CARD!$B$9,$DJ67,"")</f>
        <v>56</v>
      </c>
      <c r="DM67" s="74"/>
    </row>
    <row r="68" spans="1:117" ht="19.5" customHeight="1">
      <c r="A68" s="59" t="str">
        <f>IFERROR(IF(ISBLANK([1]PRIMARY_INFO!$A68),"",[1]PRIMARY_INFO!$A68),"")</f>
        <v/>
      </c>
      <c r="B68" s="59" t="str">
        <f>IFERROR(IF(ISBLANK([1]PRIMARY_INFO!$B68),"",[1]PRIMARY_INFO!$B68),"")</f>
        <v/>
      </c>
      <c r="C68" s="63">
        <v>9</v>
      </c>
      <c r="D68" s="63">
        <v>15</v>
      </c>
      <c r="E68" s="63">
        <v>14</v>
      </c>
      <c r="F68" s="63">
        <v>12</v>
      </c>
      <c r="G68" s="61">
        <f t="shared" si="36"/>
        <v>50</v>
      </c>
      <c r="H68" s="62" t="str">
        <f>IFERROR(IF(G68=0,"",ROUND((G68/SUM([1]SETTINGS!$C$26:$C$29))*[1]SETTINGS!$C$30,0)),"")</f>
        <v/>
      </c>
      <c r="I68" s="63">
        <v>58</v>
      </c>
      <c r="J68" s="62" t="str">
        <f>IFERROR(IF(ISBLANK(I68),"",ROUND((I68/[1]SETTINGS!$C$31)*[1]SETTINGS!$C$32,0)),"")</f>
        <v/>
      </c>
      <c r="K68" s="62" t="str">
        <f t="shared" si="13"/>
        <v/>
      </c>
      <c r="L68" s="64" t="str">
        <f t="shared" si="0"/>
        <v/>
      </c>
      <c r="M68" s="65" t="str">
        <f t="shared" si="14"/>
        <v/>
      </c>
      <c r="N68" s="66"/>
      <c r="O68" s="63">
        <v>7</v>
      </c>
      <c r="P68" s="63">
        <v>13</v>
      </c>
      <c r="Q68" s="63">
        <v>13</v>
      </c>
      <c r="R68" s="63">
        <v>12</v>
      </c>
      <c r="S68" s="61">
        <f t="shared" si="37"/>
        <v>45</v>
      </c>
      <c r="T68" s="62" t="str">
        <f>IFERROR(IF(S68=0,"",ROUND((S68/SUM([1]SETTINGS!$C$26:$C$29))*[1]SETTINGS!$C$30,0)),"")</f>
        <v/>
      </c>
      <c r="U68" s="63">
        <v>51</v>
      </c>
      <c r="V68" s="62" t="str">
        <f>IFERROR(IF(ISBLANK(U68),"",ROUND((U68/[1]SETTINGS!$C$31)*[1]SETTINGS!$C$32,0)),"")</f>
        <v/>
      </c>
      <c r="W68" s="62" t="str">
        <f t="shared" si="2"/>
        <v/>
      </c>
      <c r="X68" s="64" t="str">
        <f t="shared" si="3"/>
        <v/>
      </c>
      <c r="Y68" s="65" t="str">
        <f t="shared" si="4"/>
        <v/>
      </c>
      <c r="Z68" s="72"/>
      <c r="AA68" s="63">
        <v>12</v>
      </c>
      <c r="AB68" s="63">
        <v>10</v>
      </c>
      <c r="AC68" s="63">
        <v>10</v>
      </c>
      <c r="AD68" s="63">
        <v>13</v>
      </c>
      <c r="AE68" s="61">
        <f t="shared" si="15"/>
        <v>45</v>
      </c>
      <c r="AF68" s="62" t="str">
        <f>IFERROR(IF(AE68=0,"",ROUND((AE68/SUM([1]SETTINGS!$C$26:$C$29))*[1]SETTINGS!$C$30,0)),"")</f>
        <v/>
      </c>
      <c r="AG68" s="63">
        <v>49</v>
      </c>
      <c r="AH68" s="62" t="str">
        <f>IFERROR(IF(ISBLANK(AG68),"",ROUND((AG68/[1]SETTINGS!$C$31)*[1]SETTINGS!$C$32,0)),"")</f>
        <v/>
      </c>
      <c r="AI68" s="62" t="str">
        <f t="shared" si="16"/>
        <v/>
      </c>
      <c r="AJ68" s="64" t="str">
        <f t="shared" si="5"/>
        <v/>
      </c>
      <c r="AK68" s="75" t="str">
        <f t="shared" si="17"/>
        <v/>
      </c>
      <c r="AL68" s="72"/>
      <c r="AM68" s="63">
        <v>14</v>
      </c>
      <c r="AN68" s="63">
        <v>12</v>
      </c>
      <c r="AO68" s="63">
        <v>11</v>
      </c>
      <c r="AP68" s="63">
        <v>14</v>
      </c>
      <c r="AQ68" s="61">
        <f t="shared" si="18"/>
        <v>51</v>
      </c>
      <c r="AR68" s="62" t="str">
        <f>IFERROR(IF(AQ68=0,"",ROUND((AQ68/SUM([1]SETTINGS!$C$26:$C$29))*[1]SETTINGS!$C$30,0)),"")</f>
        <v/>
      </c>
      <c r="AS68" s="63">
        <v>44</v>
      </c>
      <c r="AT68" s="62" t="str">
        <f>IFERROR(IF(ISBLANK(AS68),"",ROUND((AS68/[1]SETTINGS!$C$31)*[1]SETTINGS!$C$32,0)),"")</f>
        <v/>
      </c>
      <c r="AU68" s="62" t="str">
        <f t="shared" si="19"/>
        <v/>
      </c>
      <c r="AV68" s="64" t="str">
        <f t="shared" si="6"/>
        <v/>
      </c>
      <c r="AW68" s="65" t="str">
        <f t="shared" si="20"/>
        <v/>
      </c>
      <c r="AX68" s="72"/>
      <c r="AY68" s="63">
        <v>12</v>
      </c>
      <c r="AZ68" s="63">
        <v>10</v>
      </c>
      <c r="BA68" s="63">
        <v>10</v>
      </c>
      <c r="BB68" s="63">
        <v>11</v>
      </c>
      <c r="BC68" s="61">
        <f t="shared" si="21"/>
        <v>43</v>
      </c>
      <c r="BD68" s="62" t="str">
        <f>IFERROR(IF(BC68=0,"",ROUND((BC68/SUM([1]SETTINGS!$C$26:$C$29))*[1]SETTINGS!$C$30,0)),"")</f>
        <v/>
      </c>
      <c r="BE68" s="63">
        <v>76</v>
      </c>
      <c r="BF68" s="62" t="str">
        <f>IFERROR(IF(ISBLANK(BE68),"",ROUND((BE68/[1]SETTINGS!$C$31)*[1]SETTINGS!$C$32,0)),"")</f>
        <v/>
      </c>
      <c r="BG68" s="62" t="str">
        <f t="shared" si="22"/>
        <v/>
      </c>
      <c r="BH68" s="64" t="str">
        <f t="shared" si="7"/>
        <v/>
      </c>
      <c r="BI68" s="75" t="str">
        <f t="shared" si="23"/>
        <v/>
      </c>
      <c r="BJ68" s="72"/>
      <c r="BK68" s="63">
        <v>10</v>
      </c>
      <c r="BL68" s="63">
        <v>15</v>
      </c>
      <c r="BM68" s="63">
        <v>1</v>
      </c>
      <c r="BN68" s="63">
        <v>15</v>
      </c>
      <c r="BO68" s="61">
        <f t="shared" si="24"/>
        <v>41</v>
      </c>
      <c r="BP68" s="62" t="str">
        <f>IFERROR(IF(BO68=0,"",ROUND((BO68/SUM([1]SETTINGS!$C$26:$C$29))*[1]SETTINGS!$C$30,0)),"")</f>
        <v/>
      </c>
      <c r="BQ68" s="63">
        <v>34</v>
      </c>
      <c r="BR68" s="62" t="str">
        <f>IFERROR(IF(ISBLANK(BQ68),"",ROUND((BQ68/[1]SETTINGS!$C$31)*[1]SETTINGS!$C$32,0)),"")</f>
        <v/>
      </c>
      <c r="BS68" s="62" t="str">
        <f t="shared" si="25"/>
        <v/>
      </c>
      <c r="BT68" s="64" t="str">
        <f t="shared" si="8"/>
        <v/>
      </c>
      <c r="BU68" s="65" t="str">
        <f t="shared" si="26"/>
        <v/>
      </c>
      <c r="BV68" s="72"/>
      <c r="BW68" s="63">
        <v>9</v>
      </c>
      <c r="BX68" s="63">
        <v>2</v>
      </c>
      <c r="BY68" s="63">
        <v>10</v>
      </c>
      <c r="BZ68" s="63">
        <v>13</v>
      </c>
      <c r="CA68" s="61">
        <f t="shared" si="27"/>
        <v>34</v>
      </c>
      <c r="CB68" s="62" t="str">
        <f>IFERROR(IF(CA68=0,"",ROUND((CA68/SUM([1]SETTINGS!$C$26:$C$29))*[1]SETTINGS!$C$30,0)),"")</f>
        <v/>
      </c>
      <c r="CC68" s="63">
        <v>64</v>
      </c>
      <c r="CD68" s="62" t="str">
        <f>IFERROR(IF(ISBLANK(CC68),"",ROUND((CC68/[1]SETTINGS!$C$31)*[1]SETTINGS!$C$32,0)),"")</f>
        <v/>
      </c>
      <c r="CE68" s="62" t="str">
        <f t="shared" si="28"/>
        <v/>
      </c>
      <c r="CF68" s="64" t="str">
        <f t="shared" si="9"/>
        <v/>
      </c>
      <c r="CG68" s="65" t="str">
        <f t="shared" si="29"/>
        <v/>
      </c>
      <c r="CH68" s="72"/>
      <c r="CI68" s="78">
        <v>10</v>
      </c>
      <c r="CJ68" s="78">
        <v>15</v>
      </c>
      <c r="CK68" s="78">
        <v>12</v>
      </c>
      <c r="CL68" s="78">
        <v>15</v>
      </c>
      <c r="CM68" s="61">
        <f t="shared" si="30"/>
        <v>52</v>
      </c>
      <c r="CN68" s="62" t="str">
        <f>IFERROR(IF(CM68=0,"",ROUND((CM68/SUM([1]SETTINGS!$C$26:$C$29))*[1]SETTINGS!$C$30,0)),"")</f>
        <v/>
      </c>
      <c r="CO68" s="63">
        <v>45</v>
      </c>
      <c r="CP68" s="62" t="str">
        <f>IFERROR(IF(ISBLANK(CO68),"",ROUND((CO68/[1]SETTINGS!$C$31)*[1]SETTINGS!$C$32,0)),"")</f>
        <v/>
      </c>
      <c r="CQ68" s="62" t="str">
        <f t="shared" si="31"/>
        <v/>
      </c>
      <c r="CR68" s="64" t="str">
        <f t="shared" si="10"/>
        <v/>
      </c>
      <c r="CS68" s="65" t="str">
        <f t="shared" si="32"/>
        <v/>
      </c>
      <c r="CT68" s="72"/>
      <c r="CU68" s="63">
        <v>9</v>
      </c>
      <c r="CV68" s="63">
        <v>5</v>
      </c>
      <c r="CW68" s="63">
        <v>8</v>
      </c>
      <c r="CX68" s="63">
        <v>12</v>
      </c>
      <c r="CY68" s="61">
        <f t="shared" si="33"/>
        <v>34</v>
      </c>
      <c r="CZ68" s="62" t="str">
        <f>IFERROR(IF(CY68=0,"",ROUND((CY68/SUM([1]SETTINGS!$C$26:$C$29))*[1]SETTINGS!$C$30,0)),"")</f>
        <v/>
      </c>
      <c r="DA68" s="63">
        <v>27</v>
      </c>
      <c r="DB68" s="62" t="str">
        <f>IFERROR(IF(ISBLANK(DA68),"",ROUND((DA68/[1]SETTINGS!$C$31)*[1]SETTINGS!$C$32,0)),"")</f>
        <v/>
      </c>
      <c r="DC68" s="62" t="str">
        <f t="shared" si="34"/>
        <v/>
      </c>
      <c r="DD68" s="64" t="str">
        <f t="shared" si="11"/>
        <v/>
      </c>
      <c r="DE68" s="65" t="str">
        <f t="shared" si="35"/>
        <v/>
      </c>
      <c r="DF68" s="64" t="str">
        <f t="shared" si="12"/>
        <v/>
      </c>
      <c r="DG68" s="64" t="str">
        <f>IFERROR(IF(AND(K68,W68,AI68,AU68,BG68,BS68,CE68,CQ68,DC68)="","",SUM(K68,W68,AI68,AU68,LARGE((BG68,BS68,CE68,CQ68,DC68),{1,2}))),"")</f>
        <v/>
      </c>
      <c r="DH68" s="64" t="str">
        <f>IFERROR(IF(AND(M68,Y68,AK68,AW68,,BI68,BU68,CG68,CS68,DE68)="","",SUM(M68,Y68,AK68,AW68,SMALL((BI68,BU68,CG68,CS68,DE68),{1,2}))),"")</f>
        <v/>
      </c>
      <c r="DI68" s="76" t="str">
        <f>IFERROR(pos&amp;IF(AND(MOD(ABS(18),100)&gt;10,MOD(ABS(pos),100)&lt;14),"th", CHOOSE(MOD(ABS(pos),10)+1,"th","st","nd","rd","th","th","th","th","th","th")),"")</f>
        <v/>
      </c>
      <c r="DJ68" s="15">
        <f>ROWS($B$12:$B68)</f>
        <v>57</v>
      </c>
      <c r="DK68" s="15">
        <f>IF($B68=[1]REPORT_CARD!$B$9,$DJ68,"")</f>
        <v>57</v>
      </c>
      <c r="DM68" s="74"/>
    </row>
    <row r="69" spans="1:117" ht="19.5" customHeight="1">
      <c r="A69" s="59" t="str">
        <f>IFERROR(IF(ISBLANK([1]PRIMARY_INFO!$A69),"",[1]PRIMARY_INFO!$A69),"")</f>
        <v/>
      </c>
      <c r="B69" s="59" t="str">
        <f>IFERROR(IF(ISBLANK([1]PRIMARY_INFO!$B69),"",[1]PRIMARY_INFO!$B69),"")</f>
        <v/>
      </c>
      <c r="C69" s="63">
        <v>14</v>
      </c>
      <c r="D69" s="63">
        <v>10</v>
      </c>
      <c r="E69" s="63">
        <v>10</v>
      </c>
      <c r="F69" s="63">
        <v>9</v>
      </c>
      <c r="G69" s="61">
        <f t="shared" si="36"/>
        <v>43</v>
      </c>
      <c r="H69" s="62" t="str">
        <f>IFERROR(IF(G69=0,"",ROUND((G69/SUM([1]SETTINGS!$C$26:$C$29))*[1]SETTINGS!$C$30,0)),"")</f>
        <v/>
      </c>
      <c r="I69" s="63">
        <v>43</v>
      </c>
      <c r="J69" s="62" t="str">
        <f>IFERROR(IF(ISBLANK(I69),"",ROUND((I69/[1]SETTINGS!$C$31)*[1]SETTINGS!$C$32,0)),"")</f>
        <v/>
      </c>
      <c r="K69" s="62" t="str">
        <f t="shared" si="13"/>
        <v/>
      </c>
      <c r="L69" s="64" t="str">
        <f t="shared" si="0"/>
        <v/>
      </c>
      <c r="M69" s="65" t="str">
        <f t="shared" si="14"/>
        <v/>
      </c>
      <c r="N69" s="66"/>
      <c r="O69" s="63">
        <v>10</v>
      </c>
      <c r="P69" s="63">
        <v>14</v>
      </c>
      <c r="Q69" s="63">
        <v>8</v>
      </c>
      <c r="R69" s="63">
        <v>12</v>
      </c>
      <c r="S69" s="61">
        <f t="shared" si="37"/>
        <v>44</v>
      </c>
      <c r="T69" s="62" t="str">
        <f>IFERROR(IF(S69=0,"",ROUND((S69/SUM([1]SETTINGS!$C$26:$C$29))*[1]SETTINGS!$C$30,0)),"")</f>
        <v/>
      </c>
      <c r="U69" s="63">
        <v>46</v>
      </c>
      <c r="V69" s="62" t="str">
        <f>IFERROR(IF(ISBLANK(U69),"",ROUND((U69/[1]SETTINGS!$C$31)*[1]SETTINGS!$C$32,0)),"")</f>
        <v/>
      </c>
      <c r="W69" s="62" t="str">
        <f t="shared" si="2"/>
        <v/>
      </c>
      <c r="X69" s="64" t="str">
        <f t="shared" si="3"/>
        <v/>
      </c>
      <c r="Y69" s="65" t="str">
        <f t="shared" si="4"/>
        <v/>
      </c>
      <c r="Z69" s="72"/>
      <c r="AA69" s="63">
        <v>9</v>
      </c>
      <c r="AB69" s="63">
        <v>10</v>
      </c>
      <c r="AC69" s="63">
        <v>12</v>
      </c>
      <c r="AD69" s="63">
        <v>12</v>
      </c>
      <c r="AE69" s="61">
        <f t="shared" si="15"/>
        <v>43</v>
      </c>
      <c r="AF69" s="62" t="str">
        <f>IFERROR(IF(AE69=0,"",ROUND((AE69/SUM([1]SETTINGS!$C$26:$C$29))*[1]SETTINGS!$C$30,0)),"")</f>
        <v/>
      </c>
      <c r="AG69" s="63">
        <v>59</v>
      </c>
      <c r="AH69" s="62" t="str">
        <f>IFERROR(IF(ISBLANK(AG69),"",ROUND((AG69/[1]SETTINGS!$C$31)*[1]SETTINGS!$C$32,0)),"")</f>
        <v/>
      </c>
      <c r="AI69" s="62" t="str">
        <f t="shared" si="16"/>
        <v/>
      </c>
      <c r="AJ69" s="64" t="str">
        <f t="shared" si="5"/>
        <v/>
      </c>
      <c r="AK69" s="75" t="str">
        <f t="shared" si="17"/>
        <v/>
      </c>
      <c r="AL69" s="72"/>
      <c r="AM69" s="63">
        <v>10</v>
      </c>
      <c r="AN69" s="63">
        <v>7</v>
      </c>
      <c r="AO69" s="63">
        <v>12</v>
      </c>
      <c r="AP69" s="63">
        <v>15</v>
      </c>
      <c r="AQ69" s="61">
        <f t="shared" si="18"/>
        <v>44</v>
      </c>
      <c r="AR69" s="62" t="str">
        <f>IFERROR(IF(AQ69=0,"",ROUND((AQ69/SUM([1]SETTINGS!$C$26:$C$29))*[1]SETTINGS!$C$30,0)),"")</f>
        <v/>
      </c>
      <c r="AS69" s="63">
        <v>44</v>
      </c>
      <c r="AT69" s="62" t="str">
        <f>IFERROR(IF(ISBLANK(AS69),"",ROUND((AS69/[1]SETTINGS!$C$31)*[1]SETTINGS!$C$32,0)),"")</f>
        <v/>
      </c>
      <c r="AU69" s="62" t="str">
        <f t="shared" si="19"/>
        <v/>
      </c>
      <c r="AV69" s="64" t="str">
        <f t="shared" si="6"/>
        <v/>
      </c>
      <c r="AW69" s="65" t="str">
        <f t="shared" si="20"/>
        <v/>
      </c>
      <c r="AX69" s="72"/>
      <c r="AY69" s="63">
        <v>10</v>
      </c>
      <c r="AZ69" s="63">
        <v>12</v>
      </c>
      <c r="BA69" s="63">
        <v>11</v>
      </c>
      <c r="BB69" s="63">
        <v>12</v>
      </c>
      <c r="BC69" s="61">
        <f t="shared" si="21"/>
        <v>45</v>
      </c>
      <c r="BD69" s="62" t="str">
        <f>IFERROR(IF(BC69=0,"",ROUND((BC69/SUM([1]SETTINGS!$C$26:$C$29))*[1]SETTINGS!$C$30,0)),"")</f>
        <v/>
      </c>
      <c r="BE69" s="63">
        <v>66</v>
      </c>
      <c r="BF69" s="62" t="str">
        <f>IFERROR(IF(ISBLANK(BE69),"",ROUND((BE69/[1]SETTINGS!$C$31)*[1]SETTINGS!$C$32,0)),"")</f>
        <v/>
      </c>
      <c r="BG69" s="62" t="str">
        <f t="shared" si="22"/>
        <v/>
      </c>
      <c r="BH69" s="64" t="str">
        <f t="shared" si="7"/>
        <v/>
      </c>
      <c r="BI69" s="75" t="str">
        <f t="shared" si="23"/>
        <v/>
      </c>
      <c r="BJ69" s="72"/>
      <c r="BK69" s="63">
        <v>15</v>
      </c>
      <c r="BL69" s="63">
        <v>10</v>
      </c>
      <c r="BM69" s="63">
        <v>5</v>
      </c>
      <c r="BN69" s="63">
        <v>15</v>
      </c>
      <c r="BO69" s="61">
        <f t="shared" si="24"/>
        <v>45</v>
      </c>
      <c r="BP69" s="62" t="str">
        <f>IFERROR(IF(BO69=0,"",ROUND((BO69/SUM([1]SETTINGS!$C$26:$C$29))*[1]SETTINGS!$C$30,0)),"")</f>
        <v/>
      </c>
      <c r="BQ69" s="63">
        <v>51</v>
      </c>
      <c r="BR69" s="62" t="str">
        <f>IFERROR(IF(ISBLANK(BQ69),"",ROUND((BQ69/[1]SETTINGS!$C$31)*[1]SETTINGS!$C$32,0)),"")</f>
        <v/>
      </c>
      <c r="BS69" s="62" t="str">
        <f t="shared" si="25"/>
        <v/>
      </c>
      <c r="BT69" s="64" t="str">
        <f t="shared" si="8"/>
        <v/>
      </c>
      <c r="BU69" s="65" t="str">
        <f t="shared" si="26"/>
        <v/>
      </c>
      <c r="BV69" s="72"/>
      <c r="BW69" s="63">
        <v>15</v>
      </c>
      <c r="BX69" s="63">
        <v>12</v>
      </c>
      <c r="BY69" s="63">
        <v>11</v>
      </c>
      <c r="BZ69" s="63">
        <v>15</v>
      </c>
      <c r="CA69" s="61">
        <f t="shared" si="27"/>
        <v>53</v>
      </c>
      <c r="CB69" s="62" t="str">
        <f>IFERROR(IF(CA69=0,"",ROUND((CA69/SUM([1]SETTINGS!$C$26:$C$29))*[1]SETTINGS!$C$30,0)),"")</f>
        <v/>
      </c>
      <c r="CC69" s="63">
        <v>59</v>
      </c>
      <c r="CD69" s="62" t="str">
        <f>IFERROR(IF(ISBLANK(CC69),"",ROUND((CC69/[1]SETTINGS!$C$31)*[1]SETTINGS!$C$32,0)),"")</f>
        <v/>
      </c>
      <c r="CE69" s="62" t="str">
        <f t="shared" si="28"/>
        <v/>
      </c>
      <c r="CF69" s="64" t="str">
        <f t="shared" si="9"/>
        <v/>
      </c>
      <c r="CG69" s="65" t="str">
        <f t="shared" si="29"/>
        <v/>
      </c>
      <c r="CH69" s="72"/>
      <c r="CI69" s="78">
        <v>12</v>
      </c>
      <c r="CJ69" s="78">
        <v>15</v>
      </c>
      <c r="CK69" s="78">
        <v>12</v>
      </c>
      <c r="CL69" s="78">
        <v>15</v>
      </c>
      <c r="CM69" s="61">
        <f t="shared" si="30"/>
        <v>54</v>
      </c>
      <c r="CN69" s="62" t="str">
        <f>IFERROR(IF(CM69=0,"",ROUND((CM69/SUM([1]SETTINGS!$C$26:$C$29))*[1]SETTINGS!$C$30,0)),"")</f>
        <v/>
      </c>
      <c r="CO69" s="63">
        <v>56</v>
      </c>
      <c r="CP69" s="62" t="str">
        <f>IFERROR(IF(ISBLANK(CO69),"",ROUND((CO69/[1]SETTINGS!$C$31)*[1]SETTINGS!$C$32,0)),"")</f>
        <v/>
      </c>
      <c r="CQ69" s="62" t="str">
        <f t="shared" si="31"/>
        <v/>
      </c>
      <c r="CR69" s="64" t="str">
        <f t="shared" si="10"/>
        <v/>
      </c>
      <c r="CS69" s="65" t="str">
        <f t="shared" si="32"/>
        <v/>
      </c>
      <c r="CT69" s="72"/>
      <c r="CU69" s="63">
        <v>12</v>
      </c>
      <c r="CV69" s="63">
        <v>12</v>
      </c>
      <c r="CW69" s="63">
        <v>14</v>
      </c>
      <c r="CX69" s="63">
        <v>10</v>
      </c>
      <c r="CY69" s="61">
        <f t="shared" si="33"/>
        <v>48</v>
      </c>
      <c r="CZ69" s="62" t="str">
        <f>IFERROR(IF(CY69=0,"",ROUND((CY69/SUM([1]SETTINGS!$C$26:$C$29))*[1]SETTINGS!$C$30,0)),"")</f>
        <v/>
      </c>
      <c r="DA69" s="63">
        <v>54</v>
      </c>
      <c r="DB69" s="62" t="str">
        <f>IFERROR(IF(ISBLANK(DA69),"",ROUND((DA69/[1]SETTINGS!$C$31)*[1]SETTINGS!$C$32,0)),"")</f>
        <v/>
      </c>
      <c r="DC69" s="62" t="str">
        <f t="shared" si="34"/>
        <v/>
      </c>
      <c r="DD69" s="64" t="str">
        <f t="shared" si="11"/>
        <v/>
      </c>
      <c r="DE69" s="65" t="str">
        <f t="shared" si="35"/>
        <v/>
      </c>
      <c r="DF69" s="64" t="str">
        <f t="shared" si="12"/>
        <v/>
      </c>
      <c r="DG69" s="64" t="str">
        <f>IFERROR(IF(AND(K69,W69,AI69,AU69,BG69,BS69,CE69,CQ69,DC69)="","",SUM(K69,W69,AI69,AU69,LARGE((BG69,BS69,CE69,CQ69,DC69),{1,2}))),"")</f>
        <v/>
      </c>
      <c r="DH69" s="64" t="str">
        <f>IFERROR(IF(AND(M69,Y69,AK69,AW69,,BI69,BU69,CG69,CS69,DE69)="","",SUM(M69,Y69,AK69,AW69,SMALL((BI69,BU69,CG69,CS69,DE69),{1,2}))),"")</f>
        <v/>
      </c>
      <c r="DI69" s="76" t="str">
        <f>IFERROR(pos&amp;IF(AND(MOD(ABS(18),100)&gt;10,MOD(ABS(pos),100)&lt;14),"th", CHOOSE(MOD(ABS(pos),10)+1,"th","st","nd","rd","th","th","th","th","th","th")),"")</f>
        <v/>
      </c>
      <c r="DJ69" s="15">
        <f>ROWS($B$12:$B69)</f>
        <v>58</v>
      </c>
      <c r="DK69" s="15">
        <f>IF($B69=[1]REPORT_CARD!$B$9,$DJ69,"")</f>
        <v>58</v>
      </c>
      <c r="DM69" s="74"/>
    </row>
    <row r="70" spans="1:117" ht="19.5" customHeight="1">
      <c r="A70" s="59" t="str">
        <f>IFERROR(IF(ISBLANK([1]PRIMARY_INFO!$A70),"",[1]PRIMARY_INFO!$A70),"")</f>
        <v/>
      </c>
      <c r="B70" s="59" t="str">
        <f>IFERROR(IF(ISBLANK([1]PRIMARY_INFO!$B70),"",[1]PRIMARY_INFO!$B70),"")</f>
        <v/>
      </c>
      <c r="C70" s="78"/>
      <c r="D70" s="78"/>
      <c r="E70" s="78"/>
      <c r="F70" s="78"/>
      <c r="G70" s="61" t="str">
        <f t="shared" si="36"/>
        <v/>
      </c>
      <c r="H70" s="62" t="str">
        <f>IFERROR(IF(G70=0,"",ROUND((G70/SUM([1]SETTINGS!$C$26:$C$29))*[1]SETTINGS!$C$30,0)),"")</f>
        <v/>
      </c>
      <c r="I70" s="63"/>
      <c r="J70" s="62" t="str">
        <f>IFERROR(IF(ISBLANK(I70),"",ROUND((I70/[1]SETTINGS!$C$31)*[1]SETTINGS!$C$32,0)),"")</f>
        <v/>
      </c>
      <c r="K70" s="62" t="str">
        <f t="shared" si="13"/>
        <v/>
      </c>
      <c r="L70" s="64" t="str">
        <f t="shared" si="0"/>
        <v/>
      </c>
      <c r="M70" s="65" t="str">
        <f t="shared" si="14"/>
        <v/>
      </c>
      <c r="N70" s="66"/>
      <c r="O70" s="78"/>
      <c r="P70" s="78"/>
      <c r="Q70" s="78"/>
      <c r="R70" s="78"/>
      <c r="S70" s="61" t="str">
        <f t="shared" si="37"/>
        <v/>
      </c>
      <c r="T70" s="62" t="str">
        <f>IFERROR(IF(S70=0,"",ROUND((S70/SUM([1]SETTINGS!$C$26:$C$29))*[1]SETTINGS!$C$30,0)),"")</f>
        <v/>
      </c>
      <c r="U70" s="63"/>
      <c r="V70" s="62" t="str">
        <f>IFERROR(IF(ISBLANK(U70),"",ROUND((U70/[1]SETTINGS!$C$31)*[1]SETTINGS!$C$32,0)),"")</f>
        <v/>
      </c>
      <c r="W70" s="62" t="str">
        <f t="shared" si="2"/>
        <v/>
      </c>
      <c r="X70" s="64" t="str">
        <f t="shared" si="3"/>
        <v/>
      </c>
      <c r="Y70" s="65" t="str">
        <f t="shared" si="4"/>
        <v/>
      </c>
      <c r="Z70" s="72"/>
      <c r="AA70" s="78"/>
      <c r="AB70" s="78"/>
      <c r="AC70" s="78"/>
      <c r="AD70" s="78"/>
      <c r="AE70" s="61" t="str">
        <f t="shared" si="15"/>
        <v/>
      </c>
      <c r="AF70" s="62" t="str">
        <f>IFERROR(IF(AE70=0,"",ROUND((AE70/SUM([1]SETTINGS!$C$26:$C$29))*[1]SETTINGS!$C$30,0)),"")</f>
        <v/>
      </c>
      <c r="AG70" s="63"/>
      <c r="AH70" s="62" t="str">
        <f>IFERROR(IF(ISBLANK(AG70),"",ROUND((AG70/[1]SETTINGS!$C$31)*[1]SETTINGS!$C$32,0)),"")</f>
        <v/>
      </c>
      <c r="AI70" s="62" t="str">
        <f t="shared" si="16"/>
        <v/>
      </c>
      <c r="AJ70" s="64" t="str">
        <f t="shared" si="5"/>
        <v/>
      </c>
      <c r="AK70" s="75" t="str">
        <f t="shared" si="17"/>
        <v/>
      </c>
      <c r="AL70" s="72"/>
      <c r="AM70" s="78"/>
      <c r="AN70" s="78"/>
      <c r="AO70" s="78"/>
      <c r="AP70" s="78"/>
      <c r="AQ70" s="61" t="str">
        <f t="shared" si="18"/>
        <v/>
      </c>
      <c r="AR70" s="62" t="str">
        <f>IFERROR(IF(AQ70=0,"",ROUND((AQ70/SUM([1]SETTINGS!$C$26:$C$29))*[1]SETTINGS!$C$30,0)),"")</f>
        <v/>
      </c>
      <c r="AS70" s="63"/>
      <c r="AT70" s="62" t="str">
        <f>IFERROR(IF(ISBLANK(AS70),"",ROUND((AS70/[1]SETTINGS!$C$31)*[1]SETTINGS!$C$32,0)),"")</f>
        <v/>
      </c>
      <c r="AU70" s="62" t="str">
        <f t="shared" si="19"/>
        <v/>
      </c>
      <c r="AV70" s="64" t="str">
        <f t="shared" si="6"/>
        <v/>
      </c>
      <c r="AW70" s="65" t="str">
        <f t="shared" si="20"/>
        <v/>
      </c>
      <c r="AX70" s="72"/>
      <c r="AY70" s="78"/>
      <c r="AZ70" s="78"/>
      <c r="BA70" s="78"/>
      <c r="BB70" s="78"/>
      <c r="BC70" s="61" t="str">
        <f t="shared" si="21"/>
        <v/>
      </c>
      <c r="BD70" s="62" t="str">
        <f>IFERROR(IF(BC70=0,"",ROUND((BC70/SUM([1]SETTINGS!$C$26:$C$29))*[1]SETTINGS!$C$30,0)),"")</f>
        <v/>
      </c>
      <c r="BE70" s="63"/>
      <c r="BF70" s="62" t="str">
        <f>IFERROR(IF(ISBLANK(BE70),"",ROUND((BE70/[1]SETTINGS!$C$31)*[1]SETTINGS!$C$32,0)),"")</f>
        <v/>
      </c>
      <c r="BG70" s="62" t="str">
        <f t="shared" si="22"/>
        <v/>
      </c>
      <c r="BH70" s="64" t="str">
        <f t="shared" si="7"/>
        <v/>
      </c>
      <c r="BI70" s="75" t="str">
        <f t="shared" si="23"/>
        <v/>
      </c>
      <c r="BJ70" s="72"/>
      <c r="BK70" s="78"/>
      <c r="BL70" s="78"/>
      <c r="BM70" s="78"/>
      <c r="BN70" s="78"/>
      <c r="BO70" s="61" t="str">
        <f t="shared" si="24"/>
        <v/>
      </c>
      <c r="BP70" s="62" t="str">
        <f>IFERROR(IF(BO70=0,"",ROUND((BO70/SUM([1]SETTINGS!$C$26:$C$29))*[1]SETTINGS!$C$30,0)),"")</f>
        <v/>
      </c>
      <c r="BQ70" s="63"/>
      <c r="BR70" s="62" t="str">
        <f>IFERROR(IF(ISBLANK(BQ70),"",ROUND((BQ70/[1]SETTINGS!$C$31)*[1]SETTINGS!$C$32,0)),"")</f>
        <v/>
      </c>
      <c r="BS70" s="62" t="str">
        <f t="shared" si="25"/>
        <v/>
      </c>
      <c r="BT70" s="64" t="str">
        <f t="shared" si="8"/>
        <v/>
      </c>
      <c r="BU70" s="65" t="str">
        <f t="shared" si="26"/>
        <v/>
      </c>
      <c r="BV70" s="72"/>
      <c r="BW70" s="78"/>
      <c r="BX70" s="78"/>
      <c r="BY70" s="78"/>
      <c r="BZ70" s="78"/>
      <c r="CA70" s="61" t="str">
        <f t="shared" si="27"/>
        <v/>
      </c>
      <c r="CB70" s="62" t="str">
        <f>IFERROR(IF(CA70=0,"",ROUND((CA70/SUM([1]SETTINGS!$C$26:$C$29))*[1]SETTINGS!$C$30,0)),"")</f>
        <v/>
      </c>
      <c r="CC70" s="63"/>
      <c r="CD70" s="62" t="str">
        <f>IFERROR(IF(ISBLANK(CC70),"",ROUND((CC70/[1]SETTINGS!$C$31)*[1]SETTINGS!$C$32,0)),"")</f>
        <v/>
      </c>
      <c r="CE70" s="62" t="str">
        <f t="shared" si="28"/>
        <v/>
      </c>
      <c r="CF70" s="64" t="str">
        <f t="shared" si="9"/>
        <v/>
      </c>
      <c r="CG70" s="65" t="str">
        <f t="shared" si="29"/>
        <v/>
      </c>
      <c r="CH70" s="72"/>
      <c r="CI70" s="78"/>
      <c r="CJ70" s="78"/>
      <c r="CK70" s="78"/>
      <c r="CL70" s="78"/>
      <c r="CM70" s="61" t="str">
        <f t="shared" si="30"/>
        <v/>
      </c>
      <c r="CN70" s="62" t="str">
        <f>IFERROR(IF(CM70=0,"",ROUND((CM70/SUM([1]SETTINGS!$C$26:$C$29))*[1]SETTINGS!$C$30,0)),"")</f>
        <v/>
      </c>
      <c r="CO70" s="63"/>
      <c r="CP70" s="62" t="str">
        <f>IFERROR(IF(ISBLANK(CO70),"",ROUND((CO70/[1]SETTINGS!$C$31)*[1]SETTINGS!$C$32,0)),"")</f>
        <v/>
      </c>
      <c r="CQ70" s="62" t="str">
        <f t="shared" si="31"/>
        <v/>
      </c>
      <c r="CR70" s="64" t="str">
        <f t="shared" si="10"/>
        <v/>
      </c>
      <c r="CS70" s="65" t="str">
        <f t="shared" si="32"/>
        <v/>
      </c>
      <c r="CT70" s="72"/>
      <c r="CU70" s="78"/>
      <c r="CV70" s="78"/>
      <c r="CW70" s="78"/>
      <c r="CX70" s="78"/>
      <c r="CY70" s="61" t="str">
        <f t="shared" si="33"/>
        <v/>
      </c>
      <c r="CZ70" s="62" t="str">
        <f>IFERROR(IF(CY70=0,"",ROUND((CY70/SUM([1]SETTINGS!$C$26:$C$29))*[1]SETTINGS!$C$30,0)),"")</f>
        <v/>
      </c>
      <c r="DA70" s="63"/>
      <c r="DB70" s="62" t="str">
        <f>IFERROR(IF(ISBLANK(DA70),"",ROUND((DA70/[1]SETTINGS!$C$31)*[1]SETTINGS!$C$32,0)),"")</f>
        <v/>
      </c>
      <c r="DC70" s="62" t="str">
        <f t="shared" si="34"/>
        <v/>
      </c>
      <c r="DD70" s="64" t="str">
        <f t="shared" si="11"/>
        <v/>
      </c>
      <c r="DE70" s="65" t="str">
        <f t="shared" si="35"/>
        <v/>
      </c>
      <c r="DF70" s="64" t="str">
        <f t="shared" si="12"/>
        <v/>
      </c>
      <c r="DG70" s="64" t="str">
        <f>IFERROR(IF(AND(K70,W70,AI70,AU70,BG70,BS70,CE70,CQ70,DC70)="","",SUM(K70,W70,AI70,AU70,LARGE((BG70,BS70,CE70,CQ70,DC70),{1,2}))),"")</f>
        <v/>
      </c>
      <c r="DH70" s="64" t="str">
        <f>IFERROR(IF(AND(M70,Y70,AK70,AW70,,BI70,BU70,CG70,CS70,DE70)="","",SUM(M70,Y70,AK70,AW70,SMALL((BI70,BU70,CG70,CS70,DE70),{1,2}))),"")</f>
        <v/>
      </c>
      <c r="DI70" s="76" t="str">
        <f>IFERROR(pos&amp;IF(AND(MOD(ABS(18),100)&gt;10,MOD(ABS(pos),100)&lt;14),"th", CHOOSE(MOD(ABS(pos),10)+1,"th","st","nd","rd","th","th","th","th","th","th")),"")</f>
        <v/>
      </c>
      <c r="DJ70" s="15">
        <f>ROWS($B$12:$B70)</f>
        <v>59</v>
      </c>
      <c r="DK70" s="15">
        <f>IF($B70=[1]REPORT_CARD!$B$9,$DJ70,"")</f>
        <v>59</v>
      </c>
      <c r="DM70" s="74" t="str">
        <f t="shared" ref="DM70:DM76" si="38">IFERROR(IF($DF70="","",RANK($DF70,$DF$12:$DF$76)),"")</f>
        <v/>
      </c>
    </row>
    <row r="71" spans="1:117" ht="19.5" customHeight="1">
      <c r="A71" s="59" t="str">
        <f>IFERROR(IF(ISBLANK([1]PRIMARY_INFO!$A71),"",[1]PRIMARY_INFO!$A71),"")</f>
        <v/>
      </c>
      <c r="B71" s="59" t="str">
        <f>IFERROR(IF(ISBLANK([1]PRIMARY_INFO!$B71),"",[1]PRIMARY_INFO!$B71),"")</f>
        <v/>
      </c>
      <c r="C71" s="78"/>
      <c r="D71" s="78"/>
      <c r="E71" s="78"/>
      <c r="F71" s="78"/>
      <c r="G71" s="61" t="str">
        <f t="shared" si="36"/>
        <v/>
      </c>
      <c r="H71" s="62" t="str">
        <f>IFERROR(IF(G71=0,"",ROUND((G71/SUM([1]SETTINGS!$C$26:$C$29))*[1]SETTINGS!$C$30,0)),"")</f>
        <v/>
      </c>
      <c r="I71" s="63"/>
      <c r="J71" s="62" t="str">
        <f>IFERROR(IF(ISBLANK(I71),"",ROUND((I71/[1]SETTINGS!$C$31)*[1]SETTINGS!$C$32,0)),"")</f>
        <v/>
      </c>
      <c r="K71" s="62" t="str">
        <f t="shared" si="13"/>
        <v/>
      </c>
      <c r="L71" s="64" t="str">
        <f t="shared" si="0"/>
        <v/>
      </c>
      <c r="M71" s="65" t="str">
        <f t="shared" si="14"/>
        <v/>
      </c>
      <c r="N71" s="66"/>
      <c r="O71" s="78"/>
      <c r="P71" s="78"/>
      <c r="Q71" s="78"/>
      <c r="R71" s="78"/>
      <c r="S71" s="61" t="str">
        <f t="shared" si="37"/>
        <v/>
      </c>
      <c r="T71" s="62" t="str">
        <f>IFERROR(IF(S71=0,"",ROUND((S71/SUM([1]SETTINGS!$C$26:$C$29))*[1]SETTINGS!$C$30,0)),"")</f>
        <v/>
      </c>
      <c r="U71" s="63"/>
      <c r="V71" s="62" t="str">
        <f>IFERROR(IF(ISBLANK(U71),"",ROUND((U71/[1]SETTINGS!$C$31)*[1]SETTINGS!$C$32,0)),"")</f>
        <v/>
      </c>
      <c r="W71" s="62" t="str">
        <f t="shared" si="2"/>
        <v/>
      </c>
      <c r="X71" s="64" t="str">
        <f t="shared" si="3"/>
        <v/>
      </c>
      <c r="Y71" s="65" t="str">
        <f t="shared" si="4"/>
        <v/>
      </c>
      <c r="Z71" s="72"/>
      <c r="AA71" s="78"/>
      <c r="AB71" s="78"/>
      <c r="AC71" s="78"/>
      <c r="AD71" s="78"/>
      <c r="AE71" s="61" t="str">
        <f t="shared" si="15"/>
        <v/>
      </c>
      <c r="AF71" s="62" t="str">
        <f>IFERROR(IF(AE71=0,"",ROUND((AE71/SUM([1]SETTINGS!$C$26:$C$29))*[1]SETTINGS!$C$30,0)),"")</f>
        <v/>
      </c>
      <c r="AG71" s="63"/>
      <c r="AH71" s="62" t="str">
        <f>IFERROR(IF(ISBLANK(AG71),"",ROUND((AG71/[1]SETTINGS!$C$31)*[1]SETTINGS!$C$32,0)),"")</f>
        <v/>
      </c>
      <c r="AI71" s="62" t="str">
        <f t="shared" si="16"/>
        <v/>
      </c>
      <c r="AJ71" s="64" t="str">
        <f t="shared" si="5"/>
        <v/>
      </c>
      <c r="AK71" s="75" t="str">
        <f t="shared" si="17"/>
        <v/>
      </c>
      <c r="AL71" s="72"/>
      <c r="AM71" s="78"/>
      <c r="AN71" s="78"/>
      <c r="AO71" s="78"/>
      <c r="AP71" s="78"/>
      <c r="AQ71" s="61" t="str">
        <f t="shared" si="18"/>
        <v/>
      </c>
      <c r="AR71" s="62" t="str">
        <f>IFERROR(IF(AQ71=0,"",ROUND((AQ71/SUM([1]SETTINGS!$C$26:$C$29))*[1]SETTINGS!$C$30,0)),"")</f>
        <v/>
      </c>
      <c r="AS71" s="63"/>
      <c r="AT71" s="62" t="str">
        <f>IFERROR(IF(ISBLANK(AS71),"",ROUND((AS71/[1]SETTINGS!$C$31)*[1]SETTINGS!$C$32,0)),"")</f>
        <v/>
      </c>
      <c r="AU71" s="62" t="str">
        <f t="shared" si="19"/>
        <v/>
      </c>
      <c r="AV71" s="64" t="str">
        <f t="shared" si="6"/>
        <v/>
      </c>
      <c r="AW71" s="65" t="str">
        <f t="shared" si="20"/>
        <v/>
      </c>
      <c r="AX71" s="72"/>
      <c r="AY71" s="78"/>
      <c r="AZ71" s="78"/>
      <c r="BA71" s="78"/>
      <c r="BB71" s="78"/>
      <c r="BC71" s="61" t="str">
        <f t="shared" si="21"/>
        <v/>
      </c>
      <c r="BD71" s="62" t="str">
        <f>IFERROR(IF(BC71=0,"",ROUND((BC71/SUM([1]SETTINGS!$C$26:$C$29))*[1]SETTINGS!$C$30,0)),"")</f>
        <v/>
      </c>
      <c r="BE71" s="63"/>
      <c r="BF71" s="62" t="str">
        <f>IFERROR(IF(ISBLANK(BE71),"",ROUND((BE71/[1]SETTINGS!$C$31)*[1]SETTINGS!$C$32,0)),"")</f>
        <v/>
      </c>
      <c r="BG71" s="62" t="str">
        <f t="shared" si="22"/>
        <v/>
      </c>
      <c r="BH71" s="64" t="str">
        <f t="shared" si="7"/>
        <v/>
      </c>
      <c r="BI71" s="75" t="str">
        <f t="shared" si="23"/>
        <v/>
      </c>
      <c r="BJ71" s="72"/>
      <c r="BK71" s="78"/>
      <c r="BL71" s="78"/>
      <c r="BM71" s="78"/>
      <c r="BN71" s="78"/>
      <c r="BO71" s="61" t="str">
        <f t="shared" si="24"/>
        <v/>
      </c>
      <c r="BP71" s="62" t="str">
        <f>IFERROR(IF(BO71=0,"",ROUND((BO71/SUM([1]SETTINGS!$C$26:$C$29))*[1]SETTINGS!$C$30,0)),"")</f>
        <v/>
      </c>
      <c r="BQ71" s="63"/>
      <c r="BR71" s="62" t="str">
        <f>IFERROR(IF(ISBLANK(BQ71),"",ROUND((BQ71/[1]SETTINGS!$C$31)*[1]SETTINGS!$C$32,0)),"")</f>
        <v/>
      </c>
      <c r="BS71" s="62" t="str">
        <f t="shared" si="25"/>
        <v/>
      </c>
      <c r="BT71" s="64" t="str">
        <f t="shared" si="8"/>
        <v/>
      </c>
      <c r="BU71" s="65" t="str">
        <f t="shared" si="26"/>
        <v/>
      </c>
      <c r="BV71" s="72"/>
      <c r="BW71" s="78"/>
      <c r="BX71" s="78"/>
      <c r="BY71" s="78"/>
      <c r="BZ71" s="78"/>
      <c r="CA71" s="61" t="str">
        <f t="shared" si="27"/>
        <v/>
      </c>
      <c r="CB71" s="62" t="str">
        <f>IFERROR(IF(CA71=0,"",ROUND((CA71/SUM([1]SETTINGS!$C$26:$C$29))*[1]SETTINGS!$C$30,0)),"")</f>
        <v/>
      </c>
      <c r="CC71" s="63"/>
      <c r="CD71" s="62" t="str">
        <f>IFERROR(IF(ISBLANK(CC71),"",ROUND((CC71/[1]SETTINGS!$C$31)*[1]SETTINGS!$C$32,0)),"")</f>
        <v/>
      </c>
      <c r="CE71" s="62" t="str">
        <f t="shared" si="28"/>
        <v/>
      </c>
      <c r="CF71" s="64" t="str">
        <f t="shared" si="9"/>
        <v/>
      </c>
      <c r="CG71" s="65" t="str">
        <f t="shared" si="29"/>
        <v/>
      </c>
      <c r="CH71" s="72"/>
      <c r="CI71" s="78"/>
      <c r="CJ71" s="78"/>
      <c r="CK71" s="78"/>
      <c r="CL71" s="78"/>
      <c r="CM71" s="61" t="str">
        <f t="shared" si="30"/>
        <v/>
      </c>
      <c r="CN71" s="62" t="str">
        <f>IFERROR(IF(CM71=0,"",ROUND((CM71/SUM([1]SETTINGS!$C$26:$C$29))*[1]SETTINGS!$C$30,0)),"")</f>
        <v/>
      </c>
      <c r="CO71" s="63"/>
      <c r="CP71" s="62" t="str">
        <f>IFERROR(IF(ISBLANK(CO71),"",ROUND((CO71/[1]SETTINGS!$C$31)*[1]SETTINGS!$C$32,0)),"")</f>
        <v/>
      </c>
      <c r="CQ71" s="62" t="str">
        <f t="shared" si="31"/>
        <v/>
      </c>
      <c r="CR71" s="64" t="str">
        <f t="shared" si="10"/>
        <v/>
      </c>
      <c r="CS71" s="65" t="str">
        <f t="shared" si="32"/>
        <v/>
      </c>
      <c r="CT71" s="72"/>
      <c r="CU71" s="78"/>
      <c r="CV71" s="78"/>
      <c r="CW71" s="78"/>
      <c r="CX71" s="78"/>
      <c r="CY71" s="61" t="str">
        <f t="shared" si="33"/>
        <v/>
      </c>
      <c r="CZ71" s="62" t="str">
        <f>IFERROR(IF(CY71=0,"",ROUND((CY71/SUM([1]SETTINGS!$C$26:$C$29))*[1]SETTINGS!$C$30,0)),"")</f>
        <v/>
      </c>
      <c r="DA71" s="63"/>
      <c r="DB71" s="62" t="str">
        <f>IFERROR(IF(ISBLANK(DA71),"",ROUND((DA71/[1]SETTINGS!$C$31)*[1]SETTINGS!$C$32,0)),"")</f>
        <v/>
      </c>
      <c r="DC71" s="62" t="str">
        <f t="shared" si="34"/>
        <v/>
      </c>
      <c r="DD71" s="64" t="str">
        <f t="shared" si="11"/>
        <v/>
      </c>
      <c r="DE71" s="65" t="str">
        <f t="shared" si="35"/>
        <v/>
      </c>
      <c r="DF71" s="64" t="str">
        <f t="shared" si="12"/>
        <v/>
      </c>
      <c r="DG71" s="64" t="str">
        <f>IFERROR(IF(AND(K71,W71,AI71,AU71,BG71,BS71,CE71,CQ71,DC71)="","",SUM(K71,W71,AI71,AU71,LARGE((BG71,BS71,CE71,CQ71,DC71),{1,2}))),"")</f>
        <v/>
      </c>
      <c r="DH71" s="64" t="str">
        <f>IFERROR(IF(AND(M71,Y71,AK71,AW71,,BI71,BU71,CG71,CS71,DE71)="","",SUM(M71,Y71,AK71,AW71,SMALL((BI71,BU71,CG71,CS71,DE71),{1,2}))),"")</f>
        <v/>
      </c>
      <c r="DI71" s="76" t="str">
        <f>IFERROR(pos&amp;IF(AND(MOD(ABS(18),100)&gt;10,MOD(ABS(pos),100)&lt;14),"th", CHOOSE(MOD(ABS(pos),10)+1,"th","st","nd","rd","th","th","th","th","th","th")),"")</f>
        <v/>
      </c>
      <c r="DJ71" s="15">
        <f>ROWS($B$12:$B71)</f>
        <v>60</v>
      </c>
      <c r="DK71" s="15">
        <f>IF($B71=[1]REPORT_CARD!$B$9,$DJ71,"")</f>
        <v>60</v>
      </c>
      <c r="DM71" s="74" t="str">
        <f t="shared" si="38"/>
        <v/>
      </c>
    </row>
    <row r="72" spans="1:117" ht="19.5" customHeight="1">
      <c r="A72" s="59" t="str">
        <f>IFERROR(IF(ISBLANK([1]PRIMARY_INFO!$A72),"",[1]PRIMARY_INFO!$A72),"")</f>
        <v/>
      </c>
      <c r="B72" s="59" t="str">
        <f>IFERROR(IF(ISBLANK([1]PRIMARY_INFO!$B72),"",[1]PRIMARY_INFO!$B72),"")</f>
        <v/>
      </c>
      <c r="C72" s="78"/>
      <c r="D72" s="78"/>
      <c r="E72" s="78"/>
      <c r="F72" s="78"/>
      <c r="G72" s="61" t="str">
        <f t="shared" si="36"/>
        <v/>
      </c>
      <c r="H72" s="62" t="str">
        <f>IFERROR(IF(G72=0,"",ROUND((G72/SUM([1]SETTINGS!$C$26:$C$29))*[1]SETTINGS!$C$30,0)),"")</f>
        <v/>
      </c>
      <c r="I72" s="63"/>
      <c r="J72" s="62" t="str">
        <f>IFERROR(IF(ISBLANK(I72),"",ROUND((I72/[1]SETTINGS!$C$31)*[1]SETTINGS!$C$32,0)),"")</f>
        <v/>
      </c>
      <c r="K72" s="62" t="str">
        <f t="shared" si="13"/>
        <v/>
      </c>
      <c r="L72" s="64" t="str">
        <f t="shared" si="0"/>
        <v/>
      </c>
      <c r="M72" s="65" t="str">
        <f t="shared" si="14"/>
        <v/>
      </c>
      <c r="N72" s="66"/>
      <c r="O72" s="78"/>
      <c r="P72" s="78"/>
      <c r="Q72" s="78"/>
      <c r="R72" s="78"/>
      <c r="S72" s="61" t="str">
        <f t="shared" si="37"/>
        <v/>
      </c>
      <c r="T72" s="62" t="str">
        <f>IFERROR(IF(S72=0,"",ROUND((S72/SUM([1]SETTINGS!$C$26:$C$29))*[1]SETTINGS!$C$30,0)),"")</f>
        <v/>
      </c>
      <c r="U72" s="63"/>
      <c r="V72" s="62" t="str">
        <f>IFERROR(IF(ISBLANK(U72),"",ROUND((U72/[1]SETTINGS!$C$31)*[1]SETTINGS!$C$32,0)),"")</f>
        <v/>
      </c>
      <c r="W72" s="62" t="str">
        <f t="shared" si="2"/>
        <v/>
      </c>
      <c r="X72" s="64" t="str">
        <f t="shared" si="3"/>
        <v/>
      </c>
      <c r="Y72" s="65" t="str">
        <f t="shared" si="4"/>
        <v/>
      </c>
      <c r="Z72" s="72"/>
      <c r="AA72" s="78"/>
      <c r="AB72" s="78"/>
      <c r="AC72" s="78"/>
      <c r="AD72" s="78"/>
      <c r="AE72" s="61" t="str">
        <f t="shared" si="15"/>
        <v/>
      </c>
      <c r="AF72" s="62" t="str">
        <f>IFERROR(IF(AE72=0,"",ROUND((AE72/SUM([1]SETTINGS!$C$26:$C$29))*[1]SETTINGS!$C$30,0)),"")</f>
        <v/>
      </c>
      <c r="AG72" s="63"/>
      <c r="AH72" s="62" t="str">
        <f>IFERROR(IF(ISBLANK(AG72),"",ROUND((AG72/[1]SETTINGS!$C$31)*[1]SETTINGS!$C$32,0)),"")</f>
        <v/>
      </c>
      <c r="AI72" s="62" t="str">
        <f t="shared" si="16"/>
        <v/>
      </c>
      <c r="AJ72" s="64" t="str">
        <f t="shared" si="5"/>
        <v/>
      </c>
      <c r="AK72" s="75" t="str">
        <f t="shared" si="17"/>
        <v/>
      </c>
      <c r="AL72" s="72"/>
      <c r="AM72" s="78"/>
      <c r="AN72" s="78"/>
      <c r="AO72" s="78"/>
      <c r="AP72" s="78"/>
      <c r="AQ72" s="61" t="str">
        <f t="shared" si="18"/>
        <v/>
      </c>
      <c r="AR72" s="62" t="str">
        <f>IFERROR(IF(AQ72=0,"",ROUND((AQ72/SUM([1]SETTINGS!$C$26:$C$29))*[1]SETTINGS!$C$30,0)),"")</f>
        <v/>
      </c>
      <c r="AS72" s="63"/>
      <c r="AT72" s="62" t="str">
        <f>IFERROR(IF(ISBLANK(AS72),"",ROUND((AS72/[1]SETTINGS!$C$31)*[1]SETTINGS!$C$32,0)),"")</f>
        <v/>
      </c>
      <c r="AU72" s="62" t="str">
        <f t="shared" si="19"/>
        <v/>
      </c>
      <c r="AV72" s="64" t="str">
        <f t="shared" si="6"/>
        <v/>
      </c>
      <c r="AW72" s="65" t="str">
        <f t="shared" si="20"/>
        <v/>
      </c>
      <c r="AX72" s="72"/>
      <c r="AY72" s="78"/>
      <c r="AZ72" s="78"/>
      <c r="BA72" s="78"/>
      <c r="BB72" s="78"/>
      <c r="BC72" s="61" t="str">
        <f t="shared" si="21"/>
        <v/>
      </c>
      <c r="BD72" s="62" t="str">
        <f>IFERROR(IF(BC72=0,"",ROUND((BC72/SUM([1]SETTINGS!$C$26:$C$29))*[1]SETTINGS!$C$30,0)),"")</f>
        <v/>
      </c>
      <c r="BE72" s="63"/>
      <c r="BF72" s="62" t="str">
        <f>IFERROR(IF(ISBLANK(BE72),"",ROUND((BE72/[1]SETTINGS!$C$31)*[1]SETTINGS!$C$32,0)),"")</f>
        <v/>
      </c>
      <c r="BG72" s="62" t="str">
        <f t="shared" si="22"/>
        <v/>
      </c>
      <c r="BH72" s="64" t="str">
        <f t="shared" si="7"/>
        <v/>
      </c>
      <c r="BI72" s="75" t="str">
        <f t="shared" si="23"/>
        <v/>
      </c>
      <c r="BJ72" s="72"/>
      <c r="BK72" s="78"/>
      <c r="BL72" s="78"/>
      <c r="BM72" s="78"/>
      <c r="BN72" s="78"/>
      <c r="BO72" s="61" t="str">
        <f t="shared" si="24"/>
        <v/>
      </c>
      <c r="BP72" s="62" t="str">
        <f>IFERROR(IF(BO72=0,"",ROUND((BO72/SUM([1]SETTINGS!$C$26:$C$29))*[1]SETTINGS!$C$30,0)),"")</f>
        <v/>
      </c>
      <c r="BQ72" s="63"/>
      <c r="BR72" s="62" t="str">
        <f>IFERROR(IF(ISBLANK(BQ72),"",ROUND((BQ72/[1]SETTINGS!$C$31)*[1]SETTINGS!$C$32,0)),"")</f>
        <v/>
      </c>
      <c r="BS72" s="62" t="str">
        <f t="shared" si="25"/>
        <v/>
      </c>
      <c r="BT72" s="64" t="str">
        <f t="shared" si="8"/>
        <v/>
      </c>
      <c r="BU72" s="65" t="str">
        <f t="shared" si="26"/>
        <v/>
      </c>
      <c r="BV72" s="72"/>
      <c r="BW72" s="78"/>
      <c r="BX72" s="78"/>
      <c r="BY72" s="78"/>
      <c r="BZ72" s="78"/>
      <c r="CA72" s="61" t="str">
        <f t="shared" si="27"/>
        <v/>
      </c>
      <c r="CB72" s="62" t="str">
        <f>IFERROR(IF(CA72=0,"",ROUND((CA72/SUM([1]SETTINGS!$C$26:$C$29))*[1]SETTINGS!$C$30,0)),"")</f>
        <v/>
      </c>
      <c r="CC72" s="63"/>
      <c r="CD72" s="62" t="str">
        <f>IFERROR(IF(ISBLANK(CC72),"",ROUND((CC72/[1]SETTINGS!$C$31)*[1]SETTINGS!$C$32,0)),"")</f>
        <v/>
      </c>
      <c r="CE72" s="62" t="str">
        <f t="shared" si="28"/>
        <v/>
      </c>
      <c r="CF72" s="64" t="str">
        <f t="shared" si="9"/>
        <v/>
      </c>
      <c r="CG72" s="65" t="str">
        <f t="shared" si="29"/>
        <v/>
      </c>
      <c r="CH72" s="72"/>
      <c r="CI72" s="78"/>
      <c r="CJ72" s="78"/>
      <c r="CK72" s="78"/>
      <c r="CL72" s="78"/>
      <c r="CM72" s="61" t="str">
        <f t="shared" si="30"/>
        <v/>
      </c>
      <c r="CN72" s="62" t="str">
        <f>IFERROR(IF(CM72=0,"",ROUND((CM72/SUM([1]SETTINGS!$C$26:$C$29))*[1]SETTINGS!$C$30,0)),"")</f>
        <v/>
      </c>
      <c r="CO72" s="63"/>
      <c r="CP72" s="62" t="str">
        <f>IFERROR(IF(ISBLANK(CO72),"",ROUND((CO72/[1]SETTINGS!$C$31)*[1]SETTINGS!$C$32,0)),"")</f>
        <v/>
      </c>
      <c r="CQ72" s="62" t="str">
        <f t="shared" si="31"/>
        <v/>
      </c>
      <c r="CR72" s="64" t="str">
        <f t="shared" si="10"/>
        <v/>
      </c>
      <c r="CS72" s="65" t="str">
        <f t="shared" si="32"/>
        <v/>
      </c>
      <c r="CT72" s="72"/>
      <c r="CU72" s="78"/>
      <c r="CV72" s="78"/>
      <c r="CW72" s="78"/>
      <c r="CX72" s="78"/>
      <c r="CY72" s="61" t="str">
        <f t="shared" si="33"/>
        <v/>
      </c>
      <c r="CZ72" s="62" t="str">
        <f>IFERROR(IF(CY72=0,"",ROUND((CY72/SUM([1]SETTINGS!$C$26:$C$29))*[1]SETTINGS!$C$30,0)),"")</f>
        <v/>
      </c>
      <c r="DA72" s="63"/>
      <c r="DB72" s="62" t="str">
        <f>IFERROR(IF(ISBLANK(DA72),"",ROUND((DA72/[1]SETTINGS!$C$31)*[1]SETTINGS!$C$32,0)),"")</f>
        <v/>
      </c>
      <c r="DC72" s="62" t="str">
        <f t="shared" si="34"/>
        <v/>
      </c>
      <c r="DD72" s="64" t="str">
        <f t="shared" si="11"/>
        <v/>
      </c>
      <c r="DE72" s="65" t="str">
        <f t="shared" si="35"/>
        <v/>
      </c>
      <c r="DF72" s="64" t="str">
        <f t="shared" si="12"/>
        <v/>
      </c>
      <c r="DG72" s="64" t="str">
        <f>IFERROR(IF(AND(K72,W72,AI72,AU72,BG72,BS72,CE72,CQ72,DC72)="","",SUM(K72,W72,AI72,AU72,LARGE((BG72,BS72,CE72,CQ72,DC72),{1,2}))),"")</f>
        <v/>
      </c>
      <c r="DH72" s="64" t="str">
        <f>IFERROR(IF(AND(M72,Y72,AK72,AW72,,BI72,BU72,CG72,CS72,DE72)="","",SUM(M72,Y72,AK72,AW72,SMALL((BI72,BU72,CG72,CS72,DE72),{1,2}))),"")</f>
        <v/>
      </c>
      <c r="DI72" s="76" t="str">
        <f>IFERROR(pos&amp;IF(AND(MOD(ABS(18),100)&gt;10,MOD(ABS(pos),100)&lt;14),"th", CHOOSE(MOD(ABS(pos),10)+1,"th","st","nd","rd","th","th","th","th","th","th")),"")</f>
        <v/>
      </c>
      <c r="DJ72" s="15">
        <f>ROWS($B$12:$B72)</f>
        <v>61</v>
      </c>
      <c r="DK72" s="15">
        <f>IF($B72=[1]REPORT_CARD!$B$9,$DJ72,"")</f>
        <v>61</v>
      </c>
      <c r="DM72" s="74" t="str">
        <f t="shared" si="38"/>
        <v/>
      </c>
    </row>
    <row r="73" spans="1:117" ht="19.5" customHeight="1">
      <c r="A73" s="59" t="str">
        <f>IFERROR(IF(ISBLANK([1]PRIMARY_INFO!$A73),"",[1]PRIMARY_INFO!$A73),"")</f>
        <v/>
      </c>
      <c r="B73" s="59" t="str">
        <f>IFERROR(IF(ISBLANK([1]PRIMARY_INFO!$B73),"",[1]PRIMARY_INFO!$B73),"")</f>
        <v/>
      </c>
      <c r="C73" s="78"/>
      <c r="D73" s="78"/>
      <c r="E73" s="78"/>
      <c r="F73" s="78"/>
      <c r="G73" s="61" t="str">
        <f t="shared" si="36"/>
        <v/>
      </c>
      <c r="H73" s="62" t="str">
        <f>IFERROR(IF(G73=0,"",ROUND((G73/SUM([1]SETTINGS!$C$26:$C$29))*[1]SETTINGS!$C$30,0)),"")</f>
        <v/>
      </c>
      <c r="I73" s="63"/>
      <c r="J73" s="62" t="str">
        <f>IFERROR(IF(ISBLANK(I73),"",ROUND((I73/[1]SETTINGS!$C$31)*[1]SETTINGS!$C$32,0)),"")</f>
        <v/>
      </c>
      <c r="K73" s="62" t="str">
        <f t="shared" si="13"/>
        <v/>
      </c>
      <c r="L73" s="64" t="str">
        <f t="shared" si="0"/>
        <v/>
      </c>
      <c r="M73" s="65" t="str">
        <f t="shared" si="14"/>
        <v/>
      </c>
      <c r="N73" s="79"/>
      <c r="O73" s="78"/>
      <c r="P73" s="78"/>
      <c r="Q73" s="78"/>
      <c r="R73" s="78"/>
      <c r="S73" s="61" t="str">
        <f t="shared" si="37"/>
        <v/>
      </c>
      <c r="T73" s="62" t="str">
        <f>IFERROR(IF(S73=0,"",ROUND((S73/SUM([1]SETTINGS!$C$26:$C$29))*[1]SETTINGS!$C$30,0)),"")</f>
        <v/>
      </c>
      <c r="U73" s="63"/>
      <c r="V73" s="62" t="str">
        <f>IFERROR(IF(ISBLANK(U73),"",ROUND((U73/[1]SETTINGS!$C$31)*[1]SETTINGS!$C$32,0)),"")</f>
        <v/>
      </c>
      <c r="W73" s="62" t="str">
        <f t="shared" si="2"/>
        <v/>
      </c>
      <c r="X73" s="64" t="str">
        <f t="shared" si="3"/>
        <v/>
      </c>
      <c r="Y73" s="65" t="str">
        <f t="shared" si="4"/>
        <v/>
      </c>
      <c r="Z73" s="79"/>
      <c r="AA73" s="78"/>
      <c r="AB73" s="78"/>
      <c r="AC73" s="78"/>
      <c r="AD73" s="78"/>
      <c r="AE73" s="61" t="str">
        <f t="shared" si="15"/>
        <v/>
      </c>
      <c r="AF73" s="62" t="str">
        <f>IFERROR(IF(AE73=0,"",ROUND((AE73/SUM([1]SETTINGS!$C$26:$C$29))*[1]SETTINGS!$C$30,0)),"")</f>
        <v/>
      </c>
      <c r="AG73" s="63"/>
      <c r="AH73" s="62" t="str">
        <f>IFERROR(IF(ISBLANK(AG73),"",ROUND((AG73/[1]SETTINGS!$C$31)*[1]SETTINGS!$C$32,0)),"")</f>
        <v/>
      </c>
      <c r="AI73" s="62" t="str">
        <f t="shared" si="16"/>
        <v/>
      </c>
      <c r="AJ73" s="64" t="str">
        <f t="shared" si="5"/>
        <v/>
      </c>
      <c r="AK73" s="75" t="str">
        <f t="shared" si="17"/>
        <v/>
      </c>
      <c r="AL73" s="79"/>
      <c r="AM73" s="78"/>
      <c r="AN73" s="78"/>
      <c r="AO73" s="78"/>
      <c r="AP73" s="78"/>
      <c r="AQ73" s="61" t="str">
        <f t="shared" si="18"/>
        <v/>
      </c>
      <c r="AR73" s="62" t="str">
        <f>IFERROR(IF(AQ73=0,"",ROUND((AQ73/SUM([1]SETTINGS!$C$26:$C$29))*[1]SETTINGS!$C$30,0)),"")</f>
        <v/>
      </c>
      <c r="AS73" s="63"/>
      <c r="AT73" s="62" t="str">
        <f>IFERROR(IF(ISBLANK(AS73),"",ROUND((AS73/[1]SETTINGS!$C$31)*[1]SETTINGS!$C$32,0)),"")</f>
        <v/>
      </c>
      <c r="AU73" s="62" t="str">
        <f t="shared" si="19"/>
        <v/>
      </c>
      <c r="AV73" s="64" t="str">
        <f t="shared" si="6"/>
        <v/>
      </c>
      <c r="AW73" s="65" t="str">
        <f t="shared" si="20"/>
        <v/>
      </c>
      <c r="AX73" s="72"/>
      <c r="AY73" s="78"/>
      <c r="AZ73" s="78"/>
      <c r="BA73" s="78"/>
      <c r="BB73" s="78"/>
      <c r="BC73" s="61" t="str">
        <f t="shared" si="21"/>
        <v/>
      </c>
      <c r="BD73" s="62" t="str">
        <f>IFERROR(IF(BC73=0,"",ROUND((BC73/SUM([1]SETTINGS!$C$26:$C$29))*[1]SETTINGS!$C$30,0)),"")</f>
        <v/>
      </c>
      <c r="BE73" s="63"/>
      <c r="BF73" s="62" t="str">
        <f>IFERROR(IF(ISBLANK(BE73),"",ROUND((BE73/[1]SETTINGS!$C$31)*[1]SETTINGS!$C$32,0)),"")</f>
        <v/>
      </c>
      <c r="BG73" s="62" t="str">
        <f t="shared" si="22"/>
        <v/>
      </c>
      <c r="BH73" s="64" t="str">
        <f t="shared" si="7"/>
        <v/>
      </c>
      <c r="BI73" s="75" t="str">
        <f t="shared" si="23"/>
        <v/>
      </c>
      <c r="BJ73" s="72"/>
      <c r="BK73" s="78"/>
      <c r="BL73" s="78"/>
      <c r="BM73" s="78"/>
      <c r="BN73" s="78"/>
      <c r="BO73" s="61" t="str">
        <f t="shared" si="24"/>
        <v/>
      </c>
      <c r="BP73" s="62" t="str">
        <f>IFERROR(IF(BO73=0,"",ROUND((BO73/SUM([1]SETTINGS!$C$26:$C$29))*[1]SETTINGS!$C$30,0)),"")</f>
        <v/>
      </c>
      <c r="BQ73" s="63"/>
      <c r="BR73" s="62" t="str">
        <f>IFERROR(IF(ISBLANK(BQ73),"",ROUND((BQ73/[1]SETTINGS!$C$31)*[1]SETTINGS!$C$32,0)),"")</f>
        <v/>
      </c>
      <c r="BS73" s="62" t="str">
        <f t="shared" si="25"/>
        <v/>
      </c>
      <c r="BT73" s="64" t="str">
        <f t="shared" si="8"/>
        <v/>
      </c>
      <c r="BU73" s="65" t="str">
        <f t="shared" si="26"/>
        <v/>
      </c>
      <c r="BV73" s="72"/>
      <c r="BW73" s="78"/>
      <c r="BX73" s="78"/>
      <c r="BY73" s="78"/>
      <c r="BZ73" s="78"/>
      <c r="CA73" s="61" t="str">
        <f t="shared" si="27"/>
        <v/>
      </c>
      <c r="CB73" s="62" t="str">
        <f>IFERROR(IF(CA73=0,"",ROUND((CA73/SUM([1]SETTINGS!$C$26:$C$29))*[1]SETTINGS!$C$30,0)),"")</f>
        <v/>
      </c>
      <c r="CC73" s="63"/>
      <c r="CD73" s="62" t="str">
        <f>IFERROR(IF(ISBLANK(CC73),"",ROUND((CC73/[1]SETTINGS!$C$31)*[1]SETTINGS!$C$32,0)),"")</f>
        <v/>
      </c>
      <c r="CE73" s="62" t="str">
        <f t="shared" si="28"/>
        <v/>
      </c>
      <c r="CF73" s="64" t="str">
        <f t="shared" si="9"/>
        <v/>
      </c>
      <c r="CG73" s="65" t="str">
        <f t="shared" si="29"/>
        <v/>
      </c>
      <c r="CH73" s="72"/>
      <c r="CI73" s="78"/>
      <c r="CJ73" s="78"/>
      <c r="CK73" s="78"/>
      <c r="CL73" s="78"/>
      <c r="CM73" s="61" t="str">
        <f t="shared" si="30"/>
        <v/>
      </c>
      <c r="CN73" s="62" t="str">
        <f>IFERROR(IF(CM73=0,"",ROUND((CM73/SUM([1]SETTINGS!$C$26:$C$29))*[1]SETTINGS!$C$30,0)),"")</f>
        <v/>
      </c>
      <c r="CO73" s="63"/>
      <c r="CP73" s="62" t="str">
        <f>IFERROR(IF(ISBLANK(CO73),"",ROUND((CO73/[1]SETTINGS!$C$31)*[1]SETTINGS!$C$32,0)),"")</f>
        <v/>
      </c>
      <c r="CQ73" s="62" t="str">
        <f t="shared" si="31"/>
        <v/>
      </c>
      <c r="CR73" s="64" t="str">
        <f t="shared" si="10"/>
        <v/>
      </c>
      <c r="CS73" s="65" t="str">
        <f t="shared" si="32"/>
        <v/>
      </c>
      <c r="CT73" s="72"/>
      <c r="CU73" s="78"/>
      <c r="CV73" s="78"/>
      <c r="CW73" s="78"/>
      <c r="CX73" s="78"/>
      <c r="CY73" s="61" t="str">
        <f t="shared" si="33"/>
        <v/>
      </c>
      <c r="CZ73" s="62" t="str">
        <f>IFERROR(IF(CY73=0,"",ROUND((CY73/SUM([1]SETTINGS!$C$26:$C$29))*[1]SETTINGS!$C$30,0)),"")</f>
        <v/>
      </c>
      <c r="DA73" s="63"/>
      <c r="DB73" s="62" t="str">
        <f>IFERROR(IF(ISBLANK(DA73),"",ROUND((DA73/[1]SETTINGS!$C$31)*[1]SETTINGS!$C$32,0)),"")</f>
        <v/>
      </c>
      <c r="DC73" s="62" t="str">
        <f t="shared" si="34"/>
        <v/>
      </c>
      <c r="DD73" s="64" t="str">
        <f t="shared" si="11"/>
        <v/>
      </c>
      <c r="DE73" s="65" t="str">
        <f t="shared" si="35"/>
        <v/>
      </c>
      <c r="DF73" s="64" t="str">
        <f t="shared" si="12"/>
        <v/>
      </c>
      <c r="DG73" s="64" t="str">
        <f>IFERROR(IF(AND(K73,W73,AI73,AU73,BG73,BS73,CE73,CQ73,DC73)="","",SUM(K73,W73,AI73,AU73,LARGE((BG73,BS73,CE73,CQ73,DC73),{1,2}))),"")</f>
        <v/>
      </c>
      <c r="DH73" s="64" t="str">
        <f>IFERROR(IF(AND(M73,Y73,AK73,AW73,,BI73,BU73,CG73,CS73,DE73)="","",SUM(M73,Y73,AK73,AW73,SMALL((BI73,BU73,CG73,CS73,DE73),{1,2}))),"")</f>
        <v/>
      </c>
      <c r="DI73" s="76" t="str">
        <f>IFERROR(pos&amp;IF(AND(MOD(ABS(18),100)&gt;10,MOD(ABS(pos),100)&lt;14),"th", CHOOSE(MOD(ABS(pos),10)+1,"th","st","nd","rd","th","th","th","th","th","th")),"")</f>
        <v/>
      </c>
      <c r="DJ73" s="15">
        <f>ROWS($B$12:$B73)</f>
        <v>62</v>
      </c>
      <c r="DK73" s="15">
        <f>IF($B73=[1]REPORT_CARD!$B$9,$DJ73,"")</f>
        <v>62</v>
      </c>
      <c r="DM73" s="74" t="str">
        <f t="shared" si="38"/>
        <v/>
      </c>
    </row>
    <row r="74" spans="1:117" ht="19.5" customHeight="1">
      <c r="A74" s="59" t="str">
        <f>IFERROR(IF(ISBLANK([1]PRIMARY_INFO!$A74),"",[1]PRIMARY_INFO!$A74),"")</f>
        <v/>
      </c>
      <c r="B74" s="59" t="str">
        <f>IFERROR(IF(ISBLANK([1]PRIMARY_INFO!$B74),"",[1]PRIMARY_INFO!$B74),"")</f>
        <v/>
      </c>
      <c r="C74" s="78"/>
      <c r="D74" s="78"/>
      <c r="E74" s="78"/>
      <c r="F74" s="78"/>
      <c r="G74" s="61" t="str">
        <f t="shared" si="36"/>
        <v/>
      </c>
      <c r="H74" s="62" t="str">
        <f>IFERROR(IF(G74=0,"",ROUND((G74/SUM([1]SETTINGS!$C$26:$C$29))*[1]SETTINGS!$C$30,0)),"")</f>
        <v/>
      </c>
      <c r="I74" s="63"/>
      <c r="J74" s="62" t="str">
        <f>IFERROR(IF(ISBLANK(I74),"",ROUND((I74/[1]SETTINGS!$C$31)*[1]SETTINGS!$C$32,0)),"")</f>
        <v/>
      </c>
      <c r="K74" s="62" t="str">
        <f t="shared" si="13"/>
        <v/>
      </c>
      <c r="L74" s="64" t="str">
        <f t="shared" si="0"/>
        <v/>
      </c>
      <c r="M74" s="65" t="str">
        <f t="shared" si="14"/>
        <v/>
      </c>
      <c r="N74" s="79"/>
      <c r="O74" s="78"/>
      <c r="P74" s="78"/>
      <c r="Q74" s="78"/>
      <c r="R74" s="78"/>
      <c r="S74" s="61" t="str">
        <f t="shared" si="37"/>
        <v/>
      </c>
      <c r="T74" s="62" t="str">
        <f>IFERROR(IF(S74=0,"",ROUND((S74/SUM([1]SETTINGS!$C$26:$C$29))*[1]SETTINGS!$C$30,0)),"")</f>
        <v/>
      </c>
      <c r="U74" s="63"/>
      <c r="V74" s="62" t="str">
        <f>IFERROR(IF(ISBLANK(U74),"",ROUND((U74/[1]SETTINGS!$C$31)*[1]SETTINGS!$C$32,0)),"")</f>
        <v/>
      </c>
      <c r="W74" s="62" t="str">
        <f t="shared" si="2"/>
        <v/>
      </c>
      <c r="X74" s="64" t="str">
        <f t="shared" si="3"/>
        <v/>
      </c>
      <c r="Y74" s="65" t="str">
        <f t="shared" si="4"/>
        <v/>
      </c>
      <c r="Z74" s="79"/>
      <c r="AA74" s="78"/>
      <c r="AB74" s="78"/>
      <c r="AC74" s="78"/>
      <c r="AD74" s="78"/>
      <c r="AE74" s="61" t="str">
        <f t="shared" si="15"/>
        <v/>
      </c>
      <c r="AF74" s="62" t="str">
        <f>IFERROR(IF(AE74=0,"",ROUND((AE74/SUM([1]SETTINGS!$C$26:$C$29))*[1]SETTINGS!$C$30,0)),"")</f>
        <v/>
      </c>
      <c r="AG74" s="63"/>
      <c r="AH74" s="62" t="str">
        <f>IFERROR(IF(ISBLANK(AG74),"",ROUND((AG74/[1]SETTINGS!$C$31)*[1]SETTINGS!$C$32,0)),"")</f>
        <v/>
      </c>
      <c r="AI74" s="62" t="str">
        <f t="shared" si="16"/>
        <v/>
      </c>
      <c r="AJ74" s="64" t="str">
        <f t="shared" si="5"/>
        <v/>
      </c>
      <c r="AK74" s="75" t="str">
        <f t="shared" si="17"/>
        <v/>
      </c>
      <c r="AL74" s="79"/>
      <c r="AM74" s="78"/>
      <c r="AN74" s="78"/>
      <c r="AO74" s="78"/>
      <c r="AP74" s="78"/>
      <c r="AQ74" s="61" t="str">
        <f t="shared" si="18"/>
        <v/>
      </c>
      <c r="AR74" s="62" t="str">
        <f>IFERROR(IF(AQ74=0,"",ROUND((AQ74/SUM([1]SETTINGS!$C$26:$C$29))*[1]SETTINGS!$C$30,0)),"")</f>
        <v/>
      </c>
      <c r="AS74" s="63"/>
      <c r="AT74" s="62" t="str">
        <f>IFERROR(IF(ISBLANK(AS74),"",ROUND((AS74/[1]SETTINGS!$C$31)*[1]SETTINGS!$C$32,0)),"")</f>
        <v/>
      </c>
      <c r="AU74" s="62" t="str">
        <f t="shared" si="19"/>
        <v/>
      </c>
      <c r="AV74" s="64" t="str">
        <f t="shared" si="6"/>
        <v/>
      </c>
      <c r="AW74" s="65" t="str">
        <f t="shared" si="20"/>
        <v/>
      </c>
      <c r="AX74" s="72"/>
      <c r="AY74" s="78"/>
      <c r="AZ74" s="78"/>
      <c r="BA74" s="78"/>
      <c r="BB74" s="78"/>
      <c r="BC74" s="61" t="str">
        <f t="shared" si="21"/>
        <v/>
      </c>
      <c r="BD74" s="62" t="str">
        <f>IFERROR(IF(BC74=0,"",ROUND((BC74/SUM([1]SETTINGS!$C$26:$C$29))*[1]SETTINGS!$C$30,0)),"")</f>
        <v/>
      </c>
      <c r="BE74" s="63"/>
      <c r="BF74" s="62" t="str">
        <f>IFERROR(IF(ISBLANK(BE74),"",ROUND((BE74/[1]SETTINGS!$C$31)*[1]SETTINGS!$C$32,0)),"")</f>
        <v/>
      </c>
      <c r="BG74" s="62" t="str">
        <f t="shared" si="22"/>
        <v/>
      </c>
      <c r="BH74" s="64" t="str">
        <f t="shared" si="7"/>
        <v/>
      </c>
      <c r="BI74" s="75" t="str">
        <f t="shared" si="23"/>
        <v/>
      </c>
      <c r="BJ74" s="72"/>
      <c r="BK74" s="78"/>
      <c r="BL74" s="78"/>
      <c r="BM74" s="78"/>
      <c r="BN74" s="78"/>
      <c r="BO74" s="61" t="str">
        <f t="shared" si="24"/>
        <v/>
      </c>
      <c r="BP74" s="62" t="str">
        <f>IFERROR(IF(BO74=0,"",ROUND((BO74/SUM([1]SETTINGS!$C$26:$C$29))*[1]SETTINGS!$C$30,0)),"")</f>
        <v/>
      </c>
      <c r="BQ74" s="63"/>
      <c r="BR74" s="62" t="str">
        <f>IFERROR(IF(ISBLANK(BQ74),"",ROUND((BQ74/[1]SETTINGS!$C$31)*[1]SETTINGS!$C$32,0)),"")</f>
        <v/>
      </c>
      <c r="BS74" s="62" t="str">
        <f t="shared" si="25"/>
        <v/>
      </c>
      <c r="BT74" s="64" t="str">
        <f t="shared" si="8"/>
        <v/>
      </c>
      <c r="BU74" s="65" t="str">
        <f t="shared" si="26"/>
        <v/>
      </c>
      <c r="BV74" s="72"/>
      <c r="BW74" s="78"/>
      <c r="BX74" s="78"/>
      <c r="BY74" s="78"/>
      <c r="BZ74" s="78"/>
      <c r="CA74" s="61" t="str">
        <f t="shared" si="27"/>
        <v/>
      </c>
      <c r="CB74" s="62" t="str">
        <f>IFERROR(IF(CA74=0,"",ROUND((CA74/SUM([1]SETTINGS!$C$26:$C$29))*[1]SETTINGS!$C$30,0)),"")</f>
        <v/>
      </c>
      <c r="CC74" s="63"/>
      <c r="CD74" s="62" t="str">
        <f>IFERROR(IF(ISBLANK(CC74),"",ROUND((CC74/[1]SETTINGS!$C$31)*[1]SETTINGS!$C$32,0)),"")</f>
        <v/>
      </c>
      <c r="CE74" s="62" t="str">
        <f t="shared" si="28"/>
        <v/>
      </c>
      <c r="CF74" s="64" t="str">
        <f t="shared" si="9"/>
        <v/>
      </c>
      <c r="CG74" s="65" t="str">
        <f t="shared" si="29"/>
        <v/>
      </c>
      <c r="CH74" s="72"/>
      <c r="CI74" s="78"/>
      <c r="CJ74" s="78"/>
      <c r="CK74" s="78"/>
      <c r="CL74" s="78"/>
      <c r="CM74" s="61" t="str">
        <f t="shared" si="30"/>
        <v/>
      </c>
      <c r="CN74" s="62" t="str">
        <f>IFERROR(IF(CM74=0,"",ROUND((CM74/SUM([1]SETTINGS!$C$26:$C$29))*[1]SETTINGS!$C$30,0)),"")</f>
        <v/>
      </c>
      <c r="CO74" s="63"/>
      <c r="CP74" s="62" t="str">
        <f>IFERROR(IF(ISBLANK(CO74),"",ROUND((CO74/[1]SETTINGS!$C$31)*[1]SETTINGS!$C$32,0)),"")</f>
        <v/>
      </c>
      <c r="CQ74" s="62" t="str">
        <f t="shared" si="31"/>
        <v/>
      </c>
      <c r="CR74" s="64" t="str">
        <f t="shared" si="10"/>
        <v/>
      </c>
      <c r="CS74" s="65" t="str">
        <f t="shared" si="32"/>
        <v/>
      </c>
      <c r="CT74" s="72"/>
      <c r="CU74" s="78"/>
      <c r="CV74" s="78"/>
      <c r="CW74" s="78"/>
      <c r="CX74" s="78"/>
      <c r="CY74" s="61" t="str">
        <f t="shared" si="33"/>
        <v/>
      </c>
      <c r="CZ74" s="62" t="str">
        <f>IFERROR(IF(CY74=0,"",ROUND((CY74/SUM([1]SETTINGS!$C$26:$C$29))*[1]SETTINGS!$C$30,0)),"")</f>
        <v/>
      </c>
      <c r="DA74" s="63"/>
      <c r="DB74" s="62" t="str">
        <f>IFERROR(IF(ISBLANK(DA74),"",ROUND((DA74/[1]SETTINGS!$C$31)*[1]SETTINGS!$C$32,0)),"")</f>
        <v/>
      </c>
      <c r="DC74" s="62" t="str">
        <f t="shared" si="34"/>
        <v/>
      </c>
      <c r="DD74" s="64" t="str">
        <f t="shared" si="11"/>
        <v/>
      </c>
      <c r="DE74" s="65" t="str">
        <f t="shared" si="35"/>
        <v/>
      </c>
      <c r="DF74" s="64" t="str">
        <f t="shared" si="12"/>
        <v/>
      </c>
      <c r="DG74" s="64" t="str">
        <f>IFERROR(IF(AND(K74,W74,AI74,AU74,BG74,BS74,CE74,CQ74,DC74)="","",SUM(K74,W74,AI74,AU74,LARGE((BG74,BS74,CE74,CQ74,DC74),{1,2}))),"")</f>
        <v/>
      </c>
      <c r="DH74" s="64" t="str">
        <f>IFERROR(IF(AND(M74,Y74,AK74,AW74,,BI74,BU74,CG74,CS74,DE74)="","",SUM(M74,Y74,AK74,AW74,SMALL((BI74,BU74,CG74,CS74,DE74),{1,2}))),"")</f>
        <v/>
      </c>
      <c r="DI74" s="76" t="str">
        <f>IFERROR(pos&amp;IF(AND(MOD(ABS(18),100)&gt;10,MOD(ABS(pos),100)&lt;14),"th", CHOOSE(MOD(ABS(pos),10)+1,"th","st","nd","rd","th","th","th","th","th","th")),"")</f>
        <v/>
      </c>
      <c r="DJ74" s="15">
        <f>ROWS($B$12:$B74)</f>
        <v>63</v>
      </c>
      <c r="DK74" s="15">
        <f>IF($B74=[1]REPORT_CARD!$B$9,$DJ74,"")</f>
        <v>63</v>
      </c>
      <c r="DM74" s="74" t="str">
        <f t="shared" si="38"/>
        <v/>
      </c>
    </row>
    <row r="75" spans="1:117" ht="19.5" customHeight="1">
      <c r="A75" s="59" t="str">
        <f>IFERROR(IF(ISBLANK([1]PRIMARY_INFO!$A75),"",[1]PRIMARY_INFO!$A75),"")</f>
        <v/>
      </c>
      <c r="B75" s="59" t="str">
        <f>IFERROR(IF(ISBLANK([1]PRIMARY_INFO!$B75),"",[1]PRIMARY_INFO!$B75),"")</f>
        <v/>
      </c>
      <c r="C75" s="78"/>
      <c r="D75" s="78"/>
      <c r="E75" s="78"/>
      <c r="F75" s="78"/>
      <c r="G75" s="61" t="str">
        <f t="shared" si="36"/>
        <v/>
      </c>
      <c r="H75" s="62" t="str">
        <f>IFERROR(IF(G75=0,"",ROUND((G75/SUM([1]SETTINGS!$C$26:$C$29))*[1]SETTINGS!$C$30,0)),"")</f>
        <v/>
      </c>
      <c r="I75" s="63"/>
      <c r="J75" s="62" t="str">
        <f>IFERROR(IF(ISBLANK(I75),"",ROUND((I75/[1]SETTINGS!$C$31)*[1]SETTINGS!$C$32,0)),"")</f>
        <v/>
      </c>
      <c r="K75" s="62" t="str">
        <f t="shared" si="13"/>
        <v/>
      </c>
      <c r="L75" s="64" t="str">
        <f t="shared" si="0"/>
        <v/>
      </c>
      <c r="M75" s="65" t="str">
        <f t="shared" si="14"/>
        <v/>
      </c>
      <c r="N75" s="79"/>
      <c r="O75" s="78"/>
      <c r="P75" s="78"/>
      <c r="Q75" s="78"/>
      <c r="R75" s="78"/>
      <c r="S75" s="61" t="str">
        <f t="shared" si="37"/>
        <v/>
      </c>
      <c r="T75" s="62" t="str">
        <f>IFERROR(IF(S75=0,"",ROUND((S75/SUM([1]SETTINGS!$C$26:$C$29))*[1]SETTINGS!$C$30,0)),"")</f>
        <v/>
      </c>
      <c r="U75" s="63"/>
      <c r="V75" s="62" t="str">
        <f>IFERROR(IF(ISBLANK(U75),"",ROUND((U75/[1]SETTINGS!$C$31)*[1]SETTINGS!$C$32,0)),"")</f>
        <v/>
      </c>
      <c r="W75" s="62" t="str">
        <f t="shared" si="2"/>
        <v/>
      </c>
      <c r="X75" s="64" t="str">
        <f t="shared" si="3"/>
        <v/>
      </c>
      <c r="Y75" s="65" t="str">
        <f t="shared" si="4"/>
        <v/>
      </c>
      <c r="Z75" s="79"/>
      <c r="AA75" s="78"/>
      <c r="AB75" s="78"/>
      <c r="AC75" s="78"/>
      <c r="AD75" s="78"/>
      <c r="AE75" s="61" t="str">
        <f t="shared" si="15"/>
        <v/>
      </c>
      <c r="AF75" s="62" t="str">
        <f>IFERROR(IF(AE75=0,"",ROUND((AE75/SUM([1]SETTINGS!$C$26:$C$29))*[1]SETTINGS!$C$30,0)),"")</f>
        <v/>
      </c>
      <c r="AG75" s="63"/>
      <c r="AH75" s="62" t="str">
        <f>IFERROR(IF(ISBLANK(AG75),"",ROUND((AG75/[1]SETTINGS!$C$31)*[1]SETTINGS!$C$32,0)),"")</f>
        <v/>
      </c>
      <c r="AI75" s="62" t="str">
        <f t="shared" si="16"/>
        <v/>
      </c>
      <c r="AJ75" s="64" t="str">
        <f t="shared" si="5"/>
        <v/>
      </c>
      <c r="AK75" s="75" t="str">
        <f t="shared" si="17"/>
        <v/>
      </c>
      <c r="AL75" s="79"/>
      <c r="AM75" s="78"/>
      <c r="AN75" s="78"/>
      <c r="AO75" s="78"/>
      <c r="AP75" s="78"/>
      <c r="AQ75" s="61" t="str">
        <f t="shared" si="18"/>
        <v/>
      </c>
      <c r="AR75" s="62" t="str">
        <f>IFERROR(IF(AQ75=0,"",ROUND((AQ75/SUM([1]SETTINGS!$C$26:$C$29))*[1]SETTINGS!$C$30,0)),"")</f>
        <v/>
      </c>
      <c r="AS75" s="63"/>
      <c r="AT75" s="62" t="str">
        <f>IFERROR(IF(ISBLANK(AS75),"",ROUND((AS75/[1]SETTINGS!$C$31)*[1]SETTINGS!$C$32,0)),"")</f>
        <v/>
      </c>
      <c r="AU75" s="62" t="str">
        <f t="shared" si="19"/>
        <v/>
      </c>
      <c r="AV75" s="64" t="str">
        <f t="shared" si="6"/>
        <v/>
      </c>
      <c r="AW75" s="65" t="str">
        <f t="shared" si="20"/>
        <v/>
      </c>
      <c r="AX75" s="72"/>
      <c r="AY75" s="78"/>
      <c r="AZ75" s="78"/>
      <c r="BA75" s="78"/>
      <c r="BB75" s="78"/>
      <c r="BC75" s="61" t="str">
        <f t="shared" si="21"/>
        <v/>
      </c>
      <c r="BD75" s="62" t="str">
        <f>IFERROR(IF(BC75=0,"",ROUND((BC75/SUM([1]SETTINGS!$C$26:$C$29))*[1]SETTINGS!$C$30,0)),"")</f>
        <v/>
      </c>
      <c r="BE75" s="63"/>
      <c r="BF75" s="62" t="str">
        <f>IFERROR(IF(ISBLANK(BE75),"",ROUND((BE75/[1]SETTINGS!$C$31)*[1]SETTINGS!$C$32,0)),"")</f>
        <v/>
      </c>
      <c r="BG75" s="62" t="str">
        <f t="shared" si="22"/>
        <v/>
      </c>
      <c r="BH75" s="64" t="str">
        <f t="shared" si="7"/>
        <v/>
      </c>
      <c r="BI75" s="75" t="str">
        <f t="shared" si="23"/>
        <v/>
      </c>
      <c r="BJ75" s="72"/>
      <c r="BK75" s="78"/>
      <c r="BL75" s="78"/>
      <c r="BM75" s="78"/>
      <c r="BN75" s="78"/>
      <c r="BO75" s="61" t="str">
        <f t="shared" si="24"/>
        <v/>
      </c>
      <c r="BP75" s="62" t="str">
        <f>IFERROR(IF(BO75=0,"",ROUND((BO75/SUM([1]SETTINGS!$C$26:$C$29))*[1]SETTINGS!$C$30,0)),"")</f>
        <v/>
      </c>
      <c r="BQ75" s="63"/>
      <c r="BR75" s="62" t="str">
        <f>IFERROR(IF(ISBLANK(BQ75),"",ROUND((BQ75/[1]SETTINGS!$C$31)*[1]SETTINGS!$C$32,0)),"")</f>
        <v/>
      </c>
      <c r="BS75" s="62" t="str">
        <f t="shared" si="25"/>
        <v/>
      </c>
      <c r="BT75" s="64" t="str">
        <f t="shared" si="8"/>
        <v/>
      </c>
      <c r="BU75" s="65" t="str">
        <f t="shared" si="26"/>
        <v/>
      </c>
      <c r="BV75" s="72"/>
      <c r="BW75" s="78"/>
      <c r="BX75" s="78"/>
      <c r="BY75" s="78"/>
      <c r="BZ75" s="78"/>
      <c r="CA75" s="61" t="str">
        <f t="shared" si="27"/>
        <v/>
      </c>
      <c r="CB75" s="62" t="str">
        <f>IFERROR(IF(CA75=0,"",ROUND((CA75/SUM([1]SETTINGS!$C$26:$C$29))*[1]SETTINGS!$C$30,0)),"")</f>
        <v/>
      </c>
      <c r="CC75" s="63"/>
      <c r="CD75" s="62" t="str">
        <f>IFERROR(IF(ISBLANK(CC75),"",ROUND((CC75/[1]SETTINGS!$C$31)*[1]SETTINGS!$C$32,0)),"")</f>
        <v/>
      </c>
      <c r="CE75" s="62" t="str">
        <f t="shared" si="28"/>
        <v/>
      </c>
      <c r="CF75" s="64" t="str">
        <f t="shared" si="9"/>
        <v/>
      </c>
      <c r="CG75" s="65" t="str">
        <f t="shared" si="29"/>
        <v/>
      </c>
      <c r="CH75" s="72"/>
      <c r="CI75" s="78"/>
      <c r="CJ75" s="78"/>
      <c r="CK75" s="78"/>
      <c r="CL75" s="78"/>
      <c r="CM75" s="61" t="str">
        <f t="shared" si="30"/>
        <v/>
      </c>
      <c r="CN75" s="62" t="str">
        <f>IFERROR(IF(CM75=0,"",ROUND((CM75/SUM([1]SETTINGS!$C$26:$C$29))*[1]SETTINGS!$C$30,0)),"")</f>
        <v/>
      </c>
      <c r="CO75" s="63"/>
      <c r="CP75" s="62" t="str">
        <f>IFERROR(IF(ISBLANK(CO75),"",ROUND((CO75/[1]SETTINGS!$C$31)*[1]SETTINGS!$C$32,0)),"")</f>
        <v/>
      </c>
      <c r="CQ75" s="62" t="str">
        <f t="shared" si="31"/>
        <v/>
      </c>
      <c r="CR75" s="64" t="str">
        <f t="shared" si="10"/>
        <v/>
      </c>
      <c r="CS75" s="65" t="str">
        <f t="shared" si="32"/>
        <v/>
      </c>
      <c r="CT75" s="72"/>
      <c r="CU75" s="78"/>
      <c r="CV75" s="78"/>
      <c r="CW75" s="78"/>
      <c r="CX75" s="78"/>
      <c r="CY75" s="61" t="str">
        <f t="shared" si="33"/>
        <v/>
      </c>
      <c r="CZ75" s="62" t="str">
        <f>IFERROR(IF(CY75=0,"",ROUND((CY75/SUM([1]SETTINGS!$C$26:$C$29))*[1]SETTINGS!$C$30,0)),"")</f>
        <v/>
      </c>
      <c r="DA75" s="63"/>
      <c r="DB75" s="62" t="str">
        <f>IFERROR(IF(ISBLANK(DA75),"",ROUND((DA75/[1]SETTINGS!$C$31)*[1]SETTINGS!$C$32,0)),"")</f>
        <v/>
      </c>
      <c r="DC75" s="62" t="str">
        <f t="shared" si="34"/>
        <v/>
      </c>
      <c r="DD75" s="64" t="str">
        <f t="shared" si="11"/>
        <v/>
      </c>
      <c r="DE75" s="65" t="str">
        <f t="shared" si="35"/>
        <v/>
      </c>
      <c r="DF75" s="64" t="str">
        <f t="shared" si="12"/>
        <v/>
      </c>
      <c r="DG75" s="64" t="str">
        <f>IFERROR(IF(AND(K75,W75,AI75,AU75,BG75,BS75,CE75,CQ75,DC75)="","",SUM(K75,W75,AI75,AU75,LARGE((BG75,BS75,CE75,CQ75,DC75),{1,2}))),"")</f>
        <v/>
      </c>
      <c r="DH75" s="64" t="str">
        <f>IFERROR(IF(AND(M75,Y75,AK75,AW75,,BI75,BU75,CG75,CS75,DE75)="","",SUM(M75,Y75,AK75,AW75,SMALL((BI75,BU75,CG75,CS75,DE75),{1,2}))),"")</f>
        <v/>
      </c>
      <c r="DI75" s="76" t="str">
        <f>IFERROR(pos&amp;IF(AND(MOD(ABS(18),100)&gt;10,MOD(ABS(pos),100)&lt;14),"th", CHOOSE(MOD(ABS(pos),10)+1,"th","st","nd","rd","th","th","th","th","th","th")),"")</f>
        <v/>
      </c>
      <c r="DJ75" s="15">
        <f>ROWS($B$12:$B75)</f>
        <v>64</v>
      </c>
      <c r="DK75" s="15">
        <f>IF($B75=[1]REPORT_CARD!$B$9,$DJ75,"")</f>
        <v>64</v>
      </c>
      <c r="DM75" s="74" t="str">
        <f t="shared" si="38"/>
        <v/>
      </c>
    </row>
    <row r="76" spans="1:117" ht="19.5" customHeight="1" thickBot="1">
      <c r="A76" s="59" t="str">
        <f>IFERROR(IF(ISBLANK([1]PRIMARY_INFO!$A76),"",[1]PRIMARY_INFO!$A76),"")</f>
        <v/>
      </c>
      <c r="B76" s="59" t="str">
        <f>IFERROR(IF(ISBLANK([1]PRIMARY_INFO!$B76),"",[1]PRIMARY_INFO!$B76),"")</f>
        <v/>
      </c>
      <c r="C76" s="80"/>
      <c r="D76" s="80"/>
      <c r="E76" s="80"/>
      <c r="F76" s="80"/>
      <c r="G76" s="81" t="str">
        <f t="shared" si="36"/>
        <v/>
      </c>
      <c r="H76" s="62" t="str">
        <f>IFERROR(IF(G76=0,"",ROUND((G76/SUM([1]SETTINGS!$C$26:$C$29))*[1]SETTINGS!$C$30,0)),"")</f>
        <v/>
      </c>
      <c r="I76" s="82"/>
      <c r="J76" s="62" t="str">
        <f>IFERROR(IF(ISBLANK(I76),"",ROUND((I76/[1]SETTINGS!$C$31)*[1]SETTINGS!$C$32,0)),"")</f>
        <v/>
      </c>
      <c r="K76" s="83" t="str">
        <f t="shared" si="13"/>
        <v/>
      </c>
      <c r="L76" s="84" t="str">
        <f t="shared" ref="L76" si="39">IFERROR(IF(K76="","",RANK(K76,K$12:K$76)),"")</f>
        <v/>
      </c>
      <c r="M76" s="85" t="str">
        <f t="shared" si="14"/>
        <v/>
      </c>
      <c r="N76" s="79"/>
      <c r="O76" s="80"/>
      <c r="P76" s="80"/>
      <c r="Q76" s="80"/>
      <c r="R76" s="80"/>
      <c r="S76" s="81" t="str">
        <f t="shared" ref="S76" si="40">IFERROR(IF(AND(O76:R76)="","",SUM(O76:R76)),"")</f>
        <v/>
      </c>
      <c r="T76" s="62" t="str">
        <f>IFERROR(IF(S76=0,"",ROUND((S76/SUM([1]SETTINGS!$C$26:$C$29))*[1]SETTINGS!$C$30,0)),"")</f>
        <v/>
      </c>
      <c r="U76" s="82"/>
      <c r="V76" s="62" t="str">
        <f>IFERROR(IF(ISBLANK(U76),"",ROUND((U76/[1]SETTINGS!$C$31)*[1]SETTINGS!$C$32,0)),"")</f>
        <v/>
      </c>
      <c r="W76" s="83" t="str">
        <f t="shared" ref="W76" si="41">IFERROR(IF(AND(T76,V76)="","",SUM(T76,V76)),"")</f>
        <v/>
      </c>
      <c r="X76" s="84" t="str">
        <f t="shared" ref="X76" si="42">IFERROR(IF(W76="","",RANK(W76,W$12:W$76)),"")</f>
        <v/>
      </c>
      <c r="Y76" s="85" t="str">
        <f t="shared" ref="Y76" si="43">IFERROR(IF(W76="","",IF(W76&gt;=75,VALUE(1),IF(W76&gt;=70,VALUE(2),IF(W76&gt;=65,VALUE(3),IF(W76&gt;=60,VALUE(4),IF(W76&gt;=55,VALUE(5),IF(W76&gt;=50,VALUE(6),IF(W76&gt;=45,VALUE(7),IF(W76&gt;=40,VALUE(8),VALUE(9)))))))))),"")</f>
        <v/>
      </c>
      <c r="Z76" s="79"/>
      <c r="AA76" s="80"/>
      <c r="AB76" s="80"/>
      <c r="AC76" s="80"/>
      <c r="AD76" s="80"/>
      <c r="AE76" s="81" t="str">
        <f t="shared" ref="AE76" si="44">IFERROR(IF(AND(AA76:AD76)="","",SUM(AA76:AD76)),"")</f>
        <v/>
      </c>
      <c r="AF76" s="62" t="str">
        <f>IFERROR(IF(AE76=0,"",ROUND((AE76/SUM([1]SETTINGS!$C$26:$C$29))*[1]SETTINGS!$C$30,0)),"")</f>
        <v/>
      </c>
      <c r="AG76" s="82"/>
      <c r="AH76" s="62" t="str">
        <f>IFERROR(IF(ISBLANK(AG76),"",ROUND((AG76/[1]SETTINGS!$C$31)*[1]SETTINGS!$C$32,0)),"")</f>
        <v/>
      </c>
      <c r="AI76" s="83" t="str">
        <f t="shared" si="16"/>
        <v/>
      </c>
      <c r="AJ76" s="84" t="str">
        <f t="shared" ref="AJ76" si="45">IFERROR(IF(AI76="","",RANK(AI76,AI$12:AI$76)),"")</f>
        <v/>
      </c>
      <c r="AK76" s="86" t="str">
        <f t="shared" si="17"/>
        <v/>
      </c>
      <c r="AL76" s="79"/>
      <c r="AM76" s="80"/>
      <c r="AN76" s="80"/>
      <c r="AO76" s="80"/>
      <c r="AP76" s="80"/>
      <c r="AQ76" s="81" t="str">
        <f t="shared" ref="AQ76" si="46">IFERROR(IF(AND(AM76:AP76)="","",SUM(AM76:AP76)),"")</f>
        <v/>
      </c>
      <c r="AR76" s="62" t="str">
        <f>IFERROR(IF(AQ76=0,"",ROUND((AQ76/SUM([1]SETTINGS!$C$26:$C$29))*[1]SETTINGS!$C$30,0)),"")</f>
        <v/>
      </c>
      <c r="AS76" s="82"/>
      <c r="AT76" s="62" t="str">
        <f>IFERROR(IF(ISBLANK(AS76),"",ROUND((AS76/[1]SETTINGS!$C$31)*[1]SETTINGS!$C$32,0)),"")</f>
        <v/>
      </c>
      <c r="AU76" s="83" t="str">
        <f t="shared" si="19"/>
        <v/>
      </c>
      <c r="AV76" s="84" t="str">
        <f t="shared" ref="AV76" si="47">IFERROR(IF(AU76="","",RANK(AU76,AU$12:AU$76)),"")</f>
        <v/>
      </c>
      <c r="AW76" s="85" t="str">
        <f t="shared" si="20"/>
        <v/>
      </c>
      <c r="AX76" s="72"/>
      <c r="AY76" s="80"/>
      <c r="AZ76" s="80"/>
      <c r="BA76" s="80"/>
      <c r="BB76" s="80"/>
      <c r="BC76" s="81" t="str">
        <f t="shared" ref="BC76" si="48">IFERROR(IF(AND(AY76:BB76)="","",SUM(AY76:BB76)),"")</f>
        <v/>
      </c>
      <c r="BD76" s="62" t="str">
        <f>IFERROR(IF(BC76=0,"",ROUND((BC76/SUM([1]SETTINGS!$C$26:$C$29))*[1]SETTINGS!$C$30,0)),"")</f>
        <v/>
      </c>
      <c r="BE76" s="82"/>
      <c r="BF76" s="62" t="str">
        <f>IFERROR(IF(ISBLANK(BE76),"",ROUND((BE76/[1]SETTINGS!$C$31)*[1]SETTINGS!$C$32,0)),"")</f>
        <v/>
      </c>
      <c r="BG76" s="83" t="str">
        <f t="shared" si="22"/>
        <v/>
      </c>
      <c r="BH76" s="84" t="str">
        <f t="shared" ref="BH76" si="49">IFERROR(IF(BG76="","",RANK(BG76,BG$12:BG$76)),"")</f>
        <v/>
      </c>
      <c r="BI76" s="86" t="str">
        <f t="shared" si="23"/>
        <v/>
      </c>
      <c r="BJ76" s="72"/>
      <c r="BK76" s="80"/>
      <c r="BL76" s="80"/>
      <c r="BM76" s="80"/>
      <c r="BN76" s="80"/>
      <c r="BO76" s="81" t="str">
        <f t="shared" ref="BO76" si="50">IFERROR(IF(AND(BK76:BN76)="","",SUM(BK76:BN76)),"")</f>
        <v/>
      </c>
      <c r="BP76" s="62" t="str">
        <f>IFERROR(IF(BO76=0,"",ROUND((BO76/SUM([1]SETTINGS!$C$26:$C$29))*[1]SETTINGS!$C$30,0)),"")</f>
        <v/>
      </c>
      <c r="BQ76" s="82"/>
      <c r="BR76" s="62" t="str">
        <f>IFERROR(IF(ISBLANK(BQ76),"",ROUND((BQ76/[1]SETTINGS!$C$31)*[1]SETTINGS!$C$32,0)),"")</f>
        <v/>
      </c>
      <c r="BS76" s="83" t="str">
        <f t="shared" si="25"/>
        <v/>
      </c>
      <c r="BT76" s="84" t="str">
        <f t="shared" ref="BT76" si="51">IFERROR(IF(BS76="","",RANK(BS76,BS$12:BS$76)),"")</f>
        <v/>
      </c>
      <c r="BU76" s="85" t="str">
        <f t="shared" si="26"/>
        <v/>
      </c>
      <c r="BV76" s="72"/>
      <c r="BW76" s="80"/>
      <c r="BX76" s="80"/>
      <c r="BY76" s="80"/>
      <c r="BZ76" s="80"/>
      <c r="CA76" s="81" t="str">
        <f t="shared" ref="CA76" si="52">IFERROR(IF(AND(BW76:BZ76)="","",SUM(BW76:BZ76)),"")</f>
        <v/>
      </c>
      <c r="CB76" s="62" t="str">
        <f>IFERROR(IF(CA76=0,"",ROUND((CA76/SUM([1]SETTINGS!$C$26:$C$29))*[1]SETTINGS!$C$30,0)),"")</f>
        <v/>
      </c>
      <c r="CC76" s="82"/>
      <c r="CD76" s="62" t="str">
        <f>IFERROR(IF(ISBLANK(CC76),"",ROUND((CC76/[1]SETTINGS!$C$31)*[1]SETTINGS!$C$32,0)),"")</f>
        <v/>
      </c>
      <c r="CE76" s="83" t="str">
        <f t="shared" si="28"/>
        <v/>
      </c>
      <c r="CF76" s="84" t="str">
        <f t="shared" ref="CF76" si="53">IFERROR(IF(CE76="","",RANK(CE76,CE$12:CE$76)),"")</f>
        <v/>
      </c>
      <c r="CG76" s="85" t="str">
        <f t="shared" si="29"/>
        <v/>
      </c>
      <c r="CH76" s="72"/>
      <c r="CI76" s="80"/>
      <c r="CJ76" s="80"/>
      <c r="CK76" s="80"/>
      <c r="CL76" s="80"/>
      <c r="CM76" s="81" t="str">
        <f t="shared" ref="CM76" si="54">IFERROR(IF(AND(CI76:CL76)="","",SUM(CI76:CL76)),"")</f>
        <v/>
      </c>
      <c r="CN76" s="62" t="str">
        <f>IFERROR(IF(CM76=0,"",ROUND((CM76/SUM([1]SETTINGS!$C$26:$C$29))*[1]SETTINGS!$C$30,0)),"")</f>
        <v/>
      </c>
      <c r="CO76" s="82"/>
      <c r="CP76" s="62" t="str">
        <f>IFERROR(IF(ISBLANK(CO76),"",ROUND((CO76/[1]SETTINGS!$C$31)*[1]SETTINGS!$C$32,0)),"")</f>
        <v/>
      </c>
      <c r="CQ76" s="83" t="str">
        <f t="shared" si="31"/>
        <v/>
      </c>
      <c r="CR76" s="84" t="str">
        <f t="shared" ref="CR76" si="55">IFERROR(IF(CQ76="","",RANK(CQ76,CQ$12:CQ$76)),"")</f>
        <v/>
      </c>
      <c r="CS76" s="85" t="str">
        <f t="shared" si="32"/>
        <v/>
      </c>
      <c r="CT76" s="72"/>
      <c r="CU76" s="80"/>
      <c r="CV76" s="80"/>
      <c r="CW76" s="80"/>
      <c r="CX76" s="80"/>
      <c r="CY76" s="81" t="str">
        <f t="shared" ref="CY76" si="56">IFERROR(IF(AND(CU76:CX76)="","",SUM(CU76:CX76)),"")</f>
        <v/>
      </c>
      <c r="CZ76" s="62" t="str">
        <f>IFERROR(IF(CY76=0,"",ROUND((CY76/SUM([1]SETTINGS!$C$26:$C$29))*[1]SETTINGS!$C$30,0)),"")</f>
        <v/>
      </c>
      <c r="DA76" s="82"/>
      <c r="DB76" s="62" t="str">
        <f>IFERROR(IF(ISBLANK(DA76),"",ROUND((DA76/[1]SETTINGS!$C$31)*[1]SETTINGS!$C$32,0)),"")</f>
        <v/>
      </c>
      <c r="DC76" s="83" t="str">
        <f t="shared" si="34"/>
        <v/>
      </c>
      <c r="DD76" s="84" t="str">
        <f t="shared" ref="DD76" si="57">IFERROR(IF(DC76="","",RANK(DC76,DC$12:DC$76)),"")</f>
        <v/>
      </c>
      <c r="DE76" s="85" t="str">
        <f t="shared" si="35"/>
        <v/>
      </c>
      <c r="DF76" s="84" t="str">
        <f t="shared" ref="DF76" si="58">IFERROR(IF(AND(K76,W76,AI76,AU76,BG76,BS76,CE76,CQ76,DC76)="","",SUM(K76,W76,AI76,AU76,BG76,BS76,CE76,CQ76,DC76)),"")</f>
        <v/>
      </c>
      <c r="DG76" s="64" t="str">
        <f>IFERROR(IF(AND(K76,W76,AI76,AU76,BG76,BS76,CE76,CQ76,DC76)="","",SUM(K76,W76,AI76,AU76,LARGE((BG76,BS76,CE76,CQ76,DC76),{1,2}))),"")</f>
        <v/>
      </c>
      <c r="DH76" s="64" t="str">
        <f>IFERROR(IF(AND(M76,Y76,AK76,AW76,,BI76,BU76,CG76,CS76,DE76)="","",SUM(M76,Y76,AK76,AW76,SMALL((BI76,BU76,CG76,CS76,DE76),{1,2}))),"")</f>
        <v/>
      </c>
      <c r="DI76" s="87" t="str">
        <f>IFERROR(pos&amp;IF(AND(MOD(ABS(18),100)&gt;10,MOD(ABS(pos),100)&lt;14),"th", CHOOSE(MOD(ABS(pos),10)+1,"th","st","nd","rd","th","th","th","th","th","th")),"")</f>
        <v/>
      </c>
      <c r="DJ76" s="15">
        <f>ROWS($B$12:$B76)</f>
        <v>65</v>
      </c>
      <c r="DK76" s="15">
        <f>IF($B76=[1]REPORT_CARD!$B$9,$DJ76,"")</f>
        <v>65</v>
      </c>
      <c r="DM76" s="74" t="str">
        <f t="shared" si="38"/>
        <v/>
      </c>
    </row>
    <row r="77" spans="1:117" ht="19.5" customHeight="1" thickBot="1">
      <c r="A77" s="88"/>
      <c r="B77" s="89" t="s">
        <v>103</v>
      </c>
      <c r="C77" s="88">
        <f>IFERROR(IF(OR(C12:C76)="","",SUM(C12:C76)),"")</f>
        <v>735</v>
      </c>
      <c r="D77" s="88">
        <f t="shared" ref="D77:K77" si="59">IFERROR(IF(OR(D12:D76)="","",SUM(D12:D76)),"")</f>
        <v>729</v>
      </c>
      <c r="E77" s="88">
        <f t="shared" si="59"/>
        <v>691</v>
      </c>
      <c r="F77" s="88">
        <f t="shared" si="59"/>
        <v>601</v>
      </c>
      <c r="G77" s="88">
        <f>IFERROR(IF(OR(G12:G76)="","",SUM(G12:G76)),"")</f>
        <v>2756</v>
      </c>
      <c r="H77" s="88" t="str">
        <f t="shared" ref="H77:J77" si="60">IFERROR(IF(OR(H12:H76)="","",SUM(H12:H76)),"")</f>
        <v/>
      </c>
      <c r="I77" s="88">
        <f t="shared" si="60"/>
        <v>2307</v>
      </c>
      <c r="J77" s="88" t="str">
        <f t="shared" si="60"/>
        <v/>
      </c>
      <c r="K77" s="88" t="str">
        <f t="shared" si="59"/>
        <v/>
      </c>
      <c r="L77" s="88"/>
      <c r="M77" s="88"/>
      <c r="N77" s="11"/>
      <c r="O77" s="88">
        <f>IFERROR(IF(OR(O12:O76)="","",SUM(O12:O76)),"")</f>
        <v>427</v>
      </c>
      <c r="P77" s="88">
        <f t="shared" ref="P77:W77" si="61">IFERROR(IF(OR(P12:P76)="","",SUM(P12:P76)),"")</f>
        <v>717</v>
      </c>
      <c r="Q77" s="88">
        <f t="shared" si="61"/>
        <v>461</v>
      </c>
      <c r="R77" s="88">
        <f t="shared" si="61"/>
        <v>611</v>
      </c>
      <c r="S77" s="88">
        <f t="shared" si="61"/>
        <v>2216</v>
      </c>
      <c r="T77" s="88" t="str">
        <f t="shared" si="61"/>
        <v/>
      </c>
      <c r="U77" s="88">
        <f t="shared" si="61"/>
        <v>2234</v>
      </c>
      <c r="V77" s="88" t="str">
        <f t="shared" si="61"/>
        <v/>
      </c>
      <c r="W77" s="88" t="str">
        <f t="shared" si="61"/>
        <v/>
      </c>
      <c r="X77" s="88"/>
      <c r="Y77" s="88"/>
      <c r="Z77" s="11"/>
      <c r="AA77" s="88">
        <f>IFERROR(IF(OR(AA12:AA76)="","",SUM(AA12:AA76)),"")</f>
        <v>567</v>
      </c>
      <c r="AB77" s="88">
        <f t="shared" ref="AB77:AI77" si="62">IFERROR(IF(OR(AB12:AB76)="","",SUM(AB12:AB76)),"")</f>
        <v>600</v>
      </c>
      <c r="AC77" s="88">
        <f t="shared" si="62"/>
        <v>582</v>
      </c>
      <c r="AD77" s="88">
        <f t="shared" si="62"/>
        <v>662</v>
      </c>
      <c r="AE77" s="88">
        <f t="shared" si="62"/>
        <v>2411</v>
      </c>
      <c r="AF77" s="88" t="str">
        <f t="shared" si="62"/>
        <v/>
      </c>
      <c r="AG77" s="88">
        <f t="shared" si="62"/>
        <v>2763</v>
      </c>
      <c r="AH77" s="88" t="str">
        <f t="shared" si="62"/>
        <v/>
      </c>
      <c r="AI77" s="88" t="str">
        <f t="shared" si="62"/>
        <v/>
      </c>
      <c r="AJ77" s="88"/>
      <c r="AK77" s="88"/>
      <c r="AL77" s="11"/>
      <c r="AM77" s="88">
        <f>IFERROR(IF(OR(AM12:AM76)="","",SUM(AM12:AM76)),"")</f>
        <v>543</v>
      </c>
      <c r="AN77" s="88">
        <f t="shared" ref="AN77:AU77" si="63">IFERROR(IF(OR(AN12:AN76)="","",SUM(AN12:AN76)),"")</f>
        <v>542</v>
      </c>
      <c r="AO77" s="88">
        <f t="shared" si="63"/>
        <v>567</v>
      </c>
      <c r="AP77" s="88">
        <f t="shared" si="63"/>
        <v>837</v>
      </c>
      <c r="AQ77" s="88">
        <f t="shared" si="63"/>
        <v>2489</v>
      </c>
      <c r="AR77" s="88" t="str">
        <f t="shared" si="63"/>
        <v/>
      </c>
      <c r="AS77" s="88">
        <f t="shared" si="63"/>
        <v>2068</v>
      </c>
      <c r="AT77" s="88" t="str">
        <f t="shared" si="63"/>
        <v/>
      </c>
      <c r="AU77" s="88" t="str">
        <f t="shared" si="63"/>
        <v/>
      </c>
      <c r="AV77" s="88"/>
      <c r="AW77" s="88"/>
      <c r="AX77" s="13"/>
      <c r="AY77" s="88">
        <f>IFERROR(IF(OR(AY12:AY76)="","",SUM(AY12:AY76)),"")</f>
        <v>671</v>
      </c>
      <c r="AZ77" s="88">
        <f t="shared" ref="AZ77:BG77" si="64">IFERROR(IF(OR(AZ12:AZ76)="","",SUM(AZ12:AZ76)),"")</f>
        <v>612</v>
      </c>
      <c r="BA77" s="88">
        <f t="shared" si="64"/>
        <v>615</v>
      </c>
      <c r="BB77" s="88">
        <f t="shared" si="64"/>
        <v>633</v>
      </c>
      <c r="BC77" s="88">
        <f t="shared" si="64"/>
        <v>2531</v>
      </c>
      <c r="BD77" s="88" t="str">
        <f t="shared" si="64"/>
        <v/>
      </c>
      <c r="BE77" s="88">
        <f t="shared" si="64"/>
        <v>3219</v>
      </c>
      <c r="BF77" s="88" t="str">
        <f t="shared" si="64"/>
        <v/>
      </c>
      <c r="BG77" s="88" t="str">
        <f t="shared" si="64"/>
        <v/>
      </c>
      <c r="BH77" s="88"/>
      <c r="BI77" s="88"/>
      <c r="BJ77" s="13"/>
      <c r="BK77" s="88">
        <f>IFERROR(IF(OR(BK12:BK76)="","",SUM(BK12:BK76)),"")</f>
        <v>646</v>
      </c>
      <c r="BL77" s="88">
        <f t="shared" ref="BL77:BS77" si="65">IFERROR(IF(OR(BL12:BL76)="","",SUM(BL12:BL76)),"")</f>
        <v>496</v>
      </c>
      <c r="BM77" s="88">
        <f t="shared" si="65"/>
        <v>256</v>
      </c>
      <c r="BN77" s="88">
        <f t="shared" si="65"/>
        <v>847</v>
      </c>
      <c r="BO77" s="88">
        <f t="shared" si="65"/>
        <v>2245</v>
      </c>
      <c r="BP77" s="88" t="str">
        <f t="shared" si="65"/>
        <v/>
      </c>
      <c r="BQ77" s="88">
        <f t="shared" si="65"/>
        <v>2380</v>
      </c>
      <c r="BR77" s="88" t="str">
        <f t="shared" si="65"/>
        <v/>
      </c>
      <c r="BS77" s="88" t="str">
        <f t="shared" si="65"/>
        <v/>
      </c>
      <c r="BT77" s="88"/>
      <c r="BU77" s="88"/>
      <c r="BV77" s="13"/>
      <c r="BW77" s="88">
        <f>IFERROR(IF(OR(BW12:BW76)="","",SUM(BW12:BW76)),"")</f>
        <v>609</v>
      </c>
      <c r="BX77" s="88">
        <f t="shared" ref="BX77:CE77" si="66">IFERROR(IF(OR(BX12:BX76)="","",SUM(BX12:BX76)),"")</f>
        <v>559</v>
      </c>
      <c r="BY77" s="88">
        <f t="shared" si="66"/>
        <v>705</v>
      </c>
      <c r="BZ77" s="88">
        <f t="shared" si="66"/>
        <v>634</v>
      </c>
      <c r="CA77" s="88">
        <f t="shared" si="66"/>
        <v>2507</v>
      </c>
      <c r="CB77" s="88" t="str">
        <f t="shared" si="66"/>
        <v/>
      </c>
      <c r="CC77" s="88">
        <f t="shared" si="66"/>
        <v>2778</v>
      </c>
      <c r="CD77" s="88" t="str">
        <f t="shared" si="66"/>
        <v/>
      </c>
      <c r="CE77" s="88" t="str">
        <f t="shared" si="66"/>
        <v/>
      </c>
      <c r="CF77" s="88"/>
      <c r="CG77" s="88"/>
      <c r="CH77" s="13"/>
      <c r="CI77" s="88">
        <f>IFERROR(IF(OR(CI12:CI76)="","",SUM(CI12:CI76)),"")</f>
        <v>673</v>
      </c>
      <c r="CJ77" s="88">
        <f t="shared" ref="CJ77:CQ77" si="67">IFERROR(IF(OR(CJ12:CJ76)="","",SUM(CJ12:CJ76)),"")</f>
        <v>789</v>
      </c>
      <c r="CK77" s="88">
        <f t="shared" si="67"/>
        <v>593</v>
      </c>
      <c r="CL77" s="88">
        <f t="shared" si="67"/>
        <v>728</v>
      </c>
      <c r="CM77" s="88">
        <f t="shared" si="67"/>
        <v>2783</v>
      </c>
      <c r="CN77" s="88" t="str">
        <f t="shared" si="67"/>
        <v/>
      </c>
      <c r="CO77" s="88">
        <f t="shared" si="67"/>
        <v>1872</v>
      </c>
      <c r="CP77" s="88" t="str">
        <f t="shared" si="67"/>
        <v/>
      </c>
      <c r="CQ77" s="88" t="str">
        <f t="shared" si="67"/>
        <v/>
      </c>
      <c r="CR77" s="88"/>
      <c r="CS77" s="88"/>
      <c r="CT77" s="13"/>
      <c r="CU77" s="88">
        <f>IFERROR(IF(OR(CU12:CU76)="","",SUM(CU12:CU76)),"")</f>
        <v>603</v>
      </c>
      <c r="CV77" s="88">
        <f t="shared" ref="CV77:DC77" si="68">IFERROR(IF(OR(CV12:CV76)="","",SUM(CV12:CV76)),"")</f>
        <v>568</v>
      </c>
      <c r="CW77" s="88">
        <f t="shared" si="68"/>
        <v>552</v>
      </c>
      <c r="CX77" s="88">
        <f t="shared" si="68"/>
        <v>496</v>
      </c>
      <c r="CY77" s="88">
        <f t="shared" si="68"/>
        <v>2219</v>
      </c>
      <c r="CZ77" s="88" t="str">
        <f t="shared" si="68"/>
        <v/>
      </c>
      <c r="DA77" s="88">
        <f t="shared" si="68"/>
        <v>2149</v>
      </c>
      <c r="DB77" s="88" t="str">
        <f t="shared" si="68"/>
        <v/>
      </c>
      <c r="DC77" s="88" t="str">
        <f t="shared" si="68"/>
        <v/>
      </c>
      <c r="DD77" s="88"/>
      <c r="DE77" s="88"/>
      <c r="DF77" s="90"/>
      <c r="DG77" s="90"/>
      <c r="DH77" s="90"/>
      <c r="DI77" s="90"/>
      <c r="DM77" s="74"/>
    </row>
    <row r="78" spans="1:117" ht="19.5" customHeight="1" thickBot="1">
      <c r="A78" s="88"/>
      <c r="B78" s="89" t="s">
        <v>107</v>
      </c>
      <c r="C78" s="88">
        <f>IFERROR(IF(OR(C12:C76)="","",AVERAGE(C12:C76)),"")</f>
        <v>12.672413793103448</v>
      </c>
      <c r="D78" s="88">
        <f t="shared" ref="D78:K78" si="69">IFERROR(IF(OR(D12:D76)="","",AVERAGE(D12:D76)),"")</f>
        <v>12.568965517241379</v>
      </c>
      <c r="E78" s="88">
        <f t="shared" si="69"/>
        <v>11.913793103448276</v>
      </c>
      <c r="F78" s="88">
        <f t="shared" si="69"/>
        <v>10.362068965517242</v>
      </c>
      <c r="G78" s="88">
        <f>IFERROR(IF(OR(G12:G76)="","",AVERAGE(G12:G76)),"")</f>
        <v>47.517241379310342</v>
      </c>
      <c r="H78" s="88" t="str">
        <f t="shared" ref="H78:J78" si="70">IFERROR(IF(OR(H12:H76)="","",AVERAGE(H12:H76)),"")</f>
        <v/>
      </c>
      <c r="I78" s="88">
        <f t="shared" si="70"/>
        <v>39.775862068965516</v>
      </c>
      <c r="J78" s="88" t="str">
        <f t="shared" si="70"/>
        <v/>
      </c>
      <c r="K78" s="88" t="str">
        <f t="shared" si="69"/>
        <v/>
      </c>
      <c r="L78" s="88"/>
      <c r="M78" s="88"/>
      <c r="N78" s="11"/>
      <c r="O78" s="88">
        <f>IFERROR(IF(OR(O12:O76)="","",AVERAGE(O12:O76)),"")</f>
        <v>7.3620689655172411</v>
      </c>
      <c r="P78" s="88">
        <f t="shared" ref="P78:W78" si="71">IFERROR(IF(OR(P12:P76)="","",AVERAGE(P12:P76)),"")</f>
        <v>12.362068965517242</v>
      </c>
      <c r="Q78" s="88">
        <f t="shared" si="71"/>
        <v>7.9482758620689653</v>
      </c>
      <c r="R78" s="88">
        <f t="shared" si="71"/>
        <v>10.53448275862069</v>
      </c>
      <c r="S78" s="88">
        <f t="shared" si="71"/>
        <v>38.206896551724135</v>
      </c>
      <c r="T78" s="88" t="str">
        <f t="shared" si="71"/>
        <v/>
      </c>
      <c r="U78" s="88">
        <f t="shared" si="71"/>
        <v>38.517241379310342</v>
      </c>
      <c r="V78" s="88" t="str">
        <f t="shared" si="71"/>
        <v/>
      </c>
      <c r="W78" s="88" t="str">
        <f t="shared" si="71"/>
        <v/>
      </c>
      <c r="X78" s="88"/>
      <c r="Y78" s="88"/>
      <c r="Z78" s="11"/>
      <c r="AA78" s="88">
        <f>IFERROR(IF(OR(AA12:AA76)="","",AVERAGE(AA12:AA76)),"")</f>
        <v>9.7758620689655178</v>
      </c>
      <c r="AB78" s="88">
        <f t="shared" ref="AB78:AI78" si="72">IFERROR(IF(OR(AB12:AB76)="","",AVERAGE(AB12:AB76)),"")</f>
        <v>10.344827586206897</v>
      </c>
      <c r="AC78" s="88">
        <f t="shared" si="72"/>
        <v>10.03448275862069</v>
      </c>
      <c r="AD78" s="88">
        <f t="shared" si="72"/>
        <v>11.413793103448276</v>
      </c>
      <c r="AE78" s="88">
        <f t="shared" si="72"/>
        <v>41.568965517241381</v>
      </c>
      <c r="AF78" s="88" t="str">
        <f t="shared" si="72"/>
        <v/>
      </c>
      <c r="AG78" s="88">
        <f t="shared" si="72"/>
        <v>47.637931034482762</v>
      </c>
      <c r="AH78" s="88" t="str">
        <f t="shared" si="72"/>
        <v/>
      </c>
      <c r="AI78" s="88" t="str">
        <f t="shared" si="72"/>
        <v/>
      </c>
      <c r="AJ78" s="88"/>
      <c r="AK78" s="88"/>
      <c r="AL78" s="11"/>
      <c r="AM78" s="88">
        <f>IFERROR(IF(OR(AM12:AM76)="","",AVERAGE(AM12:AM76)),"")</f>
        <v>9.362068965517242</v>
      </c>
      <c r="AN78" s="88">
        <f t="shared" ref="AN78:AU78" si="73">IFERROR(IF(OR(AN12:AN76)="","",AVERAGE(AN12:AN76)),"")</f>
        <v>9.3448275862068968</v>
      </c>
      <c r="AO78" s="88">
        <f t="shared" si="73"/>
        <v>9.7758620689655178</v>
      </c>
      <c r="AP78" s="88">
        <f t="shared" si="73"/>
        <v>14.431034482758621</v>
      </c>
      <c r="AQ78" s="88">
        <f t="shared" si="73"/>
        <v>42.913793103448278</v>
      </c>
      <c r="AR78" s="88" t="str">
        <f t="shared" si="73"/>
        <v/>
      </c>
      <c r="AS78" s="88">
        <f t="shared" si="73"/>
        <v>35.655172413793103</v>
      </c>
      <c r="AT78" s="88" t="str">
        <f t="shared" si="73"/>
        <v/>
      </c>
      <c r="AU78" s="88" t="str">
        <f t="shared" si="73"/>
        <v/>
      </c>
      <c r="AV78" s="88"/>
      <c r="AW78" s="88"/>
      <c r="AX78" s="13"/>
      <c r="AY78" s="88">
        <f>IFERROR(IF(OR(AY12:AY76)="","",AVERAGE(AY12:AY76)),"")</f>
        <v>11.568965517241379</v>
      </c>
      <c r="AZ78" s="88">
        <f t="shared" ref="AZ78:BG78" si="74">IFERROR(IF(OR(AZ12:AZ76)="","",AVERAGE(AZ12:AZ76)),"")</f>
        <v>10.551724137931034</v>
      </c>
      <c r="BA78" s="88">
        <f t="shared" si="74"/>
        <v>10.603448275862069</v>
      </c>
      <c r="BB78" s="88">
        <f t="shared" si="74"/>
        <v>10.913793103448276</v>
      </c>
      <c r="BC78" s="88">
        <f t="shared" si="74"/>
        <v>43.637931034482762</v>
      </c>
      <c r="BD78" s="88" t="str">
        <f t="shared" si="74"/>
        <v/>
      </c>
      <c r="BE78" s="88">
        <f t="shared" si="74"/>
        <v>55.5</v>
      </c>
      <c r="BF78" s="88" t="str">
        <f t="shared" si="74"/>
        <v/>
      </c>
      <c r="BG78" s="88" t="str">
        <f t="shared" si="74"/>
        <v/>
      </c>
      <c r="BH78" s="88"/>
      <c r="BI78" s="88"/>
      <c r="BJ78" s="13"/>
      <c r="BK78" s="88">
        <f>IFERROR(IF(OR(BK12:BK76)="","",AVERAGE(BK12:BK76)),"")</f>
        <v>11.137931034482758</v>
      </c>
      <c r="BL78" s="88">
        <f t="shared" ref="BL78:BS78" si="75">IFERROR(IF(OR(BL12:BL76)="","",AVERAGE(BL12:BL76)),"")</f>
        <v>8.5517241379310338</v>
      </c>
      <c r="BM78" s="88">
        <f t="shared" si="75"/>
        <v>4.4137931034482758</v>
      </c>
      <c r="BN78" s="88">
        <f t="shared" si="75"/>
        <v>14.603448275862069</v>
      </c>
      <c r="BO78" s="88">
        <f t="shared" si="75"/>
        <v>38.706896551724135</v>
      </c>
      <c r="BP78" s="88" t="str">
        <f t="shared" si="75"/>
        <v/>
      </c>
      <c r="BQ78" s="88">
        <f t="shared" si="75"/>
        <v>41.03448275862069</v>
      </c>
      <c r="BR78" s="88" t="str">
        <f t="shared" si="75"/>
        <v/>
      </c>
      <c r="BS78" s="88" t="str">
        <f t="shared" si="75"/>
        <v/>
      </c>
      <c r="BT78" s="88"/>
      <c r="BU78" s="88"/>
      <c r="BV78" s="13"/>
      <c r="BW78" s="88">
        <f>IFERROR(IF(OR(BW12:BW76)="","",AVERAGE(BW12:BW76)),"")</f>
        <v>10.5</v>
      </c>
      <c r="BX78" s="88">
        <f t="shared" ref="BX78:CE78" si="76">IFERROR(IF(OR(BX12:BX76)="","",AVERAGE(BX12:BX76)),"")</f>
        <v>9.637931034482758</v>
      </c>
      <c r="BY78" s="88">
        <f t="shared" si="76"/>
        <v>12.155172413793103</v>
      </c>
      <c r="BZ78" s="88">
        <f t="shared" si="76"/>
        <v>10.931034482758621</v>
      </c>
      <c r="CA78" s="88">
        <f t="shared" si="76"/>
        <v>43.224137931034484</v>
      </c>
      <c r="CB78" s="88" t="str">
        <f t="shared" si="76"/>
        <v/>
      </c>
      <c r="CC78" s="88">
        <f t="shared" si="76"/>
        <v>47.896551724137929</v>
      </c>
      <c r="CD78" s="88" t="str">
        <f t="shared" si="76"/>
        <v/>
      </c>
      <c r="CE78" s="88" t="str">
        <f t="shared" si="76"/>
        <v/>
      </c>
      <c r="CF78" s="88"/>
      <c r="CG78" s="88"/>
      <c r="CH78" s="13"/>
      <c r="CI78" s="88">
        <f>IFERROR(IF(OR(CI12:CI76)="","",AVERAGE(CI12:CI76)),"")</f>
        <v>11.603448275862069</v>
      </c>
      <c r="CJ78" s="88">
        <f t="shared" ref="CJ78:CQ78" si="77">IFERROR(IF(OR(CJ12:CJ76)="","",AVERAGE(CJ12:CJ76)),"")</f>
        <v>13.603448275862069</v>
      </c>
      <c r="CK78" s="88">
        <f t="shared" si="77"/>
        <v>10.403508771929825</v>
      </c>
      <c r="CL78" s="88">
        <f t="shared" si="77"/>
        <v>12.551724137931034</v>
      </c>
      <c r="CM78" s="88">
        <f t="shared" si="77"/>
        <v>47.982758620689658</v>
      </c>
      <c r="CN78" s="88" t="str">
        <f t="shared" si="77"/>
        <v/>
      </c>
      <c r="CO78" s="88">
        <f t="shared" si="77"/>
        <v>32.275862068965516</v>
      </c>
      <c r="CP78" s="88" t="str">
        <f t="shared" si="77"/>
        <v/>
      </c>
      <c r="CQ78" s="88" t="str">
        <f t="shared" si="77"/>
        <v/>
      </c>
      <c r="CR78" s="88"/>
      <c r="CS78" s="88"/>
      <c r="CT78" s="13"/>
      <c r="CU78" s="88">
        <f>IFERROR(IF(OR(CU12:CU76)="","",AVERAGE(CU12:CU76)),"")</f>
        <v>10.396551724137931</v>
      </c>
      <c r="CV78" s="88">
        <f t="shared" ref="CV78:DC78" si="78">IFERROR(IF(OR(CV12:CV76)="","",AVERAGE(CV12:CV76)),"")</f>
        <v>9.7931034482758612</v>
      </c>
      <c r="CW78" s="88">
        <f t="shared" si="78"/>
        <v>9.5172413793103452</v>
      </c>
      <c r="CX78" s="88">
        <f t="shared" si="78"/>
        <v>8.5517241379310338</v>
      </c>
      <c r="CY78" s="88">
        <f t="shared" si="78"/>
        <v>38.258620689655174</v>
      </c>
      <c r="CZ78" s="88" t="str">
        <f t="shared" si="78"/>
        <v/>
      </c>
      <c r="DA78" s="88">
        <f t="shared" si="78"/>
        <v>37.051724137931032</v>
      </c>
      <c r="DB78" s="88" t="str">
        <f t="shared" si="78"/>
        <v/>
      </c>
      <c r="DC78" s="88" t="str">
        <f t="shared" si="78"/>
        <v/>
      </c>
      <c r="DD78" s="88"/>
      <c r="DE78" s="88"/>
      <c r="DF78" s="90"/>
      <c r="DG78" s="90"/>
      <c r="DH78" s="90"/>
      <c r="DI78" s="90"/>
      <c r="DM78" s="74"/>
    </row>
    <row r="79" spans="1:117" ht="19.5" customHeight="1" thickBot="1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1"/>
      <c r="O79" s="11"/>
      <c r="P79" s="11"/>
      <c r="Q79" s="11"/>
      <c r="R79" s="12"/>
      <c r="S79" s="12"/>
      <c r="T79" s="11"/>
      <c r="U79" s="12"/>
      <c r="V79" s="12"/>
      <c r="W79" s="11"/>
      <c r="X79" s="12"/>
      <c r="Y79" s="12"/>
      <c r="Z79" s="11"/>
      <c r="AA79" s="12"/>
      <c r="AB79" s="12"/>
      <c r="AC79" s="11"/>
      <c r="AD79" s="12"/>
      <c r="AE79" s="12"/>
      <c r="AF79" s="11"/>
      <c r="AG79" s="12"/>
      <c r="AH79" s="12"/>
      <c r="AI79" s="11"/>
      <c r="AJ79" s="12"/>
      <c r="AK79" s="12"/>
      <c r="AL79" s="11"/>
      <c r="AM79" s="12"/>
      <c r="AN79" s="12"/>
      <c r="AO79" s="12"/>
      <c r="AP79" s="11"/>
      <c r="AQ79" s="11"/>
      <c r="AR79" s="13"/>
      <c r="AS79" s="13"/>
      <c r="AT79" s="13"/>
      <c r="AU79" s="13"/>
      <c r="AV79" s="14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4"/>
      <c r="DG79" s="14"/>
      <c r="DH79" s="14"/>
      <c r="DI79" s="14"/>
    </row>
    <row r="80" spans="1:117" ht="19.5" customHeight="1" thickBot="1">
      <c r="A80" s="11"/>
      <c r="B80" s="12"/>
      <c r="C80" s="91"/>
      <c r="D80" s="92"/>
      <c r="E80" s="93" t="s">
        <v>108</v>
      </c>
      <c r="F80" s="93"/>
      <c r="G80" s="93" t="s">
        <v>109</v>
      </c>
      <c r="H80" s="93"/>
      <c r="I80" s="93"/>
      <c r="J80" s="12"/>
      <c r="K80" s="12"/>
      <c r="L80" s="12"/>
      <c r="M80" s="12"/>
      <c r="N80" s="11"/>
      <c r="O80" s="91"/>
      <c r="P80" s="92"/>
      <c r="Q80" s="93" t="s">
        <v>108</v>
      </c>
      <c r="R80" s="93"/>
      <c r="S80" s="93" t="s">
        <v>109</v>
      </c>
      <c r="T80" s="93"/>
      <c r="U80" s="93"/>
      <c r="V80" s="12"/>
      <c r="W80" s="11"/>
      <c r="X80" s="12"/>
      <c r="Y80" s="12"/>
      <c r="Z80" s="11"/>
      <c r="AA80" s="91"/>
      <c r="AB80" s="92"/>
      <c r="AC80" s="93" t="s">
        <v>108</v>
      </c>
      <c r="AD80" s="93"/>
      <c r="AE80" s="93" t="s">
        <v>109</v>
      </c>
      <c r="AF80" s="93"/>
      <c r="AG80" s="93"/>
      <c r="AH80" s="12"/>
      <c r="AI80" s="11"/>
      <c r="AJ80" s="12"/>
      <c r="AK80" s="12"/>
      <c r="AL80" s="11"/>
      <c r="AM80" s="91"/>
      <c r="AN80" s="92"/>
      <c r="AO80" s="93" t="s">
        <v>108</v>
      </c>
      <c r="AP80" s="93"/>
      <c r="AQ80" s="93" t="s">
        <v>109</v>
      </c>
      <c r="AR80" s="93"/>
      <c r="AS80" s="93"/>
      <c r="AT80" s="13"/>
      <c r="AU80" s="13"/>
      <c r="AV80" s="14"/>
      <c r="AW80" s="13"/>
      <c r="AX80" s="13"/>
      <c r="AY80" s="91"/>
      <c r="AZ80" s="92"/>
      <c r="BA80" s="93" t="s">
        <v>108</v>
      </c>
      <c r="BB80" s="93"/>
      <c r="BC80" s="93" t="s">
        <v>109</v>
      </c>
      <c r="BD80" s="93"/>
      <c r="BE80" s="93"/>
      <c r="BF80" s="13"/>
      <c r="BG80" s="13"/>
      <c r="BH80" s="13"/>
      <c r="BI80" s="13"/>
      <c r="BJ80" s="13"/>
      <c r="BK80" s="91"/>
      <c r="BL80" s="92"/>
      <c r="BM80" s="93" t="s">
        <v>108</v>
      </c>
      <c r="BN80" s="93"/>
      <c r="BO80" s="93" t="s">
        <v>109</v>
      </c>
      <c r="BP80" s="93"/>
      <c r="BQ80" s="93"/>
      <c r="BR80" s="13"/>
      <c r="BS80" s="13"/>
      <c r="BT80" s="13"/>
      <c r="BU80" s="13"/>
      <c r="BV80" s="13"/>
      <c r="BW80" s="91"/>
      <c r="BX80" s="92"/>
      <c r="BY80" s="93" t="s">
        <v>108</v>
      </c>
      <c r="BZ80" s="93"/>
      <c r="CA80" s="93" t="s">
        <v>109</v>
      </c>
      <c r="CB80" s="93"/>
      <c r="CC80" s="93"/>
      <c r="CD80" s="13"/>
      <c r="CE80" s="13"/>
      <c r="CF80" s="13"/>
      <c r="CG80" s="13"/>
      <c r="CH80" s="13"/>
      <c r="CI80" s="91"/>
      <c r="CJ80" s="92"/>
      <c r="CK80" s="93" t="s">
        <v>108</v>
      </c>
      <c r="CL80" s="93"/>
      <c r="CM80" s="93" t="s">
        <v>109</v>
      </c>
      <c r="CN80" s="93"/>
      <c r="CO80" s="93"/>
      <c r="CP80" s="13"/>
      <c r="CQ80" s="13"/>
      <c r="CR80" s="13"/>
      <c r="CS80" s="13"/>
      <c r="CT80" s="13"/>
      <c r="CU80" s="91"/>
      <c r="CV80" s="92"/>
      <c r="CW80" s="93" t="s">
        <v>108</v>
      </c>
      <c r="CX80" s="93"/>
      <c r="CY80" s="93" t="s">
        <v>109</v>
      </c>
      <c r="CZ80" s="93"/>
      <c r="DA80" s="93"/>
      <c r="DB80" s="13"/>
      <c r="DC80" s="13"/>
      <c r="DD80" s="13"/>
      <c r="DE80" s="13"/>
      <c r="DF80" s="94" t="s">
        <v>110</v>
      </c>
      <c r="DG80" s="95"/>
      <c r="DH80" s="96" t="s">
        <v>111</v>
      </c>
      <c r="DI80" s="97" t="s">
        <v>112</v>
      </c>
      <c r="DJ80" s="98"/>
      <c r="DK80" s="99"/>
      <c r="DL80" s="99"/>
    </row>
    <row r="81" spans="1:116" ht="19.5" customHeight="1" thickBot="1">
      <c r="A81" s="11"/>
      <c r="B81" s="12"/>
      <c r="C81" s="100" t="s">
        <v>113</v>
      </c>
      <c r="D81" s="101"/>
      <c r="E81" s="102">
        <f>COUNTIF(K12:K76,"&gt;=50")</f>
        <v>0</v>
      </c>
      <c r="F81" s="103"/>
      <c r="G81" s="104">
        <f>E81/COUNTA($B$12:$B$76)</f>
        <v>0</v>
      </c>
      <c r="H81" s="105"/>
      <c r="I81" s="106"/>
      <c r="J81" s="12"/>
      <c r="K81" s="12"/>
      <c r="L81" s="12"/>
      <c r="M81" s="12"/>
      <c r="N81" s="11"/>
      <c r="O81" s="100" t="s">
        <v>113</v>
      </c>
      <c r="P81" s="101"/>
      <c r="Q81" s="102">
        <f>COUNTIF(W12:W76,"&gt;=50")</f>
        <v>0</v>
      </c>
      <c r="R81" s="103"/>
      <c r="S81" s="104">
        <f>Q81/COUNTA($B$12:$B$76)</f>
        <v>0</v>
      </c>
      <c r="T81" s="105"/>
      <c r="U81" s="106"/>
      <c r="V81" s="12"/>
      <c r="W81" s="11"/>
      <c r="X81" s="12"/>
      <c r="Y81" s="12"/>
      <c r="Z81" s="11"/>
      <c r="AA81" s="100" t="s">
        <v>113</v>
      </c>
      <c r="AB81" s="101"/>
      <c r="AC81" s="102">
        <f>COUNTIF(AI12:AI76,"&gt;=50")</f>
        <v>0</v>
      </c>
      <c r="AD81" s="103"/>
      <c r="AE81" s="104">
        <f>AC81/COUNTA($B$12:$B$76)</f>
        <v>0</v>
      </c>
      <c r="AF81" s="105"/>
      <c r="AG81" s="106"/>
      <c r="AH81" s="12"/>
      <c r="AI81" s="11"/>
      <c r="AJ81" s="12"/>
      <c r="AK81" s="12"/>
      <c r="AL81" s="11"/>
      <c r="AM81" s="100" t="s">
        <v>113</v>
      </c>
      <c r="AN81" s="101"/>
      <c r="AO81" s="102">
        <f>COUNTIF(AU12:AU76,"&gt;=50")</f>
        <v>0</v>
      </c>
      <c r="AP81" s="103"/>
      <c r="AQ81" s="104">
        <f>AO81/COUNTA($B$12:$B$76)</f>
        <v>0</v>
      </c>
      <c r="AR81" s="105"/>
      <c r="AS81" s="106"/>
      <c r="AT81" s="13"/>
      <c r="AU81" s="13"/>
      <c r="AV81" s="14"/>
      <c r="AW81" s="13"/>
      <c r="AX81" s="13"/>
      <c r="AY81" s="100" t="s">
        <v>113</v>
      </c>
      <c r="AZ81" s="101"/>
      <c r="BA81" s="102">
        <f>COUNTIF(BG12:BG76,"&gt;=50")</f>
        <v>0</v>
      </c>
      <c r="BB81" s="103"/>
      <c r="BC81" s="104">
        <f>BA81/COUNTA($B$12:$B$76)</f>
        <v>0</v>
      </c>
      <c r="BD81" s="105"/>
      <c r="BE81" s="106"/>
      <c r="BF81" s="13"/>
      <c r="BG81" s="13"/>
      <c r="BH81" s="13"/>
      <c r="BI81" s="13"/>
      <c r="BJ81" s="13"/>
      <c r="BK81" s="100" t="s">
        <v>113</v>
      </c>
      <c r="BL81" s="101"/>
      <c r="BM81" s="102">
        <f>COUNTIF(BS12:BS76,"&gt;=50")</f>
        <v>0</v>
      </c>
      <c r="BN81" s="103"/>
      <c r="BO81" s="104">
        <f>BM81/COUNTA($B$12:$B$76)</f>
        <v>0</v>
      </c>
      <c r="BP81" s="105"/>
      <c r="BQ81" s="106"/>
      <c r="BR81" s="13"/>
      <c r="BS81" s="13"/>
      <c r="BT81" s="13"/>
      <c r="BU81" s="13"/>
      <c r="BV81" s="13"/>
      <c r="BW81" s="100" t="s">
        <v>113</v>
      </c>
      <c r="BX81" s="101"/>
      <c r="BY81" s="102">
        <f>COUNTIF(CE12:CE76,"&gt;=50")</f>
        <v>0</v>
      </c>
      <c r="BZ81" s="103"/>
      <c r="CA81" s="104">
        <f>BY81/COUNTA($B$12:$B$76)</f>
        <v>0</v>
      </c>
      <c r="CB81" s="105"/>
      <c r="CC81" s="106"/>
      <c r="CD81" s="13"/>
      <c r="CE81" s="13"/>
      <c r="CF81" s="13"/>
      <c r="CG81" s="13"/>
      <c r="CH81" s="13"/>
      <c r="CI81" s="100" t="s">
        <v>113</v>
      </c>
      <c r="CJ81" s="101"/>
      <c r="CK81" s="102">
        <f>COUNTIF(CQ12:CQ76,"&gt;=50")</f>
        <v>0</v>
      </c>
      <c r="CL81" s="103"/>
      <c r="CM81" s="104">
        <f>CK81/COUNTA($B$12:$B$76)</f>
        <v>0</v>
      </c>
      <c r="CN81" s="105"/>
      <c r="CO81" s="106"/>
      <c r="CP81" s="13"/>
      <c r="CQ81" s="13"/>
      <c r="CR81" s="13"/>
      <c r="CS81" s="13"/>
      <c r="CT81" s="13"/>
      <c r="CU81" s="100" t="s">
        <v>113</v>
      </c>
      <c r="CV81" s="101"/>
      <c r="CW81" s="102">
        <f>COUNTIF(DC12:DC76,"&gt;=50")</f>
        <v>0</v>
      </c>
      <c r="CX81" s="103"/>
      <c r="CY81" s="104">
        <f>CW81/COUNTA($B$12:$B$76)</f>
        <v>0</v>
      </c>
      <c r="CZ81" s="105"/>
      <c r="DA81" s="106"/>
      <c r="DB81" s="13"/>
      <c r="DC81" s="13"/>
      <c r="DD81" s="13"/>
      <c r="DE81" s="13"/>
      <c r="DF81" s="100" t="s">
        <v>113</v>
      </c>
      <c r="DG81" s="101"/>
      <c r="DH81" s="107">
        <f>COUNTIF(DF12:DF76,"&gt;=450")</f>
        <v>0</v>
      </c>
      <c r="DI81" s="108">
        <f>DH81/COUNTA($B$12:$B$76)</f>
        <v>0</v>
      </c>
      <c r="DJ81" s="98"/>
      <c r="DK81" s="99"/>
      <c r="DL81" s="99"/>
    </row>
    <row r="82" spans="1:116" ht="19.5" customHeight="1" thickBot="1">
      <c r="A82" s="11"/>
      <c r="B82" s="12"/>
      <c r="C82" s="109" t="s">
        <v>114</v>
      </c>
      <c r="D82" s="110"/>
      <c r="E82" s="102">
        <f>COUNTIF(K12:K76,"&lt;50")</f>
        <v>0</v>
      </c>
      <c r="F82" s="103"/>
      <c r="G82" s="104">
        <f>E82/COUNTA($B$12:$B$76)</f>
        <v>0</v>
      </c>
      <c r="H82" s="105"/>
      <c r="I82" s="106"/>
      <c r="J82" s="12"/>
      <c r="K82" s="12"/>
      <c r="L82" s="12"/>
      <c r="M82" s="12"/>
      <c r="N82" s="11"/>
      <c r="O82" s="109" t="s">
        <v>114</v>
      </c>
      <c r="P82" s="110"/>
      <c r="Q82" s="102">
        <f>COUNTIF(W12:W76,"&lt;50")</f>
        <v>0</v>
      </c>
      <c r="R82" s="103"/>
      <c r="S82" s="104">
        <f>Q82/COUNTA($B$12:$B$76)</f>
        <v>0</v>
      </c>
      <c r="T82" s="105"/>
      <c r="U82" s="106"/>
      <c r="V82" s="12"/>
      <c r="W82" s="11"/>
      <c r="X82" s="12"/>
      <c r="Y82" s="12"/>
      <c r="Z82" s="11"/>
      <c r="AA82" s="109" t="s">
        <v>114</v>
      </c>
      <c r="AB82" s="110"/>
      <c r="AC82" s="102">
        <f>COUNTIF(AI12:AI76,"&lt;50")</f>
        <v>0</v>
      </c>
      <c r="AD82" s="103"/>
      <c r="AE82" s="104">
        <f>AC82/COUNTA($B$12:$B$76)</f>
        <v>0</v>
      </c>
      <c r="AF82" s="105"/>
      <c r="AG82" s="106"/>
      <c r="AH82" s="12"/>
      <c r="AI82" s="11"/>
      <c r="AJ82" s="12"/>
      <c r="AK82" s="12"/>
      <c r="AL82" s="11"/>
      <c r="AM82" s="109" t="s">
        <v>114</v>
      </c>
      <c r="AN82" s="110"/>
      <c r="AO82" s="102">
        <f>COUNTIF(AU12:AU76,"&lt;50")</f>
        <v>0</v>
      </c>
      <c r="AP82" s="103"/>
      <c r="AQ82" s="104">
        <f>AO82/COUNTA($B$12:$B$76)</f>
        <v>0</v>
      </c>
      <c r="AR82" s="105"/>
      <c r="AS82" s="106"/>
      <c r="AT82" s="13"/>
      <c r="AU82" s="13"/>
      <c r="AV82" s="14"/>
      <c r="AW82" s="13"/>
      <c r="AX82" s="13"/>
      <c r="AY82" s="109" t="s">
        <v>114</v>
      </c>
      <c r="AZ82" s="110"/>
      <c r="BA82" s="102">
        <f>COUNTIF(BG12:BG76,"&lt;50")</f>
        <v>0</v>
      </c>
      <c r="BB82" s="103"/>
      <c r="BC82" s="104">
        <f>BA82/COUNTA($B$12:$B$76)</f>
        <v>0</v>
      </c>
      <c r="BD82" s="105"/>
      <c r="BE82" s="106"/>
      <c r="BF82" s="13"/>
      <c r="BG82" s="13"/>
      <c r="BH82" s="13"/>
      <c r="BI82" s="13"/>
      <c r="BJ82" s="13"/>
      <c r="BK82" s="109" t="s">
        <v>114</v>
      </c>
      <c r="BL82" s="110"/>
      <c r="BM82" s="102">
        <f>COUNTIF(BS12:BS76,"&lt;50")</f>
        <v>0</v>
      </c>
      <c r="BN82" s="103"/>
      <c r="BO82" s="104">
        <f>BM82/COUNTA($B$12:$B$76)</f>
        <v>0</v>
      </c>
      <c r="BP82" s="105"/>
      <c r="BQ82" s="106"/>
      <c r="BR82" s="13"/>
      <c r="BS82" s="13"/>
      <c r="BT82" s="13"/>
      <c r="BU82" s="13"/>
      <c r="BV82" s="13"/>
      <c r="BW82" s="109" t="s">
        <v>114</v>
      </c>
      <c r="BX82" s="110"/>
      <c r="BY82" s="102">
        <f>COUNTIF(CE12:CE76,"&lt;50")</f>
        <v>0</v>
      </c>
      <c r="BZ82" s="103"/>
      <c r="CA82" s="104">
        <f>BY82/COUNTA($B$12:$B$76)</f>
        <v>0</v>
      </c>
      <c r="CB82" s="105"/>
      <c r="CC82" s="106"/>
      <c r="CD82" s="13"/>
      <c r="CE82" s="13"/>
      <c r="CF82" s="13"/>
      <c r="CG82" s="13"/>
      <c r="CH82" s="13"/>
      <c r="CI82" s="109" t="s">
        <v>114</v>
      </c>
      <c r="CJ82" s="110"/>
      <c r="CK82" s="102">
        <f>COUNTIF(CQ12:CQ76,"&lt;50")</f>
        <v>0</v>
      </c>
      <c r="CL82" s="103"/>
      <c r="CM82" s="104">
        <f>CK82/COUNTA($B$12:$B$76)</f>
        <v>0</v>
      </c>
      <c r="CN82" s="105"/>
      <c r="CO82" s="106"/>
      <c r="CP82" s="13"/>
      <c r="CQ82" s="13"/>
      <c r="CR82" s="13"/>
      <c r="CS82" s="13"/>
      <c r="CT82" s="13"/>
      <c r="CU82" s="109" t="s">
        <v>114</v>
      </c>
      <c r="CV82" s="110"/>
      <c r="CW82" s="102">
        <f>COUNTIF(DC12:DC76,"&lt;50")</f>
        <v>0</v>
      </c>
      <c r="CX82" s="103"/>
      <c r="CY82" s="104">
        <f>CW82/COUNTA($B$12:$B$76)</f>
        <v>0</v>
      </c>
      <c r="CZ82" s="105"/>
      <c r="DA82" s="106"/>
      <c r="DB82" s="13"/>
      <c r="DC82" s="13"/>
      <c r="DD82" s="13"/>
      <c r="DE82" s="13"/>
      <c r="DF82" s="109" t="s">
        <v>114</v>
      </c>
      <c r="DG82" s="110"/>
      <c r="DH82" s="107">
        <f>COUNTIF(DF12:DF76,"&lt;450")</f>
        <v>0</v>
      </c>
      <c r="DI82" s="108">
        <f>DH82/COUNTA($B$12:$B$76)</f>
        <v>0</v>
      </c>
      <c r="DJ82" s="98"/>
      <c r="DK82" s="99"/>
      <c r="DL82" s="99"/>
    </row>
  </sheetData>
  <mergeCells count="296">
    <mergeCell ref="CU82:CV82"/>
    <mergeCell ref="CW82:CX82"/>
    <mergeCell ref="CY82:DA82"/>
    <mergeCell ref="DF82:DG82"/>
    <mergeCell ref="BW82:BX82"/>
    <mergeCell ref="BY82:BZ82"/>
    <mergeCell ref="CA82:CC82"/>
    <mergeCell ref="CI82:CJ82"/>
    <mergeCell ref="CK82:CL82"/>
    <mergeCell ref="CM82:CO82"/>
    <mergeCell ref="AY82:AZ82"/>
    <mergeCell ref="BA82:BB82"/>
    <mergeCell ref="BC82:BE82"/>
    <mergeCell ref="BK82:BL82"/>
    <mergeCell ref="BM82:BN82"/>
    <mergeCell ref="BO82:BQ82"/>
    <mergeCell ref="AA82:AB82"/>
    <mergeCell ref="AC82:AD82"/>
    <mergeCell ref="AE82:AG82"/>
    <mergeCell ref="AM82:AN82"/>
    <mergeCell ref="AO82:AP82"/>
    <mergeCell ref="AQ82:AS82"/>
    <mergeCell ref="CK81:CL81"/>
    <mergeCell ref="CM81:CO81"/>
    <mergeCell ref="CW81:CX81"/>
    <mergeCell ref="CY81:DA81"/>
    <mergeCell ref="C82:D82"/>
    <mergeCell ref="E82:F82"/>
    <mergeCell ref="G82:I82"/>
    <mergeCell ref="O82:P82"/>
    <mergeCell ref="Q82:R82"/>
    <mergeCell ref="S82:U82"/>
    <mergeCell ref="BA81:BB81"/>
    <mergeCell ref="BC81:BE81"/>
    <mergeCell ref="BM81:BN81"/>
    <mergeCell ref="BO81:BQ81"/>
    <mergeCell ref="BY81:BZ81"/>
    <mergeCell ref="CA81:CC81"/>
    <mergeCell ref="CY80:DA80"/>
    <mergeCell ref="DF80:DG80"/>
    <mergeCell ref="E81:F81"/>
    <mergeCell ref="G81:I81"/>
    <mergeCell ref="Q81:R81"/>
    <mergeCell ref="S81:U81"/>
    <mergeCell ref="AC81:AD81"/>
    <mergeCell ref="AE81:AG81"/>
    <mergeCell ref="AO81:AP81"/>
    <mergeCell ref="AQ81:AS81"/>
    <mergeCell ref="CA80:CC80"/>
    <mergeCell ref="CI80:CJ80"/>
    <mergeCell ref="CK80:CL80"/>
    <mergeCell ref="CM80:CO80"/>
    <mergeCell ref="CU80:CV80"/>
    <mergeCell ref="CW80:CX80"/>
    <mergeCell ref="BC80:BE80"/>
    <mergeCell ref="BK80:BL80"/>
    <mergeCell ref="BM80:BN80"/>
    <mergeCell ref="BO80:BQ80"/>
    <mergeCell ref="BW80:BX80"/>
    <mergeCell ref="BY80:BZ80"/>
    <mergeCell ref="AE80:AG80"/>
    <mergeCell ref="AM80:AN80"/>
    <mergeCell ref="AO80:AP80"/>
    <mergeCell ref="AQ80:AS80"/>
    <mergeCell ref="AY80:AZ80"/>
    <mergeCell ref="BA80:BB80"/>
    <mergeCell ref="DH10:DH11"/>
    <mergeCell ref="DI10:DI11"/>
    <mergeCell ref="C80:D80"/>
    <mergeCell ref="E80:F80"/>
    <mergeCell ref="G80:I80"/>
    <mergeCell ref="O80:P80"/>
    <mergeCell ref="Q80:R80"/>
    <mergeCell ref="S80:U80"/>
    <mergeCell ref="AA80:AB80"/>
    <mergeCell ref="AC80:AD80"/>
    <mergeCell ref="DB8:DB11"/>
    <mergeCell ref="DC8:DC11"/>
    <mergeCell ref="DD8:DD11"/>
    <mergeCell ref="DE8:DE11"/>
    <mergeCell ref="DF10:DF11"/>
    <mergeCell ref="DG10:DG11"/>
    <mergeCell ref="CV8:CV11"/>
    <mergeCell ref="CW8:CW11"/>
    <mergeCell ref="CX8:CX11"/>
    <mergeCell ref="CY8:CY11"/>
    <mergeCell ref="CZ8:CZ11"/>
    <mergeCell ref="DA8:DA11"/>
    <mergeCell ref="CO8:CO11"/>
    <mergeCell ref="CP8:CP11"/>
    <mergeCell ref="CQ8:CQ11"/>
    <mergeCell ref="CR8:CR11"/>
    <mergeCell ref="CS8:CS11"/>
    <mergeCell ref="CU8:CU11"/>
    <mergeCell ref="CI8:CI11"/>
    <mergeCell ref="CJ8:CJ11"/>
    <mergeCell ref="CK8:CK11"/>
    <mergeCell ref="CL8:CL11"/>
    <mergeCell ref="CM8:CM11"/>
    <mergeCell ref="CN8:CN11"/>
    <mergeCell ref="CB8:CB11"/>
    <mergeCell ref="CC8:CC11"/>
    <mergeCell ref="CD8:CD11"/>
    <mergeCell ref="CE8:CE11"/>
    <mergeCell ref="CF8:CF11"/>
    <mergeCell ref="CG8:CG11"/>
    <mergeCell ref="BU8:BU11"/>
    <mergeCell ref="BW8:BW11"/>
    <mergeCell ref="BX8:BX11"/>
    <mergeCell ref="BY8:BY11"/>
    <mergeCell ref="BZ8:BZ11"/>
    <mergeCell ref="CA8:CA11"/>
    <mergeCell ref="BO8:BO11"/>
    <mergeCell ref="BP8:BP11"/>
    <mergeCell ref="BQ8:BQ11"/>
    <mergeCell ref="BR8:BR11"/>
    <mergeCell ref="BS8:BS11"/>
    <mergeCell ref="BT8:BT11"/>
    <mergeCell ref="BH8:BH11"/>
    <mergeCell ref="BI8:BI11"/>
    <mergeCell ref="BK8:BK11"/>
    <mergeCell ref="BL8:BL11"/>
    <mergeCell ref="BM8:BM11"/>
    <mergeCell ref="BN8:BN11"/>
    <mergeCell ref="BB8:BB11"/>
    <mergeCell ref="BC8:BC11"/>
    <mergeCell ref="BD8:BD11"/>
    <mergeCell ref="BE8:BE11"/>
    <mergeCell ref="BF8:BF11"/>
    <mergeCell ref="BG8:BG11"/>
    <mergeCell ref="AU8:AU11"/>
    <mergeCell ref="AV8:AV11"/>
    <mergeCell ref="AW8:AW11"/>
    <mergeCell ref="AY8:AY11"/>
    <mergeCell ref="AZ8:AZ11"/>
    <mergeCell ref="BA8:BA11"/>
    <mergeCell ref="AO8:AO11"/>
    <mergeCell ref="AP8:AP11"/>
    <mergeCell ref="AQ8:AQ11"/>
    <mergeCell ref="AR8:AR11"/>
    <mergeCell ref="AS8:AS11"/>
    <mergeCell ref="AT8:AT11"/>
    <mergeCell ref="AH8:AH11"/>
    <mergeCell ref="AI8:AI11"/>
    <mergeCell ref="AJ8:AJ11"/>
    <mergeCell ref="AK8:AK11"/>
    <mergeCell ref="AM8:AM11"/>
    <mergeCell ref="AN8:AN11"/>
    <mergeCell ref="AB8:AB11"/>
    <mergeCell ref="AC8:AC11"/>
    <mergeCell ref="AD8:AD11"/>
    <mergeCell ref="AE8:AE11"/>
    <mergeCell ref="AF8:AF11"/>
    <mergeCell ref="AG8:AG11"/>
    <mergeCell ref="U8:U11"/>
    <mergeCell ref="V8:V11"/>
    <mergeCell ref="W8:W11"/>
    <mergeCell ref="X8:X11"/>
    <mergeCell ref="Y8:Y11"/>
    <mergeCell ref="AA8:AA11"/>
    <mergeCell ref="O8:O11"/>
    <mergeCell ref="P8:P11"/>
    <mergeCell ref="Q8:Q11"/>
    <mergeCell ref="R8:R11"/>
    <mergeCell ref="S8:S11"/>
    <mergeCell ref="T8:T11"/>
    <mergeCell ref="H8:H11"/>
    <mergeCell ref="I8:I11"/>
    <mergeCell ref="J8:J11"/>
    <mergeCell ref="K8:K11"/>
    <mergeCell ref="L8:L11"/>
    <mergeCell ref="M8:M11"/>
    <mergeCell ref="CU6:CW6"/>
    <mergeCell ref="CX6:DB6"/>
    <mergeCell ref="DD6:DE6"/>
    <mergeCell ref="A8:A11"/>
    <mergeCell ref="B8:B11"/>
    <mergeCell ref="C8:C11"/>
    <mergeCell ref="D8:D11"/>
    <mergeCell ref="E8:E11"/>
    <mergeCell ref="F8:F11"/>
    <mergeCell ref="G8:G11"/>
    <mergeCell ref="BW6:BY6"/>
    <mergeCell ref="BZ6:CD6"/>
    <mergeCell ref="CF6:CG6"/>
    <mergeCell ref="CI6:CK6"/>
    <mergeCell ref="CL6:CP6"/>
    <mergeCell ref="CR6:CS6"/>
    <mergeCell ref="AY6:BA6"/>
    <mergeCell ref="BB6:BF6"/>
    <mergeCell ref="BH6:BI6"/>
    <mergeCell ref="BK6:BM6"/>
    <mergeCell ref="BN6:BR6"/>
    <mergeCell ref="BT6:BU6"/>
    <mergeCell ref="AA6:AC6"/>
    <mergeCell ref="AD6:AH6"/>
    <mergeCell ref="AJ6:AK6"/>
    <mergeCell ref="AM6:AO6"/>
    <mergeCell ref="AP6:AT6"/>
    <mergeCell ref="AV6:AW6"/>
    <mergeCell ref="C6:E6"/>
    <mergeCell ref="F6:J6"/>
    <mergeCell ref="L6:M6"/>
    <mergeCell ref="O6:Q6"/>
    <mergeCell ref="R6:V6"/>
    <mergeCell ref="X6:Y6"/>
    <mergeCell ref="CI5:CK5"/>
    <mergeCell ref="CL5:CP5"/>
    <mergeCell ref="CR5:CS5"/>
    <mergeCell ref="CU5:CW5"/>
    <mergeCell ref="CX5:DB5"/>
    <mergeCell ref="DD5:DE5"/>
    <mergeCell ref="BK5:BM5"/>
    <mergeCell ref="BN5:BR5"/>
    <mergeCell ref="BT5:BU5"/>
    <mergeCell ref="BW5:BY5"/>
    <mergeCell ref="BZ5:CD5"/>
    <mergeCell ref="CF5:CG5"/>
    <mergeCell ref="AM5:AO5"/>
    <mergeCell ref="AP5:AT5"/>
    <mergeCell ref="AV5:AW5"/>
    <mergeCell ref="AY5:BA5"/>
    <mergeCell ref="BB5:BF5"/>
    <mergeCell ref="BH5:BI5"/>
    <mergeCell ref="DD4:DE4"/>
    <mergeCell ref="C5:E5"/>
    <mergeCell ref="F5:J5"/>
    <mergeCell ref="L5:M5"/>
    <mergeCell ref="O5:Q5"/>
    <mergeCell ref="R5:V5"/>
    <mergeCell ref="X5:Y5"/>
    <mergeCell ref="AA5:AC5"/>
    <mergeCell ref="AD5:AH5"/>
    <mergeCell ref="AJ5:AK5"/>
    <mergeCell ref="CF4:CG4"/>
    <mergeCell ref="CI4:CK4"/>
    <mergeCell ref="CL4:CP4"/>
    <mergeCell ref="CR4:CS4"/>
    <mergeCell ref="CU4:CW4"/>
    <mergeCell ref="CX4:DB4"/>
    <mergeCell ref="BH4:BI4"/>
    <mergeCell ref="BK4:BM4"/>
    <mergeCell ref="BN4:BR4"/>
    <mergeCell ref="BT4:BU4"/>
    <mergeCell ref="BW4:BY4"/>
    <mergeCell ref="BZ4:CD4"/>
    <mergeCell ref="AJ4:AK4"/>
    <mergeCell ref="AM4:AO4"/>
    <mergeCell ref="AP4:AT4"/>
    <mergeCell ref="AV4:AW4"/>
    <mergeCell ref="AY4:BA4"/>
    <mergeCell ref="BB4:BF4"/>
    <mergeCell ref="CX3:DB3"/>
    <mergeCell ref="DD3:DE3"/>
    <mergeCell ref="C4:E4"/>
    <mergeCell ref="F4:J4"/>
    <mergeCell ref="L4:M4"/>
    <mergeCell ref="O4:Q4"/>
    <mergeCell ref="R4:V4"/>
    <mergeCell ref="X4:Y4"/>
    <mergeCell ref="AA4:AC4"/>
    <mergeCell ref="AD4:AH4"/>
    <mergeCell ref="BZ3:CD3"/>
    <mergeCell ref="CF3:CG3"/>
    <mergeCell ref="CI3:CK3"/>
    <mergeCell ref="CL3:CP3"/>
    <mergeCell ref="CR3:CS3"/>
    <mergeCell ref="CU3:CW3"/>
    <mergeCell ref="BB3:BF3"/>
    <mergeCell ref="BH3:BI3"/>
    <mergeCell ref="BK3:BM3"/>
    <mergeCell ref="BN3:BR3"/>
    <mergeCell ref="BT3:BU3"/>
    <mergeCell ref="BW3:BY3"/>
    <mergeCell ref="AD3:AH3"/>
    <mergeCell ref="AJ3:AK3"/>
    <mergeCell ref="AM3:AO3"/>
    <mergeCell ref="AP3:AT3"/>
    <mergeCell ref="AV3:AW3"/>
    <mergeCell ref="AY3:BA3"/>
    <mergeCell ref="BW2:CG2"/>
    <mergeCell ref="CI2:CS2"/>
    <mergeCell ref="CU2:DE2"/>
    <mergeCell ref="C3:E3"/>
    <mergeCell ref="F3:J3"/>
    <mergeCell ref="L3:M3"/>
    <mergeCell ref="O3:Q3"/>
    <mergeCell ref="R3:V3"/>
    <mergeCell ref="X3:Y3"/>
    <mergeCell ref="AA3:AC3"/>
    <mergeCell ref="C2:M2"/>
    <mergeCell ref="O2:Y2"/>
    <mergeCell ref="AA2:AK2"/>
    <mergeCell ref="AM2:AW2"/>
    <mergeCell ref="AY2:BI2"/>
    <mergeCell ref="BK2:BU2"/>
  </mergeCells>
  <conditionalFormatting sqref="C77:M78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max"/>
        <color rgb="FFFF7128"/>
        <color rgb="FFFFEF9C"/>
      </colorScale>
    </cfRule>
  </conditionalFormatting>
  <conditionalFormatting sqref="C77:K78">
    <cfRule type="colorScale" priority="118">
      <colorScale>
        <cfvo type="min"/>
        <cfvo type="max"/>
        <color theme="6" tint="-0.249977111117893"/>
        <color rgb="FFFFEF9C"/>
      </colorScale>
    </cfRule>
  </conditionalFormatting>
  <conditionalFormatting sqref="O77:Y78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min"/>
        <cfvo type="max"/>
        <color rgb="FFFF7128"/>
        <color rgb="FFFFEF9C"/>
      </colorScale>
    </cfRule>
  </conditionalFormatting>
  <conditionalFormatting sqref="O77:W78">
    <cfRule type="colorScale" priority="115">
      <colorScale>
        <cfvo type="min"/>
        <cfvo type="max"/>
        <color theme="6" tint="-0.249977111117893"/>
        <color rgb="FFFFEF9C"/>
      </colorScale>
    </cfRule>
  </conditionalFormatting>
  <conditionalFormatting sqref="AA77:AK7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">
      <colorScale>
        <cfvo type="min"/>
        <cfvo type="max"/>
        <color rgb="FFFF7128"/>
        <color rgb="FFFFEF9C"/>
      </colorScale>
    </cfRule>
  </conditionalFormatting>
  <conditionalFormatting sqref="AA77:AI78">
    <cfRule type="colorScale" priority="112">
      <colorScale>
        <cfvo type="min"/>
        <cfvo type="max"/>
        <color theme="6" tint="-0.249977111117893"/>
        <color rgb="FFFFEF9C"/>
      </colorScale>
    </cfRule>
  </conditionalFormatting>
  <conditionalFormatting sqref="AM77:AW78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max"/>
        <color rgb="FFFF7128"/>
        <color rgb="FFFFEF9C"/>
      </colorScale>
    </cfRule>
  </conditionalFormatting>
  <conditionalFormatting sqref="AM77:AU78">
    <cfRule type="colorScale" priority="109">
      <colorScale>
        <cfvo type="min"/>
        <cfvo type="max"/>
        <color theme="6" tint="-0.249977111117893"/>
        <color rgb="FFFFEF9C"/>
      </colorScale>
    </cfRule>
  </conditionalFormatting>
  <conditionalFormatting sqref="AY77:BI78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max"/>
        <color rgb="FFFF7128"/>
        <color rgb="FFFFEF9C"/>
      </colorScale>
    </cfRule>
  </conditionalFormatting>
  <conditionalFormatting sqref="AY77:BG78">
    <cfRule type="colorScale" priority="106">
      <colorScale>
        <cfvo type="min"/>
        <cfvo type="max"/>
        <color theme="6" tint="-0.249977111117893"/>
        <color rgb="FFFFEF9C"/>
      </colorScale>
    </cfRule>
  </conditionalFormatting>
  <conditionalFormatting sqref="BK77:BU78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min"/>
        <cfvo type="max"/>
        <color rgb="FFFF7128"/>
        <color rgb="FFFFEF9C"/>
      </colorScale>
    </cfRule>
  </conditionalFormatting>
  <conditionalFormatting sqref="BK77:BS78">
    <cfRule type="colorScale" priority="103">
      <colorScale>
        <cfvo type="min"/>
        <cfvo type="max"/>
        <color theme="6" tint="-0.249977111117893"/>
        <color rgb="FFFFEF9C"/>
      </colorScale>
    </cfRule>
  </conditionalFormatting>
  <conditionalFormatting sqref="BW77:CG7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max"/>
        <color rgb="FFFF7128"/>
        <color rgb="FFFFEF9C"/>
      </colorScale>
    </cfRule>
  </conditionalFormatting>
  <conditionalFormatting sqref="BW77:CE78">
    <cfRule type="colorScale" priority="100">
      <colorScale>
        <cfvo type="min"/>
        <cfvo type="max"/>
        <color theme="6" tint="-0.249977111117893"/>
        <color rgb="FFFFEF9C"/>
      </colorScale>
    </cfRule>
  </conditionalFormatting>
  <conditionalFormatting sqref="CI77:CS78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max"/>
        <color rgb="FFFF7128"/>
        <color rgb="FFFFEF9C"/>
      </colorScale>
    </cfRule>
  </conditionalFormatting>
  <conditionalFormatting sqref="CI77:CQ78">
    <cfRule type="colorScale" priority="97">
      <colorScale>
        <cfvo type="min"/>
        <cfvo type="max"/>
        <color theme="6" tint="-0.249977111117893"/>
        <color rgb="FFFFEF9C"/>
      </colorScale>
    </cfRule>
  </conditionalFormatting>
  <conditionalFormatting sqref="CU77:DE78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min"/>
        <cfvo type="max"/>
        <color rgb="FFFF7128"/>
        <color rgb="FFFFEF9C"/>
      </colorScale>
    </cfRule>
  </conditionalFormatting>
  <conditionalFormatting sqref="CU77:DC78">
    <cfRule type="colorScale" priority="94">
      <colorScale>
        <cfvo type="min"/>
        <cfvo type="max"/>
        <color theme="6" tint="-0.249977111117893"/>
        <color rgb="FFFFEF9C"/>
      </colorScale>
    </cfRule>
  </conditionalFormatting>
  <conditionalFormatting sqref="DF77:DG78">
    <cfRule type="colorScale" priority="91">
      <colorScale>
        <cfvo type="num" val="0"/>
        <cfvo type="max"/>
        <color rgb="FF00B050"/>
        <color rgb="FFFFEF9C"/>
      </colorScale>
    </cfRule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{4C78C505-5EDA-4617-BD82-E20E72ECC94A}</x14:id>
        </ext>
      </extLst>
    </cfRule>
  </conditionalFormatting>
  <conditionalFormatting sqref="O12:S76 U12:U76 W12:Y76">
    <cfRule type="expression" dxfId="89" priority="79">
      <formula>MOD(ROW(),5)=0</formula>
    </cfRule>
    <cfRule type="expression" dxfId="88" priority="90">
      <formula>MOD(ROW(),2)=0</formula>
    </cfRule>
  </conditionalFormatting>
  <conditionalFormatting sqref="AA13:AE76 AG13:AG76 AI13:AK76">
    <cfRule type="expression" dxfId="87" priority="78">
      <formula>MOD(ROW(),5)=0</formula>
    </cfRule>
    <cfRule type="expression" dxfId="86" priority="89">
      <formula>MOD(ROW(),2)=0</formula>
    </cfRule>
  </conditionalFormatting>
  <conditionalFormatting sqref="AM13:AQ76 AS13:AS76 AU13:AW76">
    <cfRule type="expression" dxfId="85" priority="77">
      <formula>MOD(ROW(),5)=0</formula>
    </cfRule>
    <cfRule type="expression" dxfId="84" priority="88">
      <formula>MOD(ROW(),2)=0</formula>
    </cfRule>
  </conditionalFormatting>
  <conditionalFormatting sqref="AY70:BC76 BC13:BC69 BE70:BE76 BG13:BI76">
    <cfRule type="expression" dxfId="83" priority="76">
      <formula>MOD(ROW(),5)=0</formula>
    </cfRule>
    <cfRule type="expression" dxfId="82" priority="87">
      <formula>MOD(ROW(),2)=0</formula>
    </cfRule>
  </conditionalFormatting>
  <conditionalFormatting sqref="BK70:BO76 BO13:BO69 BQ70:BQ76 BS13:BU76">
    <cfRule type="expression" dxfId="81" priority="75">
      <formula>MOD(ROW(),5)=0</formula>
    </cfRule>
    <cfRule type="expression" dxfId="80" priority="86">
      <formula>MOD(ROW(),2)=0</formula>
    </cfRule>
  </conditionalFormatting>
  <conditionalFormatting sqref="BW13:CA76 CC13:CC76 CE13:CG76">
    <cfRule type="expression" dxfId="79" priority="74">
      <formula>MOD(ROW(),5)=0</formula>
    </cfRule>
    <cfRule type="expression" dxfId="78" priority="85">
      <formula>MOD(ROW(),2)=0</formula>
    </cfRule>
  </conditionalFormatting>
  <conditionalFormatting sqref="CI70:CM76 CM13:CM69 CO13:CO76 CQ13:CS76">
    <cfRule type="expression" dxfId="77" priority="73">
      <formula>MOD(ROW(),5)=0</formula>
    </cfRule>
    <cfRule type="expression" dxfId="76" priority="84">
      <formula>MOD(ROW(),2)=0</formula>
    </cfRule>
  </conditionalFormatting>
  <conditionalFormatting sqref="CU13:CY76 DA13:DA76 DC13:DE76">
    <cfRule type="expression" dxfId="75" priority="72">
      <formula>MOD(ROW(),5)=0</formula>
    </cfRule>
    <cfRule type="expression" dxfId="74" priority="83">
      <formula>MOD(ROW(),2)=0</formula>
    </cfRule>
  </conditionalFormatting>
  <conditionalFormatting sqref="C70:G76 G12:H12 G13:G69 I70:I76 H13:H76 J12:M76">
    <cfRule type="expression" dxfId="73" priority="82">
      <formula>MOD(ROW(),2)=0</formula>
    </cfRule>
  </conditionalFormatting>
  <conditionalFormatting sqref="DF12:DI76">
    <cfRule type="expression" dxfId="72" priority="71">
      <formula>MOD(ROW(),5)=0</formula>
    </cfRule>
    <cfRule type="expression" dxfId="71" priority="81">
      <formula>MOD(ROW(),2)=0</formula>
    </cfRule>
  </conditionalFormatting>
  <conditionalFormatting sqref="G12:H12 G13:G69 I70:I76 H13:H76 J12:M76 A70:G76 A12:B69">
    <cfRule type="expression" dxfId="70" priority="80">
      <formula>MOD(ROW(),5)=0</formula>
    </cfRule>
  </conditionalFormatting>
  <conditionalFormatting sqref="AY13:BB69">
    <cfRule type="expression" dxfId="69" priority="69">
      <formula>MOD(ROW(),5)=0</formula>
    </cfRule>
    <cfRule type="expression" dxfId="68" priority="70">
      <formula>MOD(ROW(),2)=0</formula>
    </cfRule>
  </conditionalFormatting>
  <conditionalFormatting sqref="BE13:BE69">
    <cfRule type="expression" dxfId="67" priority="67">
      <formula>MOD(ROW(),5)=0</formula>
    </cfRule>
    <cfRule type="expression" dxfId="66" priority="68">
      <formula>MOD(ROW(),2)=0</formula>
    </cfRule>
  </conditionalFormatting>
  <conditionalFormatting sqref="CI13:CL69">
    <cfRule type="expression" dxfId="65" priority="65">
      <formula>MOD(ROW(),5)=0</formula>
    </cfRule>
    <cfRule type="expression" dxfId="64" priority="66">
      <formula>MOD(ROW(),2)=0</formula>
    </cfRule>
  </conditionalFormatting>
  <conditionalFormatting sqref="C12:F69">
    <cfRule type="expression" dxfId="63" priority="64">
      <formula>MOD(ROW(),2)=0</formula>
    </cfRule>
  </conditionalFormatting>
  <conditionalFormatting sqref="C12:F69">
    <cfRule type="expression" dxfId="62" priority="63">
      <formula>MOD(ROW(),5)=0</formula>
    </cfRule>
  </conditionalFormatting>
  <conditionalFormatting sqref="I12:I69">
    <cfRule type="expression" dxfId="61" priority="62">
      <formula>MOD(ROW(),2)=0</formula>
    </cfRule>
  </conditionalFormatting>
  <conditionalFormatting sqref="I12:I69">
    <cfRule type="expression" dxfId="60" priority="61">
      <formula>MOD(ROW(),5)=0</formula>
    </cfRule>
  </conditionalFormatting>
  <conditionalFormatting sqref="BK13:BN69">
    <cfRule type="expression" dxfId="59" priority="59">
      <formula>MOD(ROW(),5)=0</formula>
    </cfRule>
    <cfRule type="expression" dxfId="58" priority="60">
      <formula>MOD(ROW(),2)=0</formula>
    </cfRule>
  </conditionalFormatting>
  <conditionalFormatting sqref="BQ13:BQ69">
    <cfRule type="expression" dxfId="57" priority="57">
      <formula>MOD(ROW(),5)=0</formula>
    </cfRule>
    <cfRule type="expression" dxfId="56" priority="58">
      <formula>MOD(ROW(),2)=0</formula>
    </cfRule>
  </conditionalFormatting>
  <conditionalFormatting sqref="DG12:DH76">
    <cfRule type="expression" dxfId="55" priority="55">
      <formula>MOD(ROW(),5)=0</formula>
    </cfRule>
    <cfRule type="expression" dxfId="54" priority="56">
      <formula>MOD(ROW(),2)=0</formula>
    </cfRule>
  </conditionalFormatting>
  <conditionalFormatting sqref="DG12:DH76">
    <cfRule type="expression" dxfId="53" priority="53">
      <formula>MOD(ROW(),5)=0</formula>
    </cfRule>
    <cfRule type="expression" dxfId="52" priority="54">
      <formula>MOD(ROW(),2)=0</formula>
    </cfRule>
  </conditionalFormatting>
  <conditionalFormatting sqref="DG12:DH76">
    <cfRule type="expression" dxfId="51" priority="51">
      <formula>MOD(ROW(),5)=0</formula>
    </cfRule>
    <cfRule type="expression" dxfId="50" priority="52">
      <formula>MOD(ROW(),2)=0</formula>
    </cfRule>
  </conditionalFormatting>
  <conditionalFormatting sqref="DG12:DH76">
    <cfRule type="expression" dxfId="49" priority="49">
      <formula>MOD(ROW(),5)=0</formula>
    </cfRule>
    <cfRule type="expression" dxfId="48" priority="50">
      <formula>MOD(ROW(),2)=0</formula>
    </cfRule>
  </conditionalFormatting>
  <conditionalFormatting sqref="DG12:DH76">
    <cfRule type="expression" dxfId="47" priority="47">
      <formula>MOD(ROW(),5)=0</formula>
    </cfRule>
    <cfRule type="expression" dxfId="46" priority="48">
      <formula>MOD(ROW(),2)=0</formula>
    </cfRule>
  </conditionalFormatting>
  <conditionalFormatting sqref="DA12">
    <cfRule type="expression" dxfId="45" priority="2">
      <formula>MOD(ROW(),2)=0</formula>
    </cfRule>
  </conditionalFormatting>
  <conditionalFormatting sqref="DA12">
    <cfRule type="expression" dxfId="44" priority="1">
      <formula>MOD(ROW(),5)=0</formula>
    </cfRule>
  </conditionalFormatting>
  <conditionalFormatting sqref="T12:T76">
    <cfRule type="expression" dxfId="43" priority="46">
      <formula>MOD(ROW(),2)=0</formula>
    </cfRule>
  </conditionalFormatting>
  <conditionalFormatting sqref="T12:T76">
    <cfRule type="expression" dxfId="42" priority="45">
      <formula>MOD(ROW(),5)=0</formula>
    </cfRule>
  </conditionalFormatting>
  <conditionalFormatting sqref="V12:V76">
    <cfRule type="expression" dxfId="41" priority="44">
      <formula>MOD(ROW(),2)=0</formula>
    </cfRule>
  </conditionalFormatting>
  <conditionalFormatting sqref="V12:V76">
    <cfRule type="expression" dxfId="40" priority="43">
      <formula>MOD(ROW(),5)=0</formula>
    </cfRule>
  </conditionalFormatting>
  <conditionalFormatting sqref="AE12:AF12 AH12:AK12 AF13:AF76 AH13:AH76">
    <cfRule type="expression" dxfId="39" priority="42">
      <formula>MOD(ROW(),2)=0</formula>
    </cfRule>
  </conditionalFormatting>
  <conditionalFormatting sqref="AE12:AF12 AH12:AK12 AF13:AF76 AH13:AH76">
    <cfRule type="expression" dxfId="38" priority="41">
      <formula>MOD(ROW(),5)=0</formula>
    </cfRule>
  </conditionalFormatting>
  <conditionalFormatting sqref="AA12:AD12">
    <cfRule type="expression" dxfId="37" priority="40">
      <formula>MOD(ROW(),2)=0</formula>
    </cfRule>
  </conditionalFormatting>
  <conditionalFormatting sqref="AA12:AD12">
    <cfRule type="expression" dxfId="36" priority="39">
      <formula>MOD(ROW(),5)=0</formula>
    </cfRule>
  </conditionalFormatting>
  <conditionalFormatting sqref="AG12">
    <cfRule type="expression" dxfId="35" priority="38">
      <formula>MOD(ROW(),2)=0</formula>
    </cfRule>
  </conditionalFormatting>
  <conditionalFormatting sqref="AG12">
    <cfRule type="expression" dxfId="34" priority="37">
      <formula>MOD(ROW(),5)=0</formula>
    </cfRule>
  </conditionalFormatting>
  <conditionalFormatting sqref="AQ12:AR12 AT12:AW12 AR13:AR76 AT13:AT76">
    <cfRule type="expression" dxfId="33" priority="36">
      <formula>MOD(ROW(),2)=0</formula>
    </cfRule>
  </conditionalFormatting>
  <conditionalFormatting sqref="AQ12:AR12 AT12:AW12 AR13:AR76 AT13:AT76">
    <cfRule type="expression" dxfId="32" priority="35">
      <formula>MOD(ROW(),5)=0</formula>
    </cfRule>
  </conditionalFormatting>
  <conditionalFormatting sqref="AM12:AP12">
    <cfRule type="expression" dxfId="31" priority="34">
      <formula>MOD(ROW(),2)=0</formula>
    </cfRule>
  </conditionalFormatting>
  <conditionalFormatting sqref="AM12:AP12">
    <cfRule type="expression" dxfId="30" priority="33">
      <formula>MOD(ROW(),5)=0</formula>
    </cfRule>
  </conditionalFormatting>
  <conditionalFormatting sqref="AS12">
    <cfRule type="expression" dxfId="29" priority="32">
      <formula>MOD(ROW(),2)=0</formula>
    </cfRule>
  </conditionalFormatting>
  <conditionalFormatting sqref="AS12">
    <cfRule type="expression" dxfId="28" priority="31">
      <formula>MOD(ROW(),5)=0</formula>
    </cfRule>
  </conditionalFormatting>
  <conditionalFormatting sqref="BC12:BD12 BF12:BI12 BD13:BD76 BF13:BF76">
    <cfRule type="expression" dxfId="27" priority="30">
      <formula>MOD(ROW(),2)=0</formula>
    </cfRule>
  </conditionalFormatting>
  <conditionalFormatting sqref="BC12:BD12 BF12:BI12 BD13:BD76 BF13:BF76">
    <cfRule type="expression" dxfId="26" priority="29">
      <formula>MOD(ROW(),5)=0</formula>
    </cfRule>
  </conditionalFormatting>
  <conditionalFormatting sqref="AY12:BB12">
    <cfRule type="expression" dxfId="25" priority="28">
      <formula>MOD(ROW(),2)=0</formula>
    </cfRule>
  </conditionalFormatting>
  <conditionalFormatting sqref="AY12:BB12">
    <cfRule type="expression" dxfId="24" priority="27">
      <formula>MOD(ROW(),5)=0</formula>
    </cfRule>
  </conditionalFormatting>
  <conditionalFormatting sqref="BE12">
    <cfRule type="expression" dxfId="23" priority="26">
      <formula>MOD(ROW(),2)=0</formula>
    </cfRule>
  </conditionalFormatting>
  <conditionalFormatting sqref="BE12">
    <cfRule type="expression" dxfId="22" priority="25">
      <formula>MOD(ROW(),5)=0</formula>
    </cfRule>
  </conditionalFormatting>
  <conditionalFormatting sqref="BO12:BP12 BR12:BU12 BP13:BP76 BR13:BR76">
    <cfRule type="expression" dxfId="21" priority="24">
      <formula>MOD(ROW(),2)=0</formula>
    </cfRule>
  </conditionalFormatting>
  <conditionalFormatting sqref="BO12:BP12 BR12:BU12 BP13:BP76 BR13:BR76">
    <cfRule type="expression" dxfId="20" priority="23">
      <formula>MOD(ROW(),5)=0</formula>
    </cfRule>
  </conditionalFormatting>
  <conditionalFormatting sqref="BK12:BN12">
    <cfRule type="expression" dxfId="19" priority="22">
      <formula>MOD(ROW(),2)=0</formula>
    </cfRule>
  </conditionalFormatting>
  <conditionalFormatting sqref="BK12:BN12">
    <cfRule type="expression" dxfId="18" priority="21">
      <formula>MOD(ROW(),5)=0</formula>
    </cfRule>
  </conditionalFormatting>
  <conditionalFormatting sqref="BQ12">
    <cfRule type="expression" dxfId="17" priority="20">
      <formula>MOD(ROW(),2)=0</formula>
    </cfRule>
  </conditionalFormatting>
  <conditionalFormatting sqref="BQ12">
    <cfRule type="expression" dxfId="16" priority="19">
      <formula>MOD(ROW(),5)=0</formula>
    </cfRule>
  </conditionalFormatting>
  <conditionalFormatting sqref="CA12:CB12 CD12:CG12 CB13:CB76 CD13:CD76">
    <cfRule type="expression" dxfId="15" priority="18">
      <formula>MOD(ROW(),2)=0</formula>
    </cfRule>
  </conditionalFormatting>
  <conditionalFormatting sqref="CA12:CB12 CD12:CG12 CB13:CB76 CD13:CD76">
    <cfRule type="expression" dxfId="14" priority="17">
      <formula>MOD(ROW(),5)=0</formula>
    </cfRule>
  </conditionalFormatting>
  <conditionalFormatting sqref="BW12:BZ12">
    <cfRule type="expression" dxfId="13" priority="16">
      <formula>MOD(ROW(),2)=0</formula>
    </cfRule>
  </conditionalFormatting>
  <conditionalFormatting sqref="BW12:BZ12">
    <cfRule type="expression" dxfId="12" priority="15">
      <formula>MOD(ROW(),5)=0</formula>
    </cfRule>
  </conditionalFormatting>
  <conditionalFormatting sqref="CC12">
    <cfRule type="expression" dxfId="11" priority="14">
      <formula>MOD(ROW(),2)=0</formula>
    </cfRule>
  </conditionalFormatting>
  <conditionalFormatting sqref="CC12">
    <cfRule type="expression" dxfId="10" priority="13">
      <formula>MOD(ROW(),5)=0</formula>
    </cfRule>
  </conditionalFormatting>
  <conditionalFormatting sqref="CM12:CN12 CP12:CS12 CN13:CN76 CP13:CP76">
    <cfRule type="expression" dxfId="9" priority="12">
      <formula>MOD(ROW(),2)=0</formula>
    </cfRule>
  </conditionalFormatting>
  <conditionalFormatting sqref="CM12:CN12 CP12:CS12 CN13:CN76 CP13:CP76">
    <cfRule type="expression" dxfId="8" priority="11">
      <formula>MOD(ROW(),5)=0</formula>
    </cfRule>
  </conditionalFormatting>
  <conditionalFormatting sqref="CI12:CL12">
    <cfRule type="expression" dxfId="7" priority="10">
      <formula>MOD(ROW(),2)=0</formula>
    </cfRule>
  </conditionalFormatting>
  <conditionalFormatting sqref="CI12:CL12">
    <cfRule type="expression" dxfId="6" priority="9">
      <formula>MOD(ROW(),5)=0</formula>
    </cfRule>
  </conditionalFormatting>
  <conditionalFormatting sqref="CO12">
    <cfRule type="expression" dxfId="5" priority="8">
      <formula>MOD(ROW(),2)=0</formula>
    </cfRule>
  </conditionalFormatting>
  <conditionalFormatting sqref="CO12">
    <cfRule type="expression" dxfId="4" priority="7">
      <formula>MOD(ROW(),5)=0</formula>
    </cfRule>
  </conditionalFormatting>
  <conditionalFormatting sqref="CY12:CZ12 DB12:DE12 CZ13:CZ76 DB13:DB76">
    <cfRule type="expression" dxfId="3" priority="6">
      <formula>MOD(ROW(),2)=0</formula>
    </cfRule>
  </conditionalFormatting>
  <conditionalFormatting sqref="CY12:CZ12 DB12:DE12 CZ13:CZ76 DB13:DB76">
    <cfRule type="expression" dxfId="2" priority="5">
      <formula>MOD(ROW(),5)=0</formula>
    </cfRule>
  </conditionalFormatting>
  <conditionalFormatting sqref="CU12:CX12">
    <cfRule type="expression" dxfId="1" priority="4">
      <formula>MOD(ROW(),2)=0</formula>
    </cfRule>
  </conditionalFormatting>
  <conditionalFormatting sqref="CU12:CX12">
    <cfRule type="expression" dxfId="0" priority="3">
      <formula>MOD(ROW(),5)=0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ShowMarksEntryForm">
                <anchor moveWithCells="1" sizeWithCells="1">
                  <from>
                    <xdr:col>0</xdr:col>
                    <xdr:colOff>603250</xdr:colOff>
                    <xdr:row>2</xdr:row>
                    <xdr:rowOff>12700</xdr:rowOff>
                  </from>
                  <to>
                    <xdr:col>1</xdr:col>
                    <xdr:colOff>1993900</xdr:colOff>
                    <xdr:row>4</xdr:row>
                    <xdr:rowOff>165100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78C505-5EDA-4617-BD82-E20E72ECC9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DF77:DG78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7712-0ADE-42D1-A7E9-C101FE1B6960}">
  <dimension ref="A1:E59"/>
  <sheetViews>
    <sheetView tabSelected="1" workbookViewId="0">
      <selection activeCell="D6" sqref="D6"/>
    </sheetView>
  </sheetViews>
  <sheetFormatPr defaultRowHeight="14.5"/>
  <cols>
    <col min="2" max="2" width="44.6328125" bestFit="1" customWidth="1"/>
    <col min="4" max="4" width="26.54296875" customWidth="1"/>
    <col min="5" max="5" width="33.54296875" customWidth="1"/>
  </cols>
  <sheetData>
    <row r="1" spans="1:5" ht="19" thickBot="1">
      <c r="A1" s="6" t="s">
        <v>61</v>
      </c>
      <c r="B1" s="6" t="s">
        <v>60</v>
      </c>
      <c r="D1" s="7" t="s">
        <v>62</v>
      </c>
      <c r="E1" s="7" t="s">
        <v>63</v>
      </c>
    </row>
    <row r="2" spans="1:5" ht="18.5">
      <c r="A2" s="1" t="s">
        <v>0</v>
      </c>
      <c r="B2" s="2" t="s">
        <v>1</v>
      </c>
      <c r="D2" s="8" t="s">
        <v>64</v>
      </c>
      <c r="E2" s="10" t="s">
        <v>73</v>
      </c>
    </row>
    <row r="3" spans="1:5" ht="18.5">
      <c r="A3" s="1" t="s">
        <v>0</v>
      </c>
      <c r="B3" s="3" t="s">
        <v>2</v>
      </c>
      <c r="D3" s="9" t="s">
        <v>65</v>
      </c>
      <c r="E3" s="10" t="s">
        <v>74</v>
      </c>
    </row>
    <row r="4" spans="1:5" ht="18.5">
      <c r="A4" s="1" t="s">
        <v>0</v>
      </c>
      <c r="B4" s="3" t="s">
        <v>3</v>
      </c>
      <c r="D4" s="9" t="s">
        <v>66</v>
      </c>
      <c r="E4" s="10" t="s">
        <v>75</v>
      </c>
    </row>
    <row r="5" spans="1:5" ht="18.5">
      <c r="A5" s="1" t="s">
        <v>0</v>
      </c>
      <c r="B5" s="3" t="s">
        <v>4</v>
      </c>
      <c r="D5" s="9" t="s">
        <v>67</v>
      </c>
      <c r="E5" s="10" t="s">
        <v>76</v>
      </c>
    </row>
    <row r="6" spans="1:5" ht="18.5">
      <c r="A6" s="1" t="s">
        <v>0</v>
      </c>
      <c r="B6" s="3" t="s">
        <v>5</v>
      </c>
      <c r="D6" s="9" t="s">
        <v>68</v>
      </c>
      <c r="E6" s="10" t="s">
        <v>77</v>
      </c>
    </row>
    <row r="7" spans="1:5" ht="18.5">
      <c r="A7" s="1" t="s">
        <v>0</v>
      </c>
      <c r="B7" s="3" t="s">
        <v>6</v>
      </c>
      <c r="D7" s="9" t="s">
        <v>69</v>
      </c>
      <c r="E7" s="10" t="s">
        <v>78</v>
      </c>
    </row>
    <row r="8" spans="1:5" ht="18.5">
      <c r="A8" s="1" t="s">
        <v>0</v>
      </c>
      <c r="B8" s="3" t="s">
        <v>7</v>
      </c>
      <c r="D8" s="9" t="s">
        <v>70</v>
      </c>
      <c r="E8" s="10" t="s">
        <v>79</v>
      </c>
    </row>
    <row r="9" spans="1:5" ht="18.5">
      <c r="A9" s="1" t="s">
        <v>0</v>
      </c>
      <c r="B9" s="3" t="s">
        <v>8</v>
      </c>
      <c r="D9" s="9" t="s">
        <v>71</v>
      </c>
      <c r="E9" s="10" t="s">
        <v>80</v>
      </c>
    </row>
    <row r="10" spans="1:5" ht="18.5">
      <c r="A10" s="1" t="s">
        <v>0</v>
      </c>
      <c r="B10" s="3" t="s">
        <v>9</v>
      </c>
      <c r="D10" s="9" t="s">
        <v>72</v>
      </c>
      <c r="E10" s="10" t="s">
        <v>81</v>
      </c>
    </row>
    <row r="11" spans="1:5" ht="18.5">
      <c r="A11" s="1" t="s">
        <v>0</v>
      </c>
      <c r="B11" s="3" t="s">
        <v>10</v>
      </c>
      <c r="D11" s="10"/>
      <c r="E11" s="10"/>
    </row>
    <row r="12" spans="1:5" ht="18.5">
      <c r="A12" s="1" t="s">
        <v>0</v>
      </c>
      <c r="B12" s="3" t="s">
        <v>11</v>
      </c>
      <c r="D12" s="10"/>
      <c r="E12" s="10"/>
    </row>
    <row r="13" spans="1:5" ht="18.5">
      <c r="A13" s="1" t="s">
        <v>0</v>
      </c>
      <c r="B13" s="3" t="s">
        <v>12</v>
      </c>
      <c r="D13" s="10"/>
      <c r="E13" s="10"/>
    </row>
    <row r="14" spans="1:5" ht="18.5">
      <c r="A14" s="1" t="s">
        <v>0</v>
      </c>
      <c r="B14" s="3" t="s">
        <v>13</v>
      </c>
      <c r="D14" s="10"/>
      <c r="E14" s="10"/>
    </row>
    <row r="15" spans="1:5" ht="18.5">
      <c r="A15" s="1" t="s">
        <v>0</v>
      </c>
      <c r="B15" s="3" t="s">
        <v>14</v>
      </c>
      <c r="D15" s="10"/>
      <c r="E15" s="10"/>
    </row>
    <row r="16" spans="1:5" ht="18.5">
      <c r="A16" s="1" t="s">
        <v>0</v>
      </c>
      <c r="B16" s="3" t="s">
        <v>15</v>
      </c>
      <c r="D16" s="10"/>
      <c r="E16" s="10"/>
    </row>
    <row r="17" spans="1:5" ht="18.5">
      <c r="A17" s="1" t="s">
        <v>0</v>
      </c>
      <c r="B17" s="3" t="s">
        <v>16</v>
      </c>
      <c r="D17" s="10"/>
      <c r="E17" s="10"/>
    </row>
    <row r="18" spans="1:5" ht="18.5">
      <c r="A18" s="1" t="s">
        <v>0</v>
      </c>
      <c r="B18" s="3" t="s">
        <v>17</v>
      </c>
      <c r="D18" s="10"/>
      <c r="E18" s="10"/>
    </row>
    <row r="19" spans="1:5" ht="18.5">
      <c r="A19" s="1" t="s">
        <v>0</v>
      </c>
      <c r="B19" s="3" t="s">
        <v>18</v>
      </c>
      <c r="D19" s="10"/>
      <c r="E19" s="10"/>
    </row>
    <row r="20" spans="1:5" ht="18.5">
      <c r="A20" s="1" t="s">
        <v>0</v>
      </c>
      <c r="B20" s="3" t="s">
        <v>19</v>
      </c>
    </row>
    <row r="21" spans="1:5" ht="18.5">
      <c r="A21" s="1" t="s">
        <v>0</v>
      </c>
      <c r="B21" s="3" t="s">
        <v>20</v>
      </c>
    </row>
    <row r="22" spans="1:5" ht="18.5">
      <c r="A22" s="1" t="s">
        <v>0</v>
      </c>
      <c r="B22" s="3" t="s">
        <v>21</v>
      </c>
    </row>
    <row r="23" spans="1:5" ht="18.5">
      <c r="A23" s="1" t="s">
        <v>0</v>
      </c>
      <c r="B23" s="3" t="s">
        <v>22</v>
      </c>
    </row>
    <row r="24" spans="1:5" ht="18.5">
      <c r="A24" s="1" t="s">
        <v>0</v>
      </c>
      <c r="B24" s="3" t="s">
        <v>23</v>
      </c>
    </row>
    <row r="25" spans="1:5" ht="18.5">
      <c r="A25" s="1" t="s">
        <v>0</v>
      </c>
      <c r="B25" s="3" t="s">
        <v>24</v>
      </c>
    </row>
    <row r="26" spans="1:5" ht="18.5">
      <c r="A26" s="1" t="s">
        <v>0</v>
      </c>
      <c r="B26" s="3" t="s">
        <v>25</v>
      </c>
    </row>
    <row r="27" spans="1:5" ht="18.5">
      <c r="A27" s="1" t="s">
        <v>0</v>
      </c>
      <c r="B27" s="3" t="s">
        <v>26</v>
      </c>
    </row>
    <row r="28" spans="1:5" ht="18.5">
      <c r="A28" s="1" t="s">
        <v>0</v>
      </c>
      <c r="B28" s="3" t="s">
        <v>27</v>
      </c>
    </row>
    <row r="29" spans="1:5" ht="18.5">
      <c r="A29" s="1" t="s">
        <v>0</v>
      </c>
      <c r="B29" s="3" t="s">
        <v>28</v>
      </c>
    </row>
    <row r="30" spans="1:5" ht="18.5">
      <c r="A30" s="1" t="s">
        <v>29</v>
      </c>
      <c r="B30" s="3" t="s">
        <v>30</v>
      </c>
    </row>
    <row r="31" spans="1:5" ht="18.5">
      <c r="A31" s="1" t="s">
        <v>29</v>
      </c>
      <c r="B31" s="3" t="s">
        <v>31</v>
      </c>
    </row>
    <row r="32" spans="1:5" ht="18.5">
      <c r="A32" s="1" t="s">
        <v>29</v>
      </c>
      <c r="B32" s="3" t="s">
        <v>32</v>
      </c>
    </row>
    <row r="33" spans="1:2" ht="18.5">
      <c r="A33" s="1" t="s">
        <v>29</v>
      </c>
      <c r="B33" s="3" t="s">
        <v>33</v>
      </c>
    </row>
    <row r="34" spans="1:2" ht="18.5">
      <c r="A34" s="1" t="s">
        <v>29</v>
      </c>
      <c r="B34" s="3" t="s">
        <v>34</v>
      </c>
    </row>
    <row r="35" spans="1:2" ht="18.5">
      <c r="A35" s="1" t="s">
        <v>29</v>
      </c>
      <c r="B35" s="3" t="s">
        <v>35</v>
      </c>
    </row>
    <row r="36" spans="1:2" ht="18.5">
      <c r="A36" s="1" t="s">
        <v>29</v>
      </c>
      <c r="B36" s="3" t="s">
        <v>36</v>
      </c>
    </row>
    <row r="37" spans="1:2" ht="18.5">
      <c r="A37" s="1" t="s">
        <v>29</v>
      </c>
      <c r="B37" s="3" t="s">
        <v>37</v>
      </c>
    </row>
    <row r="38" spans="1:2" ht="18.5">
      <c r="A38" s="1" t="s">
        <v>29</v>
      </c>
      <c r="B38" s="3" t="s">
        <v>38</v>
      </c>
    </row>
    <row r="39" spans="1:2" ht="18.5">
      <c r="A39" s="1" t="s">
        <v>29</v>
      </c>
      <c r="B39" s="3" t="s">
        <v>39</v>
      </c>
    </row>
    <row r="40" spans="1:2" ht="18.5">
      <c r="A40" s="1" t="s">
        <v>29</v>
      </c>
      <c r="B40" s="3" t="s">
        <v>40</v>
      </c>
    </row>
    <row r="41" spans="1:2" ht="18.5">
      <c r="A41" s="1" t="s">
        <v>29</v>
      </c>
      <c r="B41" s="3" t="s">
        <v>41</v>
      </c>
    </row>
    <row r="42" spans="1:2" ht="18.5">
      <c r="A42" s="1" t="s">
        <v>29</v>
      </c>
      <c r="B42" s="3" t="s">
        <v>42</v>
      </c>
    </row>
    <row r="43" spans="1:2" ht="18.5">
      <c r="A43" s="1" t="s">
        <v>29</v>
      </c>
      <c r="B43" s="3" t="s">
        <v>43</v>
      </c>
    </row>
    <row r="44" spans="1:2" ht="18.5">
      <c r="A44" s="1" t="s">
        <v>29</v>
      </c>
      <c r="B44" s="3" t="s">
        <v>44</v>
      </c>
    </row>
    <row r="45" spans="1:2" ht="18.5">
      <c r="A45" s="1" t="s">
        <v>29</v>
      </c>
      <c r="B45" s="3" t="s">
        <v>45</v>
      </c>
    </row>
    <row r="46" spans="1:2" ht="18.5">
      <c r="A46" s="1" t="s">
        <v>29</v>
      </c>
      <c r="B46" s="3" t="s">
        <v>46</v>
      </c>
    </row>
    <row r="47" spans="1:2" ht="18.5">
      <c r="A47" s="1" t="s">
        <v>29</v>
      </c>
      <c r="B47" s="3" t="s">
        <v>47</v>
      </c>
    </row>
    <row r="48" spans="1:2" ht="18.5">
      <c r="A48" s="1" t="s">
        <v>29</v>
      </c>
      <c r="B48" s="3" t="s">
        <v>48</v>
      </c>
    </row>
    <row r="49" spans="1:2" ht="18.5">
      <c r="A49" s="1" t="s">
        <v>29</v>
      </c>
      <c r="B49" s="3" t="s">
        <v>49</v>
      </c>
    </row>
    <row r="50" spans="1:2" ht="18.5">
      <c r="A50" s="1" t="s">
        <v>29</v>
      </c>
      <c r="B50" s="3" t="s">
        <v>50</v>
      </c>
    </row>
    <row r="51" spans="1:2" ht="18.5">
      <c r="A51" s="1" t="s">
        <v>29</v>
      </c>
      <c r="B51" s="3" t="s">
        <v>51</v>
      </c>
    </row>
    <row r="52" spans="1:2" ht="18.5">
      <c r="A52" s="1" t="s">
        <v>29</v>
      </c>
      <c r="B52" s="3" t="s">
        <v>52</v>
      </c>
    </row>
    <row r="53" spans="1:2" ht="18.5">
      <c r="A53" s="1" t="s">
        <v>29</v>
      </c>
      <c r="B53" s="3" t="s">
        <v>53</v>
      </c>
    </row>
    <row r="54" spans="1:2" ht="18.5">
      <c r="A54" s="1" t="s">
        <v>29</v>
      </c>
      <c r="B54" s="3" t="s">
        <v>54</v>
      </c>
    </row>
    <row r="55" spans="1:2" ht="18.5">
      <c r="A55" s="1" t="s">
        <v>29</v>
      </c>
      <c r="B55" s="3" t="s">
        <v>55</v>
      </c>
    </row>
    <row r="56" spans="1:2" ht="18.5">
      <c r="A56" s="1" t="s">
        <v>29</v>
      </c>
      <c r="B56" s="3" t="s">
        <v>56</v>
      </c>
    </row>
    <row r="57" spans="1:2" ht="18.5">
      <c r="A57" s="1" t="s">
        <v>29</v>
      </c>
      <c r="B57" s="3" t="s">
        <v>57</v>
      </c>
    </row>
    <row r="58" spans="1:2" ht="18.5">
      <c r="A58" s="1" t="s">
        <v>29</v>
      </c>
      <c r="B58" s="3" t="s">
        <v>58</v>
      </c>
    </row>
    <row r="59" spans="1:2" ht="18.5">
      <c r="A59" s="4" t="s">
        <v>29</v>
      </c>
      <c r="B59" s="5" t="s">
        <v>59</v>
      </c>
    </row>
  </sheetData>
  <conditionalFormatting sqref="A2:B59">
    <cfRule type="expression" dxfId="90" priority="1">
      <formula>MOD(ROW(),5)=0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</vt:lpstr>
      <vt:lpstr>PRIMARY_DATA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Musah</dc:creator>
  <cp:lastModifiedBy>Anas Musah</cp:lastModifiedBy>
  <dcterms:created xsi:type="dcterms:W3CDTF">2026-04-23T00:07:02Z</dcterms:created>
  <dcterms:modified xsi:type="dcterms:W3CDTF">2026-04-23T01:19:32Z</dcterms:modified>
</cp:coreProperties>
</file>
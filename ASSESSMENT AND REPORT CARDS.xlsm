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unma\Documents\GitHub\SBA_FOR_BASIC_SCH_TEACHERS\"/>
    </mc:Choice>
  </mc:AlternateContent>
  <xr:revisionPtr revIDLastSave="0" documentId="13_ncr:1_{E05695F5-048B-46FB-8C60-95A6FD522B94}" xr6:coauthVersionLast="36" xr6:coauthVersionMax="36" xr10:uidLastSave="{00000000-0000-0000-0000-000000000000}"/>
  <bookViews>
    <workbookView xWindow="0" yWindow="60" windowWidth="10240" windowHeight="5900" tabRatio="755" xr2:uid="{00000000-000D-0000-FFFF-FFFF00000000}"/>
  </bookViews>
  <sheets>
    <sheet name="SETTINGS" sheetId="1" r:id="rId1"/>
    <sheet name="DATA" sheetId="27" r:id="rId2"/>
    <sheet name="ASSESSMENT_" sheetId="21" state="hidden" r:id="rId3"/>
    <sheet name="ASSESSMENT" sheetId="26" r:id="rId4"/>
    <sheet name="REPORT_CARD" sheetId="22" r:id="rId5"/>
    <sheet name="POS" sheetId="23" state="hidden" r:id="rId6"/>
  </sheets>
  <functionGroups builtInGroupCount="19"/>
  <definedNames>
    <definedName name="pos">IF(ASSESSMENT_!$DF1="","",RANK(ASSESSMENT_!$DF1,ASSESSMENT_!$DF$12:$DF$76))</definedName>
    <definedName name="position_two">IF(POS!$C1="","",RANK(POS!$C1,POS!$C$4:$C$231))</definedName>
    <definedName name="_xlnm.Print_Area" localSheetId="4">REPORT_CARD!$L$4:$R$56</definedName>
    <definedName name="SubjectList">Subjects[[#All],[Subject Name]]</definedName>
  </definedNames>
  <calcPr calcId="191029" iterateDelta="1E-4"/>
  <extLst>
    <ext xmlns:loext="http://schemas.libreoffice.org/" uri="{7626C862-2A13-11E5-B345-FEFF819CDC9F}">
      <loext:extCalcPr stringRefSyntax="CalcA1"/>
    </ext>
  </extLst>
</workbook>
</file>

<file path=xl/calcChain.xml><?xml version="1.0" encoding="utf-8"?>
<calcChain xmlns="http://schemas.openxmlformats.org/spreadsheetml/2006/main">
  <c r="M8" i="22" l="1"/>
  <c r="M7" i="22"/>
  <c r="M6" i="22"/>
  <c r="CW19" i="26"/>
  <c r="D17" i="26" l="1"/>
  <c r="AY5" i="27" l="1"/>
  <c r="AY6" i="27"/>
  <c r="AY8" i="27"/>
  <c r="AZ8" i="27"/>
  <c r="BA8" i="27"/>
  <c r="BB8" i="27"/>
  <c r="BC8" i="27"/>
  <c r="AY77" i="27"/>
  <c r="AZ77" i="27"/>
  <c r="BA77" i="27"/>
  <c r="BB77" i="27"/>
  <c r="BC77" i="27"/>
  <c r="AY78" i="27"/>
  <c r="AZ78" i="27"/>
  <c r="BA78" i="27"/>
  <c r="BB78" i="27"/>
  <c r="BC78" i="27"/>
  <c r="AW8" i="27"/>
  <c r="AV8" i="27"/>
  <c r="AU8" i="27"/>
  <c r="AT8" i="27"/>
  <c r="AS8" i="27"/>
  <c r="AQ8" i="27"/>
  <c r="AP8" i="27"/>
  <c r="AO8" i="27"/>
  <c r="AN8" i="27"/>
  <c r="AM8" i="27"/>
  <c r="AK8" i="27"/>
  <c r="AJ8" i="27"/>
  <c r="AI8" i="27"/>
  <c r="AH8" i="27"/>
  <c r="AG8" i="27"/>
  <c r="AE8" i="27"/>
  <c r="AD8" i="27"/>
  <c r="AC8" i="27"/>
  <c r="AB8" i="27"/>
  <c r="AA8" i="27"/>
  <c r="Y8" i="27"/>
  <c r="X8" i="27"/>
  <c r="W8" i="27"/>
  <c r="V8" i="27"/>
  <c r="U8" i="27"/>
  <c r="S8" i="27"/>
  <c r="R8" i="27"/>
  <c r="Q8" i="27"/>
  <c r="P8" i="27"/>
  <c r="O8" i="27"/>
  <c r="M8" i="27"/>
  <c r="L8" i="27"/>
  <c r="K8" i="27"/>
  <c r="J8" i="27"/>
  <c r="I8" i="27"/>
  <c r="G8" i="27"/>
  <c r="O77" i="27"/>
  <c r="P77" i="27"/>
  <c r="Q77" i="27"/>
  <c r="R77" i="27"/>
  <c r="S77" i="27"/>
  <c r="I77" i="27"/>
  <c r="J77" i="27"/>
  <c r="K77" i="27"/>
  <c r="L77" i="27"/>
  <c r="M77" i="27"/>
  <c r="I13" i="26" l="1"/>
  <c r="I14" i="26"/>
  <c r="I15" i="26"/>
  <c r="I16" i="26"/>
  <c r="I17" i="26"/>
  <c r="I18" i="26"/>
  <c r="I19" i="26"/>
  <c r="I20" i="26"/>
  <c r="I21" i="26"/>
  <c r="I22" i="26"/>
  <c r="I23" i="26"/>
  <c r="I24" i="26"/>
  <c r="I25" i="26"/>
  <c r="I26" i="26"/>
  <c r="I27" i="26"/>
  <c r="I28" i="26"/>
  <c r="I29" i="26"/>
  <c r="I30" i="26"/>
  <c r="I31" i="26"/>
  <c r="I32" i="26"/>
  <c r="I33" i="26"/>
  <c r="I34" i="26"/>
  <c r="I35" i="26"/>
  <c r="I36" i="26"/>
  <c r="I37" i="26"/>
  <c r="I38" i="26"/>
  <c r="I39" i="26"/>
  <c r="I40" i="26"/>
  <c r="I41" i="26"/>
  <c r="I42" i="26"/>
  <c r="I43" i="26"/>
  <c r="I44" i="26"/>
  <c r="I45" i="26"/>
  <c r="I46" i="26"/>
  <c r="I47" i="26"/>
  <c r="I48" i="26"/>
  <c r="I49" i="26"/>
  <c r="I50" i="26"/>
  <c r="I51" i="26"/>
  <c r="I52" i="26"/>
  <c r="I53" i="26"/>
  <c r="I54" i="26"/>
  <c r="I55" i="26"/>
  <c r="I56" i="26"/>
  <c r="I57" i="26"/>
  <c r="I58" i="26"/>
  <c r="I59" i="26"/>
  <c r="I60" i="26"/>
  <c r="I61" i="26"/>
  <c r="I62" i="26"/>
  <c r="I63" i="26"/>
  <c r="I64" i="26"/>
  <c r="I65" i="26"/>
  <c r="I66" i="26"/>
  <c r="I67" i="26"/>
  <c r="I68" i="26"/>
  <c r="I69" i="26"/>
  <c r="I70" i="26"/>
  <c r="I71" i="26"/>
  <c r="I72" i="26"/>
  <c r="I73" i="26"/>
  <c r="I74" i="26"/>
  <c r="I75" i="26"/>
  <c r="I76" i="26"/>
  <c r="I12" i="26"/>
  <c r="AM70" i="26"/>
  <c r="AN70" i="26"/>
  <c r="AO70" i="26"/>
  <c r="AP70" i="26"/>
  <c r="AM71" i="26"/>
  <c r="AN71" i="26"/>
  <c r="AO71" i="26"/>
  <c r="AP71" i="26"/>
  <c r="AM72" i="26"/>
  <c r="AN72" i="26"/>
  <c r="AO72" i="26"/>
  <c r="AP72" i="26"/>
  <c r="AM73" i="26"/>
  <c r="AN73" i="26"/>
  <c r="AO73" i="26"/>
  <c r="AP73" i="26"/>
  <c r="AM74" i="26"/>
  <c r="AN74" i="26"/>
  <c r="AO74" i="26"/>
  <c r="AP74" i="26"/>
  <c r="AM75" i="26"/>
  <c r="AN75" i="26"/>
  <c r="AO75" i="26"/>
  <c r="AP75" i="26"/>
  <c r="AM76" i="26"/>
  <c r="AN76" i="26"/>
  <c r="AO76" i="26"/>
  <c r="AP76" i="26"/>
  <c r="BW70" i="26"/>
  <c r="BX70" i="26"/>
  <c r="BY70" i="26"/>
  <c r="BZ70" i="26"/>
  <c r="BW71" i="26"/>
  <c r="BX71" i="26"/>
  <c r="BY71" i="26"/>
  <c r="BZ71" i="26"/>
  <c r="BW72" i="26"/>
  <c r="BX72" i="26"/>
  <c r="BY72" i="26"/>
  <c r="BZ72" i="26"/>
  <c r="BW73" i="26"/>
  <c r="BX73" i="26"/>
  <c r="BY73" i="26"/>
  <c r="BZ73" i="26"/>
  <c r="BW74" i="26"/>
  <c r="BX74" i="26"/>
  <c r="BY74" i="26"/>
  <c r="BZ74" i="26"/>
  <c r="BW75" i="26"/>
  <c r="BX75" i="26"/>
  <c r="BY75" i="26"/>
  <c r="BZ75" i="26"/>
  <c r="BW76" i="26"/>
  <c r="BX76" i="26"/>
  <c r="BY76" i="26"/>
  <c r="BZ76" i="26"/>
  <c r="CC70" i="26"/>
  <c r="CC71" i="26"/>
  <c r="CC72" i="26"/>
  <c r="CC73" i="26"/>
  <c r="CC74" i="26"/>
  <c r="CC75" i="26"/>
  <c r="CC76" i="26"/>
  <c r="CI70" i="26"/>
  <c r="CJ70" i="26"/>
  <c r="CK70" i="26"/>
  <c r="CL70" i="26"/>
  <c r="CI71" i="26"/>
  <c r="CJ71" i="26"/>
  <c r="CK71" i="26"/>
  <c r="CL71" i="26"/>
  <c r="CI72" i="26"/>
  <c r="CJ72" i="26"/>
  <c r="CK72" i="26"/>
  <c r="CL72" i="26"/>
  <c r="CI73" i="26"/>
  <c r="CJ73" i="26"/>
  <c r="CK73" i="26"/>
  <c r="CL73" i="26"/>
  <c r="CI74" i="26"/>
  <c r="CJ74" i="26"/>
  <c r="CK74" i="26"/>
  <c r="CL74" i="26"/>
  <c r="CI75" i="26"/>
  <c r="CJ75" i="26"/>
  <c r="CK75" i="26"/>
  <c r="CL75" i="26"/>
  <c r="CI76" i="26"/>
  <c r="CJ76" i="26"/>
  <c r="CK76" i="26"/>
  <c r="CL76" i="26"/>
  <c r="CO70" i="26"/>
  <c r="CO71" i="26"/>
  <c r="CO72" i="26"/>
  <c r="CO73" i="26"/>
  <c r="CO74" i="26"/>
  <c r="CO75" i="26"/>
  <c r="CO76" i="26"/>
  <c r="DA70" i="26"/>
  <c r="DA71" i="26"/>
  <c r="DA72" i="26"/>
  <c r="DA73" i="26"/>
  <c r="DA74" i="26"/>
  <c r="DA75" i="26"/>
  <c r="DA76" i="26"/>
  <c r="CU70" i="26"/>
  <c r="CV70" i="26"/>
  <c r="CW70" i="26"/>
  <c r="CX70" i="26"/>
  <c r="CU71" i="26"/>
  <c r="CV71" i="26"/>
  <c r="CW71" i="26"/>
  <c r="CX71" i="26"/>
  <c r="CU72" i="26"/>
  <c r="CV72" i="26"/>
  <c r="CW72" i="26"/>
  <c r="CX72" i="26"/>
  <c r="CU73" i="26"/>
  <c r="CV73" i="26"/>
  <c r="CW73" i="26"/>
  <c r="CX73" i="26"/>
  <c r="CU74" i="26"/>
  <c r="CV74" i="26"/>
  <c r="CW74" i="26"/>
  <c r="CX74" i="26"/>
  <c r="CU75" i="26"/>
  <c r="CV75" i="26"/>
  <c r="CW75" i="26"/>
  <c r="CX75" i="26"/>
  <c r="CU76" i="26"/>
  <c r="CV76" i="26"/>
  <c r="CW76" i="26"/>
  <c r="CX76" i="26"/>
  <c r="CU13" i="26"/>
  <c r="CV13" i="26"/>
  <c r="CW13" i="26"/>
  <c r="CX13" i="26"/>
  <c r="CU14" i="26"/>
  <c r="CV14" i="26"/>
  <c r="CW14" i="26"/>
  <c r="CX14" i="26"/>
  <c r="CU15" i="26"/>
  <c r="CV15" i="26"/>
  <c r="CW15" i="26"/>
  <c r="CX15" i="26"/>
  <c r="CU16" i="26"/>
  <c r="CV16" i="26"/>
  <c r="CW16" i="26"/>
  <c r="CX16" i="26"/>
  <c r="CU17" i="26"/>
  <c r="CV17" i="26"/>
  <c r="CW17" i="26"/>
  <c r="CX17" i="26"/>
  <c r="CU18" i="26"/>
  <c r="CV18" i="26"/>
  <c r="CW18" i="26"/>
  <c r="CX18" i="26"/>
  <c r="CU19" i="26"/>
  <c r="CV19" i="26"/>
  <c r="CX19" i="26"/>
  <c r="CU20" i="26"/>
  <c r="CV20" i="26"/>
  <c r="CW20" i="26"/>
  <c r="CX20" i="26"/>
  <c r="CU21" i="26"/>
  <c r="CV21" i="26"/>
  <c r="CW21" i="26"/>
  <c r="CX21" i="26"/>
  <c r="CU22" i="26"/>
  <c r="CV22" i="26"/>
  <c r="CW22" i="26"/>
  <c r="CX22" i="26"/>
  <c r="CU23" i="26"/>
  <c r="CV23" i="26"/>
  <c r="CW23" i="26"/>
  <c r="CX23" i="26"/>
  <c r="CU24" i="26"/>
  <c r="CV24" i="26"/>
  <c r="CW24" i="26"/>
  <c r="CX24" i="26"/>
  <c r="CU25" i="26"/>
  <c r="CV25" i="26"/>
  <c r="CW25" i="26"/>
  <c r="CX25" i="26"/>
  <c r="CU26" i="26"/>
  <c r="CV26" i="26"/>
  <c r="CW26" i="26"/>
  <c r="CX26" i="26"/>
  <c r="CU27" i="26"/>
  <c r="CV27" i="26"/>
  <c r="CW27" i="26"/>
  <c r="CX27" i="26"/>
  <c r="CU28" i="26"/>
  <c r="CV28" i="26"/>
  <c r="CW28" i="26"/>
  <c r="CX28" i="26"/>
  <c r="CU29" i="26"/>
  <c r="CV29" i="26"/>
  <c r="CW29" i="26"/>
  <c r="CX29" i="26"/>
  <c r="CU30" i="26"/>
  <c r="CV30" i="26"/>
  <c r="CW30" i="26"/>
  <c r="CX30" i="26"/>
  <c r="CU31" i="26"/>
  <c r="CV31" i="26"/>
  <c r="CW31" i="26"/>
  <c r="CX31" i="26"/>
  <c r="CU32" i="26"/>
  <c r="CV32" i="26"/>
  <c r="CW32" i="26"/>
  <c r="CX32" i="26"/>
  <c r="CU33" i="26"/>
  <c r="CV33" i="26"/>
  <c r="CW33" i="26"/>
  <c r="CX33" i="26"/>
  <c r="CU34" i="26"/>
  <c r="CV34" i="26"/>
  <c r="CW34" i="26"/>
  <c r="CX34" i="26"/>
  <c r="CU35" i="26"/>
  <c r="CV35" i="26"/>
  <c r="CW35" i="26"/>
  <c r="CX35" i="26"/>
  <c r="CU36" i="26"/>
  <c r="CV36" i="26"/>
  <c r="CW36" i="26"/>
  <c r="CX36" i="26"/>
  <c r="CU37" i="26"/>
  <c r="CV37" i="26"/>
  <c r="CW37" i="26"/>
  <c r="CX37" i="26"/>
  <c r="CU38" i="26"/>
  <c r="CV38" i="26"/>
  <c r="CW38" i="26"/>
  <c r="CX38" i="26"/>
  <c r="CU39" i="26"/>
  <c r="CV39" i="26"/>
  <c r="CW39" i="26"/>
  <c r="CX39" i="26"/>
  <c r="CU40" i="26"/>
  <c r="CV40" i="26"/>
  <c r="CW40" i="26"/>
  <c r="CX40" i="26"/>
  <c r="CU41" i="26"/>
  <c r="CV41" i="26"/>
  <c r="CW41" i="26"/>
  <c r="CX41" i="26"/>
  <c r="CU42" i="26"/>
  <c r="CV42" i="26"/>
  <c r="CW42" i="26"/>
  <c r="CX42" i="26"/>
  <c r="CU43" i="26"/>
  <c r="CV43" i="26"/>
  <c r="CW43" i="26"/>
  <c r="CX43" i="26"/>
  <c r="CU44" i="26"/>
  <c r="CV44" i="26"/>
  <c r="CW44" i="26"/>
  <c r="CX44" i="26"/>
  <c r="CU45" i="26"/>
  <c r="CV45" i="26"/>
  <c r="CW45" i="26"/>
  <c r="CX45" i="26"/>
  <c r="CU46" i="26"/>
  <c r="CV46" i="26"/>
  <c r="CW46" i="26"/>
  <c r="CX46" i="26"/>
  <c r="CU47" i="26"/>
  <c r="CV47" i="26"/>
  <c r="CW47" i="26"/>
  <c r="CX47" i="26"/>
  <c r="CU48" i="26"/>
  <c r="CV48" i="26"/>
  <c r="CW48" i="26"/>
  <c r="CX48" i="26"/>
  <c r="CU49" i="26"/>
  <c r="CV49" i="26"/>
  <c r="CW49" i="26"/>
  <c r="CX49" i="26"/>
  <c r="CU50" i="26"/>
  <c r="CV50" i="26"/>
  <c r="CW50" i="26"/>
  <c r="CX50" i="26"/>
  <c r="CU51" i="26"/>
  <c r="CV51" i="26"/>
  <c r="CW51" i="26"/>
  <c r="CX51" i="26"/>
  <c r="CU52" i="26"/>
  <c r="CV52" i="26"/>
  <c r="CW52" i="26"/>
  <c r="CX52" i="26"/>
  <c r="CU53" i="26"/>
  <c r="CV53" i="26"/>
  <c r="CW53" i="26"/>
  <c r="CX53" i="26"/>
  <c r="CU54" i="26"/>
  <c r="CV54" i="26"/>
  <c r="CW54" i="26"/>
  <c r="CX54" i="26"/>
  <c r="CU55" i="26"/>
  <c r="CV55" i="26"/>
  <c r="CW55" i="26"/>
  <c r="CX55" i="26"/>
  <c r="CU56" i="26"/>
  <c r="CV56" i="26"/>
  <c r="CW56" i="26"/>
  <c r="CX56" i="26"/>
  <c r="CU57" i="26"/>
  <c r="CV57" i="26"/>
  <c r="CW57" i="26"/>
  <c r="CX57" i="26"/>
  <c r="CU58" i="26"/>
  <c r="CV58" i="26"/>
  <c r="CW58" i="26"/>
  <c r="CX58" i="26"/>
  <c r="CU59" i="26"/>
  <c r="CV59" i="26"/>
  <c r="CW59" i="26"/>
  <c r="CX59" i="26"/>
  <c r="CU60" i="26"/>
  <c r="CV60" i="26"/>
  <c r="CW60" i="26"/>
  <c r="CX60" i="26"/>
  <c r="CU61" i="26"/>
  <c r="CV61" i="26"/>
  <c r="CW61" i="26"/>
  <c r="CX61" i="26"/>
  <c r="CU62" i="26"/>
  <c r="CV62" i="26"/>
  <c r="CW62" i="26"/>
  <c r="CX62" i="26"/>
  <c r="CU63" i="26"/>
  <c r="CV63" i="26"/>
  <c r="CW63" i="26"/>
  <c r="CX63" i="26"/>
  <c r="CU64" i="26"/>
  <c r="CV64" i="26"/>
  <c r="CW64" i="26"/>
  <c r="CX64" i="26"/>
  <c r="CU65" i="26"/>
  <c r="CV65" i="26"/>
  <c r="CW65" i="26"/>
  <c r="CX65" i="26"/>
  <c r="CU66" i="26"/>
  <c r="CV66" i="26"/>
  <c r="CW66" i="26"/>
  <c r="CX66" i="26"/>
  <c r="CU67" i="26"/>
  <c r="CV67" i="26"/>
  <c r="CW67" i="26"/>
  <c r="CX67" i="26"/>
  <c r="CU68" i="26"/>
  <c r="CV68" i="26"/>
  <c r="CW68" i="26"/>
  <c r="CX68" i="26"/>
  <c r="CU69" i="26"/>
  <c r="CV69" i="26"/>
  <c r="CW69" i="26"/>
  <c r="CX69" i="26"/>
  <c r="DA13" i="26"/>
  <c r="DA14" i="26"/>
  <c r="DA15" i="26"/>
  <c r="DA16" i="26"/>
  <c r="DA17" i="26"/>
  <c r="DA18" i="26"/>
  <c r="DA19" i="26"/>
  <c r="DA20" i="26"/>
  <c r="DA21" i="26"/>
  <c r="DA22" i="26"/>
  <c r="DA23" i="26"/>
  <c r="DA24" i="26"/>
  <c r="DA25" i="26"/>
  <c r="DA26" i="26"/>
  <c r="DA27" i="26"/>
  <c r="DA28" i="26"/>
  <c r="DA29" i="26"/>
  <c r="DA30" i="26"/>
  <c r="DA31" i="26"/>
  <c r="DA32" i="26"/>
  <c r="DA33" i="26"/>
  <c r="DA34" i="26"/>
  <c r="DA35" i="26"/>
  <c r="DA36" i="26"/>
  <c r="DA37" i="26"/>
  <c r="DA38" i="26"/>
  <c r="DA39" i="26"/>
  <c r="DA40" i="26"/>
  <c r="DA41" i="26"/>
  <c r="DA42" i="26"/>
  <c r="DA43" i="26"/>
  <c r="DA44" i="26"/>
  <c r="DA45" i="26"/>
  <c r="DA46" i="26"/>
  <c r="DA47" i="26"/>
  <c r="DA48" i="26"/>
  <c r="DA49" i="26"/>
  <c r="DA50" i="26"/>
  <c r="DA51" i="26"/>
  <c r="DA52" i="26"/>
  <c r="DA53" i="26"/>
  <c r="DA54" i="26"/>
  <c r="DA55" i="26"/>
  <c r="DA56" i="26"/>
  <c r="DA57" i="26"/>
  <c r="DA58" i="26"/>
  <c r="DA59" i="26"/>
  <c r="DA60" i="26"/>
  <c r="DA61" i="26"/>
  <c r="DA62" i="26"/>
  <c r="DA63" i="26"/>
  <c r="DA64" i="26"/>
  <c r="DA65" i="26"/>
  <c r="DA66" i="26"/>
  <c r="DA67" i="26"/>
  <c r="DA68" i="26"/>
  <c r="DA69" i="26"/>
  <c r="DA12" i="26"/>
  <c r="CV12" i="26"/>
  <c r="CW12" i="26"/>
  <c r="CX12" i="26"/>
  <c r="CU12" i="26"/>
  <c r="CI13" i="26"/>
  <c r="CJ13" i="26"/>
  <c r="CK13" i="26"/>
  <c r="CL13" i="26"/>
  <c r="CI14" i="26"/>
  <c r="CJ14" i="26"/>
  <c r="CK14" i="26"/>
  <c r="CL14" i="26"/>
  <c r="CI15" i="26"/>
  <c r="CJ15" i="26"/>
  <c r="CK15" i="26"/>
  <c r="CL15" i="26"/>
  <c r="CI16" i="26"/>
  <c r="CJ16" i="26"/>
  <c r="CK16" i="26"/>
  <c r="CL16" i="26"/>
  <c r="CI17" i="26"/>
  <c r="CJ17" i="26"/>
  <c r="CK17" i="26"/>
  <c r="CL17" i="26"/>
  <c r="CI18" i="26"/>
  <c r="CJ18" i="26"/>
  <c r="CK18" i="26"/>
  <c r="CL18" i="26"/>
  <c r="CI19" i="26"/>
  <c r="CJ19" i="26"/>
  <c r="CK19" i="26"/>
  <c r="CL19" i="26"/>
  <c r="CI20" i="26"/>
  <c r="CJ20" i="26"/>
  <c r="CK20" i="26"/>
  <c r="CL20" i="26"/>
  <c r="CI21" i="26"/>
  <c r="CJ21" i="26"/>
  <c r="CK21" i="26"/>
  <c r="CL21" i="26"/>
  <c r="CI22" i="26"/>
  <c r="CJ22" i="26"/>
  <c r="CK22" i="26"/>
  <c r="CL22" i="26"/>
  <c r="CI23" i="26"/>
  <c r="CJ23" i="26"/>
  <c r="CK23" i="26"/>
  <c r="CL23" i="26"/>
  <c r="CI24" i="26"/>
  <c r="CJ24" i="26"/>
  <c r="CK24" i="26"/>
  <c r="CL24" i="26"/>
  <c r="CI25" i="26"/>
  <c r="CJ25" i="26"/>
  <c r="CK25" i="26"/>
  <c r="CL25" i="26"/>
  <c r="CI26" i="26"/>
  <c r="CJ26" i="26"/>
  <c r="CK26" i="26"/>
  <c r="CL26" i="26"/>
  <c r="CI27" i="26"/>
  <c r="CJ27" i="26"/>
  <c r="CK27" i="26"/>
  <c r="CL27" i="26"/>
  <c r="CI28" i="26"/>
  <c r="CJ28" i="26"/>
  <c r="CK28" i="26"/>
  <c r="CL28" i="26"/>
  <c r="CI29" i="26"/>
  <c r="CJ29" i="26"/>
  <c r="CK29" i="26"/>
  <c r="CL29" i="26"/>
  <c r="CI30" i="26"/>
  <c r="CJ30" i="26"/>
  <c r="CK30" i="26"/>
  <c r="CL30" i="26"/>
  <c r="CI31" i="26"/>
  <c r="CJ31" i="26"/>
  <c r="CK31" i="26"/>
  <c r="CL31" i="26"/>
  <c r="CI32" i="26"/>
  <c r="CJ32" i="26"/>
  <c r="CK32" i="26"/>
  <c r="CL32" i="26"/>
  <c r="CI33" i="26"/>
  <c r="CJ33" i="26"/>
  <c r="CK33" i="26"/>
  <c r="CL33" i="26"/>
  <c r="CI34" i="26"/>
  <c r="CJ34" i="26"/>
  <c r="CK34" i="26"/>
  <c r="CL34" i="26"/>
  <c r="CI35" i="26"/>
  <c r="CJ35" i="26"/>
  <c r="CK35" i="26"/>
  <c r="CL35" i="26"/>
  <c r="CI36" i="26"/>
  <c r="CJ36" i="26"/>
  <c r="CK36" i="26"/>
  <c r="CL36" i="26"/>
  <c r="CI37" i="26"/>
  <c r="CJ37" i="26"/>
  <c r="CK37" i="26"/>
  <c r="CL37" i="26"/>
  <c r="CI38" i="26"/>
  <c r="CJ38" i="26"/>
  <c r="CK38" i="26"/>
  <c r="CL38" i="26"/>
  <c r="CI39" i="26"/>
  <c r="CJ39" i="26"/>
  <c r="CK39" i="26"/>
  <c r="CL39" i="26"/>
  <c r="CI40" i="26"/>
  <c r="CJ40" i="26"/>
  <c r="CK40" i="26"/>
  <c r="CL40" i="26"/>
  <c r="CI41" i="26"/>
  <c r="CJ41" i="26"/>
  <c r="CK41" i="26"/>
  <c r="CL41" i="26"/>
  <c r="CI42" i="26"/>
  <c r="CJ42" i="26"/>
  <c r="CK42" i="26"/>
  <c r="CL42" i="26"/>
  <c r="CI43" i="26"/>
  <c r="CJ43" i="26"/>
  <c r="CK43" i="26"/>
  <c r="CL43" i="26"/>
  <c r="CI44" i="26"/>
  <c r="CJ44" i="26"/>
  <c r="CK44" i="26"/>
  <c r="CL44" i="26"/>
  <c r="CI45" i="26"/>
  <c r="CJ45" i="26"/>
  <c r="CK45" i="26"/>
  <c r="CL45" i="26"/>
  <c r="CI46" i="26"/>
  <c r="CJ46" i="26"/>
  <c r="CK46" i="26"/>
  <c r="CL46" i="26"/>
  <c r="CI47" i="26"/>
  <c r="CJ47" i="26"/>
  <c r="CK47" i="26"/>
  <c r="CL47" i="26"/>
  <c r="CI48" i="26"/>
  <c r="CJ48" i="26"/>
  <c r="CK48" i="26"/>
  <c r="CL48" i="26"/>
  <c r="CI49" i="26"/>
  <c r="CJ49" i="26"/>
  <c r="CK49" i="26"/>
  <c r="CL49" i="26"/>
  <c r="CI50" i="26"/>
  <c r="CJ50" i="26"/>
  <c r="CK50" i="26"/>
  <c r="CL50" i="26"/>
  <c r="CI51" i="26"/>
  <c r="CJ51" i="26"/>
  <c r="CK51" i="26"/>
  <c r="CL51" i="26"/>
  <c r="CI52" i="26"/>
  <c r="CJ52" i="26"/>
  <c r="CK52" i="26"/>
  <c r="CL52" i="26"/>
  <c r="CI53" i="26"/>
  <c r="CJ53" i="26"/>
  <c r="CK53" i="26"/>
  <c r="CL53" i="26"/>
  <c r="CI54" i="26"/>
  <c r="CJ54" i="26"/>
  <c r="CK54" i="26"/>
  <c r="CL54" i="26"/>
  <c r="CI55" i="26"/>
  <c r="CJ55" i="26"/>
  <c r="CK55" i="26"/>
  <c r="CL55" i="26"/>
  <c r="CI56" i="26"/>
  <c r="CJ56" i="26"/>
  <c r="CK56" i="26"/>
  <c r="CL56" i="26"/>
  <c r="CI57" i="26"/>
  <c r="CJ57" i="26"/>
  <c r="CK57" i="26"/>
  <c r="CL57" i="26"/>
  <c r="CI58" i="26"/>
  <c r="CJ58" i="26"/>
  <c r="CK58" i="26"/>
  <c r="CL58" i="26"/>
  <c r="CI59" i="26"/>
  <c r="CJ59" i="26"/>
  <c r="CK59" i="26"/>
  <c r="CL59" i="26"/>
  <c r="CI60" i="26"/>
  <c r="CJ60" i="26"/>
  <c r="CK60" i="26"/>
  <c r="CL60" i="26"/>
  <c r="CI61" i="26"/>
  <c r="CJ61" i="26"/>
  <c r="CK61" i="26"/>
  <c r="CL61" i="26"/>
  <c r="CI62" i="26"/>
  <c r="CJ62" i="26"/>
  <c r="CK62" i="26"/>
  <c r="CL62" i="26"/>
  <c r="CI63" i="26"/>
  <c r="CJ63" i="26"/>
  <c r="CK63" i="26"/>
  <c r="CL63" i="26"/>
  <c r="CI64" i="26"/>
  <c r="CJ64" i="26"/>
  <c r="CK64" i="26"/>
  <c r="CL64" i="26"/>
  <c r="CI65" i="26"/>
  <c r="CJ65" i="26"/>
  <c r="CK65" i="26"/>
  <c r="CL65" i="26"/>
  <c r="CI66" i="26"/>
  <c r="CJ66" i="26"/>
  <c r="CK66" i="26"/>
  <c r="CL66" i="26"/>
  <c r="CI67" i="26"/>
  <c r="CJ67" i="26"/>
  <c r="CK67" i="26"/>
  <c r="CL67" i="26"/>
  <c r="CI68" i="26"/>
  <c r="CJ68" i="26"/>
  <c r="CK68" i="26"/>
  <c r="CL68" i="26"/>
  <c r="CI69" i="26"/>
  <c r="CJ69" i="26"/>
  <c r="CK69" i="26"/>
  <c r="CL69" i="26"/>
  <c r="CO13" i="26"/>
  <c r="CO14" i="26"/>
  <c r="CO15" i="26"/>
  <c r="CO16" i="26"/>
  <c r="CO17" i="26"/>
  <c r="CO18" i="26"/>
  <c r="CO19" i="26"/>
  <c r="CO20" i="26"/>
  <c r="CO21" i="26"/>
  <c r="CO22" i="26"/>
  <c r="CO23" i="26"/>
  <c r="CO24" i="26"/>
  <c r="CO25" i="26"/>
  <c r="CO26" i="26"/>
  <c r="CO27" i="26"/>
  <c r="CO28" i="26"/>
  <c r="CO29" i="26"/>
  <c r="CO30" i="26"/>
  <c r="CO31" i="26"/>
  <c r="CO32" i="26"/>
  <c r="CO33" i="26"/>
  <c r="CO34" i="26"/>
  <c r="CO35" i="26"/>
  <c r="CO36" i="26"/>
  <c r="CO37" i="26"/>
  <c r="CO38" i="26"/>
  <c r="CO39" i="26"/>
  <c r="CO40" i="26"/>
  <c r="CO41" i="26"/>
  <c r="CO42" i="26"/>
  <c r="CO43" i="26"/>
  <c r="CO44" i="26"/>
  <c r="CO45" i="26"/>
  <c r="CO46" i="26"/>
  <c r="CO47" i="26"/>
  <c r="CO48" i="26"/>
  <c r="CO49" i="26"/>
  <c r="CO50" i="26"/>
  <c r="CO51" i="26"/>
  <c r="CO52" i="26"/>
  <c r="CO53" i="26"/>
  <c r="CO54" i="26"/>
  <c r="CO55" i="26"/>
  <c r="CO56" i="26"/>
  <c r="CO57" i="26"/>
  <c r="CO58" i="26"/>
  <c r="CO59" i="26"/>
  <c r="CO60" i="26"/>
  <c r="CO61" i="26"/>
  <c r="CO62" i="26"/>
  <c r="CO63" i="26"/>
  <c r="CO64" i="26"/>
  <c r="CO65" i="26"/>
  <c r="CO66" i="26"/>
  <c r="CO67" i="26"/>
  <c r="CO68" i="26"/>
  <c r="CO69" i="26"/>
  <c r="CO12" i="26"/>
  <c r="CJ12" i="26"/>
  <c r="CK12" i="26"/>
  <c r="CL12" i="26"/>
  <c r="CI12" i="26"/>
  <c r="BW13" i="26"/>
  <c r="BX13" i="26"/>
  <c r="BY13" i="26"/>
  <c r="BZ13" i="26"/>
  <c r="BW14" i="26"/>
  <c r="BX14" i="26"/>
  <c r="BY14" i="26"/>
  <c r="BZ14" i="26"/>
  <c r="BW15" i="26"/>
  <c r="BX15" i="26"/>
  <c r="BY15" i="26"/>
  <c r="BZ15" i="26"/>
  <c r="BW16" i="26"/>
  <c r="BX16" i="26"/>
  <c r="BY16" i="26"/>
  <c r="BZ16" i="26"/>
  <c r="BW17" i="26"/>
  <c r="BX17" i="26"/>
  <c r="BY17" i="26"/>
  <c r="BZ17" i="26"/>
  <c r="BW18" i="26"/>
  <c r="BX18" i="26"/>
  <c r="BY18" i="26"/>
  <c r="BZ18" i="26"/>
  <c r="BW19" i="26"/>
  <c r="BX19" i="26"/>
  <c r="BY19" i="26"/>
  <c r="BZ19" i="26"/>
  <c r="BW20" i="26"/>
  <c r="BX20" i="26"/>
  <c r="BY20" i="26"/>
  <c r="BZ20" i="26"/>
  <c r="BW21" i="26"/>
  <c r="BX21" i="26"/>
  <c r="BY21" i="26"/>
  <c r="BZ21" i="26"/>
  <c r="BW22" i="26"/>
  <c r="BX22" i="26"/>
  <c r="BY22" i="26"/>
  <c r="BZ22" i="26"/>
  <c r="BW23" i="26"/>
  <c r="BX23" i="26"/>
  <c r="BY23" i="26"/>
  <c r="BZ23" i="26"/>
  <c r="BW24" i="26"/>
  <c r="BX24" i="26"/>
  <c r="BY24" i="26"/>
  <c r="BZ24" i="26"/>
  <c r="BW25" i="26"/>
  <c r="BX25" i="26"/>
  <c r="BY25" i="26"/>
  <c r="BZ25" i="26"/>
  <c r="BW26" i="26"/>
  <c r="BX26" i="26"/>
  <c r="BY26" i="26"/>
  <c r="BZ26" i="26"/>
  <c r="BW27" i="26"/>
  <c r="BX27" i="26"/>
  <c r="BY27" i="26"/>
  <c r="BZ27" i="26"/>
  <c r="BW28" i="26"/>
  <c r="BX28" i="26"/>
  <c r="BY28" i="26"/>
  <c r="BZ28" i="26"/>
  <c r="BW29" i="26"/>
  <c r="BX29" i="26"/>
  <c r="BY29" i="26"/>
  <c r="BZ29" i="26"/>
  <c r="BW30" i="26"/>
  <c r="BX30" i="26"/>
  <c r="BY30" i="26"/>
  <c r="BZ30" i="26"/>
  <c r="BW31" i="26"/>
  <c r="BX31" i="26"/>
  <c r="BY31" i="26"/>
  <c r="BZ31" i="26"/>
  <c r="BW32" i="26"/>
  <c r="BX32" i="26"/>
  <c r="BY32" i="26"/>
  <c r="BZ32" i="26"/>
  <c r="BW33" i="26"/>
  <c r="BX33" i="26"/>
  <c r="BY33" i="26"/>
  <c r="BZ33" i="26"/>
  <c r="BW34" i="26"/>
  <c r="BX34" i="26"/>
  <c r="BY34" i="26"/>
  <c r="BZ34" i="26"/>
  <c r="BW35" i="26"/>
  <c r="BX35" i="26"/>
  <c r="BY35" i="26"/>
  <c r="BZ35" i="26"/>
  <c r="BW36" i="26"/>
  <c r="BX36" i="26"/>
  <c r="BY36" i="26"/>
  <c r="BZ36" i="26"/>
  <c r="BW37" i="26"/>
  <c r="BX37" i="26"/>
  <c r="BY37" i="26"/>
  <c r="BZ37" i="26"/>
  <c r="BW38" i="26"/>
  <c r="BX38" i="26"/>
  <c r="BY38" i="26"/>
  <c r="BZ38" i="26"/>
  <c r="BW39" i="26"/>
  <c r="BX39" i="26"/>
  <c r="BY39" i="26"/>
  <c r="BZ39" i="26"/>
  <c r="BW40" i="26"/>
  <c r="BX40" i="26"/>
  <c r="BY40" i="26"/>
  <c r="BZ40" i="26"/>
  <c r="BW41" i="26"/>
  <c r="BX41" i="26"/>
  <c r="BY41" i="26"/>
  <c r="BZ41" i="26"/>
  <c r="BW42" i="26"/>
  <c r="BX42" i="26"/>
  <c r="BY42" i="26"/>
  <c r="BZ42" i="26"/>
  <c r="BW43" i="26"/>
  <c r="BX43" i="26"/>
  <c r="BY43" i="26"/>
  <c r="BZ43" i="26"/>
  <c r="BW44" i="26"/>
  <c r="BX44" i="26"/>
  <c r="BY44" i="26"/>
  <c r="BZ44" i="26"/>
  <c r="BW45" i="26"/>
  <c r="BX45" i="26"/>
  <c r="BY45" i="26"/>
  <c r="BZ45" i="26"/>
  <c r="BW46" i="26"/>
  <c r="BX46" i="26"/>
  <c r="BY46" i="26"/>
  <c r="BZ46" i="26"/>
  <c r="BW47" i="26"/>
  <c r="BX47" i="26"/>
  <c r="BY47" i="26"/>
  <c r="BZ47" i="26"/>
  <c r="BW48" i="26"/>
  <c r="BX48" i="26"/>
  <c r="BY48" i="26"/>
  <c r="BZ48" i="26"/>
  <c r="BW49" i="26"/>
  <c r="BX49" i="26"/>
  <c r="BY49" i="26"/>
  <c r="BZ49" i="26"/>
  <c r="BW50" i="26"/>
  <c r="BX50" i="26"/>
  <c r="BY50" i="26"/>
  <c r="BZ50" i="26"/>
  <c r="BW51" i="26"/>
  <c r="BX51" i="26"/>
  <c r="BY51" i="26"/>
  <c r="BZ51" i="26"/>
  <c r="BW52" i="26"/>
  <c r="BX52" i="26"/>
  <c r="BY52" i="26"/>
  <c r="BZ52" i="26"/>
  <c r="BW53" i="26"/>
  <c r="BX53" i="26"/>
  <c r="BY53" i="26"/>
  <c r="BZ53" i="26"/>
  <c r="BW54" i="26"/>
  <c r="BX54" i="26"/>
  <c r="BY54" i="26"/>
  <c r="BZ54" i="26"/>
  <c r="BW55" i="26"/>
  <c r="BX55" i="26"/>
  <c r="BY55" i="26"/>
  <c r="BZ55" i="26"/>
  <c r="BW56" i="26"/>
  <c r="BX56" i="26"/>
  <c r="BY56" i="26"/>
  <c r="BZ56" i="26"/>
  <c r="BW57" i="26"/>
  <c r="BX57" i="26"/>
  <c r="BY57" i="26"/>
  <c r="BZ57" i="26"/>
  <c r="BW58" i="26"/>
  <c r="BX58" i="26"/>
  <c r="BY58" i="26"/>
  <c r="BZ58" i="26"/>
  <c r="BW59" i="26"/>
  <c r="BX59" i="26"/>
  <c r="BY59" i="26"/>
  <c r="BZ59" i="26"/>
  <c r="BW60" i="26"/>
  <c r="BX60" i="26"/>
  <c r="BY60" i="26"/>
  <c r="BZ60" i="26"/>
  <c r="BW61" i="26"/>
  <c r="BX61" i="26"/>
  <c r="BY61" i="26"/>
  <c r="BZ61" i="26"/>
  <c r="BW62" i="26"/>
  <c r="BX62" i="26"/>
  <c r="BY62" i="26"/>
  <c r="BZ62" i="26"/>
  <c r="BW63" i="26"/>
  <c r="BX63" i="26"/>
  <c r="BY63" i="26"/>
  <c r="BZ63" i="26"/>
  <c r="BW64" i="26"/>
  <c r="BX64" i="26"/>
  <c r="BY64" i="26"/>
  <c r="BZ64" i="26"/>
  <c r="BW65" i="26"/>
  <c r="BX65" i="26"/>
  <c r="BY65" i="26"/>
  <c r="BZ65" i="26"/>
  <c r="BW66" i="26"/>
  <c r="BX66" i="26"/>
  <c r="BY66" i="26"/>
  <c r="BZ66" i="26"/>
  <c r="BW67" i="26"/>
  <c r="BX67" i="26"/>
  <c r="BY67" i="26"/>
  <c r="BZ67" i="26"/>
  <c r="BW68" i="26"/>
  <c r="BX68" i="26"/>
  <c r="BY68" i="26"/>
  <c r="BZ68" i="26"/>
  <c r="BW69" i="26"/>
  <c r="BX69" i="26"/>
  <c r="BY69" i="26"/>
  <c r="BZ69" i="26"/>
  <c r="CC13" i="26"/>
  <c r="CC14" i="26"/>
  <c r="CC15" i="26"/>
  <c r="CC16" i="26"/>
  <c r="CC17" i="26"/>
  <c r="CC18" i="26"/>
  <c r="CC19" i="26"/>
  <c r="CC20" i="26"/>
  <c r="CC21" i="26"/>
  <c r="CC22" i="26"/>
  <c r="CC23" i="26"/>
  <c r="CC24" i="26"/>
  <c r="CC25" i="26"/>
  <c r="CC26" i="26"/>
  <c r="CC27" i="26"/>
  <c r="CC28" i="26"/>
  <c r="CC29" i="26"/>
  <c r="CC30" i="26"/>
  <c r="CC31" i="26"/>
  <c r="CC32" i="26"/>
  <c r="CC33" i="26"/>
  <c r="CC34" i="26"/>
  <c r="CC35" i="26"/>
  <c r="CC36" i="26"/>
  <c r="CC37" i="26"/>
  <c r="CC38" i="26"/>
  <c r="CC39" i="26"/>
  <c r="CC40" i="26"/>
  <c r="CC41" i="26"/>
  <c r="CC42" i="26"/>
  <c r="CC43" i="26"/>
  <c r="CC44" i="26"/>
  <c r="CC45" i="26"/>
  <c r="CC46" i="26"/>
  <c r="CC47" i="26"/>
  <c r="CC48" i="26"/>
  <c r="CC49" i="26"/>
  <c r="CC50" i="26"/>
  <c r="CC51" i="26"/>
  <c r="CC52" i="26"/>
  <c r="CC53" i="26"/>
  <c r="CC54" i="26"/>
  <c r="CC55" i="26"/>
  <c r="CC56" i="26"/>
  <c r="CC57" i="26"/>
  <c r="CC58" i="26"/>
  <c r="CC59" i="26"/>
  <c r="CC60" i="26"/>
  <c r="CC61" i="26"/>
  <c r="CC62" i="26"/>
  <c r="CC63" i="26"/>
  <c r="CC64" i="26"/>
  <c r="CC65" i="26"/>
  <c r="CC66" i="26"/>
  <c r="CC67" i="26"/>
  <c r="CC68" i="26"/>
  <c r="CC69" i="26"/>
  <c r="CC12" i="26"/>
  <c r="BX12" i="26"/>
  <c r="BY12" i="26"/>
  <c r="BZ12" i="26"/>
  <c r="BW12" i="26"/>
  <c r="BQ70" i="26"/>
  <c r="BQ71" i="26"/>
  <c r="BQ72" i="26"/>
  <c r="BQ73" i="26"/>
  <c r="BQ74" i="26"/>
  <c r="BQ75" i="26"/>
  <c r="BQ76" i="26"/>
  <c r="BK70" i="26"/>
  <c r="BL70" i="26"/>
  <c r="BM70" i="26"/>
  <c r="BN70" i="26"/>
  <c r="BK71" i="26"/>
  <c r="BL71" i="26"/>
  <c r="BM71" i="26"/>
  <c r="BN71" i="26"/>
  <c r="BK72" i="26"/>
  <c r="BL72" i="26"/>
  <c r="BM72" i="26"/>
  <c r="BN72" i="26"/>
  <c r="BK73" i="26"/>
  <c r="BL73" i="26"/>
  <c r="BM73" i="26"/>
  <c r="BN73" i="26"/>
  <c r="BK74" i="26"/>
  <c r="BL74" i="26"/>
  <c r="BM74" i="26"/>
  <c r="BN74" i="26"/>
  <c r="BK75" i="26"/>
  <c r="BL75" i="26"/>
  <c r="BM75" i="26"/>
  <c r="BN75" i="26"/>
  <c r="BK76" i="26"/>
  <c r="BL76" i="26"/>
  <c r="BM76" i="26"/>
  <c r="BN76" i="26"/>
  <c r="BK13" i="26"/>
  <c r="BL13" i="26"/>
  <c r="BM13" i="26"/>
  <c r="BN13" i="26"/>
  <c r="BK14" i="26"/>
  <c r="BL14" i="26"/>
  <c r="BM14" i="26"/>
  <c r="BN14" i="26"/>
  <c r="BK15" i="26"/>
  <c r="BL15" i="26"/>
  <c r="BM15" i="26"/>
  <c r="BN15" i="26"/>
  <c r="BK16" i="26"/>
  <c r="BL16" i="26"/>
  <c r="BM16" i="26"/>
  <c r="BN16" i="26"/>
  <c r="BK17" i="26"/>
  <c r="BL17" i="26"/>
  <c r="BM17" i="26"/>
  <c r="BN17" i="26"/>
  <c r="BK18" i="26"/>
  <c r="BL18" i="26"/>
  <c r="BM18" i="26"/>
  <c r="BN18" i="26"/>
  <c r="BK19" i="26"/>
  <c r="BL19" i="26"/>
  <c r="BM19" i="26"/>
  <c r="BN19" i="26"/>
  <c r="BK20" i="26"/>
  <c r="BL20" i="26"/>
  <c r="BM20" i="26"/>
  <c r="BN20" i="26"/>
  <c r="BK21" i="26"/>
  <c r="BL21" i="26"/>
  <c r="BM21" i="26"/>
  <c r="BN21" i="26"/>
  <c r="BK22" i="26"/>
  <c r="BL22" i="26"/>
  <c r="BM22" i="26"/>
  <c r="BN22" i="26"/>
  <c r="BK23" i="26"/>
  <c r="BL23" i="26"/>
  <c r="BM23" i="26"/>
  <c r="BN23" i="26"/>
  <c r="BK24" i="26"/>
  <c r="BL24" i="26"/>
  <c r="BM24" i="26"/>
  <c r="BN24" i="26"/>
  <c r="BK25" i="26"/>
  <c r="BL25" i="26"/>
  <c r="BM25" i="26"/>
  <c r="BN25" i="26"/>
  <c r="BK26" i="26"/>
  <c r="BL26" i="26"/>
  <c r="BM26" i="26"/>
  <c r="BN26" i="26"/>
  <c r="BK27" i="26"/>
  <c r="BL27" i="26"/>
  <c r="BM27" i="26"/>
  <c r="BN27" i="26"/>
  <c r="BK28" i="26"/>
  <c r="BL28" i="26"/>
  <c r="BM28" i="26"/>
  <c r="BN28" i="26"/>
  <c r="BK29" i="26"/>
  <c r="BL29" i="26"/>
  <c r="BM29" i="26"/>
  <c r="BN29" i="26"/>
  <c r="BK30" i="26"/>
  <c r="BL30" i="26"/>
  <c r="BM30" i="26"/>
  <c r="BN30" i="26"/>
  <c r="BK31" i="26"/>
  <c r="BL31" i="26"/>
  <c r="BM31" i="26"/>
  <c r="BN31" i="26"/>
  <c r="BK32" i="26"/>
  <c r="BL32" i="26"/>
  <c r="BM32" i="26"/>
  <c r="BN32" i="26"/>
  <c r="BK33" i="26"/>
  <c r="BL33" i="26"/>
  <c r="BM33" i="26"/>
  <c r="BN33" i="26"/>
  <c r="BK34" i="26"/>
  <c r="BL34" i="26"/>
  <c r="BM34" i="26"/>
  <c r="BN34" i="26"/>
  <c r="BK35" i="26"/>
  <c r="BL35" i="26"/>
  <c r="BM35" i="26"/>
  <c r="BN35" i="26"/>
  <c r="BK36" i="26"/>
  <c r="BL36" i="26"/>
  <c r="BM36" i="26"/>
  <c r="BN36" i="26"/>
  <c r="BK37" i="26"/>
  <c r="BL37" i="26"/>
  <c r="BM37" i="26"/>
  <c r="BN37" i="26"/>
  <c r="BK38" i="26"/>
  <c r="BL38" i="26"/>
  <c r="BM38" i="26"/>
  <c r="BN38" i="26"/>
  <c r="BK39" i="26"/>
  <c r="BL39" i="26"/>
  <c r="BM39" i="26"/>
  <c r="BN39" i="26"/>
  <c r="BK40" i="26"/>
  <c r="BL40" i="26"/>
  <c r="BM40" i="26"/>
  <c r="BN40" i="26"/>
  <c r="BK41" i="26"/>
  <c r="BL41" i="26"/>
  <c r="BM41" i="26"/>
  <c r="BN41" i="26"/>
  <c r="BK42" i="26"/>
  <c r="BL42" i="26"/>
  <c r="BM42" i="26"/>
  <c r="BN42" i="26"/>
  <c r="BK43" i="26"/>
  <c r="BL43" i="26"/>
  <c r="BM43" i="26"/>
  <c r="BN43" i="26"/>
  <c r="BK44" i="26"/>
  <c r="BL44" i="26"/>
  <c r="BM44" i="26"/>
  <c r="BN44" i="26"/>
  <c r="BK45" i="26"/>
  <c r="BL45" i="26"/>
  <c r="BM45" i="26"/>
  <c r="BN45" i="26"/>
  <c r="BK46" i="26"/>
  <c r="BL46" i="26"/>
  <c r="BM46" i="26"/>
  <c r="BN46" i="26"/>
  <c r="BK47" i="26"/>
  <c r="BL47" i="26"/>
  <c r="BM47" i="26"/>
  <c r="BN47" i="26"/>
  <c r="BK48" i="26"/>
  <c r="BL48" i="26"/>
  <c r="BM48" i="26"/>
  <c r="BN48" i="26"/>
  <c r="BK49" i="26"/>
  <c r="BL49" i="26"/>
  <c r="BM49" i="26"/>
  <c r="BN49" i="26"/>
  <c r="BK50" i="26"/>
  <c r="BL50" i="26"/>
  <c r="BM50" i="26"/>
  <c r="BN50" i="26"/>
  <c r="BK51" i="26"/>
  <c r="BL51" i="26"/>
  <c r="BM51" i="26"/>
  <c r="BN51" i="26"/>
  <c r="BK52" i="26"/>
  <c r="BL52" i="26"/>
  <c r="BM52" i="26"/>
  <c r="BN52" i="26"/>
  <c r="BK53" i="26"/>
  <c r="BL53" i="26"/>
  <c r="BM53" i="26"/>
  <c r="BN53" i="26"/>
  <c r="BK54" i="26"/>
  <c r="BL54" i="26"/>
  <c r="BM54" i="26"/>
  <c r="BN54" i="26"/>
  <c r="BK55" i="26"/>
  <c r="BL55" i="26"/>
  <c r="BM55" i="26"/>
  <c r="BN55" i="26"/>
  <c r="BK56" i="26"/>
  <c r="BL56" i="26"/>
  <c r="BM56" i="26"/>
  <c r="BN56" i="26"/>
  <c r="BK57" i="26"/>
  <c r="BL57" i="26"/>
  <c r="BM57" i="26"/>
  <c r="BN57" i="26"/>
  <c r="BK58" i="26"/>
  <c r="BL58" i="26"/>
  <c r="BM58" i="26"/>
  <c r="BN58" i="26"/>
  <c r="BK59" i="26"/>
  <c r="BL59" i="26"/>
  <c r="BM59" i="26"/>
  <c r="BN59" i="26"/>
  <c r="BK60" i="26"/>
  <c r="BL60" i="26"/>
  <c r="BM60" i="26"/>
  <c r="BN60" i="26"/>
  <c r="BK61" i="26"/>
  <c r="BL61" i="26"/>
  <c r="BM61" i="26"/>
  <c r="BN61" i="26"/>
  <c r="BK62" i="26"/>
  <c r="BL62" i="26"/>
  <c r="BM62" i="26"/>
  <c r="BN62" i="26"/>
  <c r="BK63" i="26"/>
  <c r="BL63" i="26"/>
  <c r="BM63" i="26"/>
  <c r="BN63" i="26"/>
  <c r="BK64" i="26"/>
  <c r="BL64" i="26"/>
  <c r="BM64" i="26"/>
  <c r="BN64" i="26"/>
  <c r="BK65" i="26"/>
  <c r="BL65" i="26"/>
  <c r="BM65" i="26"/>
  <c r="BN65" i="26"/>
  <c r="BK66" i="26"/>
  <c r="BL66" i="26"/>
  <c r="BM66" i="26"/>
  <c r="BN66" i="26"/>
  <c r="BK67" i="26"/>
  <c r="BL67" i="26"/>
  <c r="BM67" i="26"/>
  <c r="BN67" i="26"/>
  <c r="BK68" i="26"/>
  <c r="BL68" i="26"/>
  <c r="BM68" i="26"/>
  <c r="BN68" i="26"/>
  <c r="BK69" i="26"/>
  <c r="BL69" i="26"/>
  <c r="BM69" i="26"/>
  <c r="BN69" i="26"/>
  <c r="BQ13" i="26"/>
  <c r="BQ14" i="26"/>
  <c r="BQ15" i="26"/>
  <c r="BQ16" i="26"/>
  <c r="BQ17" i="26"/>
  <c r="BQ18" i="26"/>
  <c r="BQ19" i="26"/>
  <c r="BQ20" i="26"/>
  <c r="BQ21" i="26"/>
  <c r="BQ22" i="26"/>
  <c r="BQ23" i="26"/>
  <c r="BQ24" i="26"/>
  <c r="BQ25" i="26"/>
  <c r="BQ26" i="26"/>
  <c r="BQ27" i="26"/>
  <c r="BQ28" i="26"/>
  <c r="BQ29" i="26"/>
  <c r="BQ30" i="26"/>
  <c r="BQ31" i="26"/>
  <c r="BQ32" i="26"/>
  <c r="BQ33" i="26"/>
  <c r="BQ34" i="26"/>
  <c r="BQ35" i="26"/>
  <c r="BQ36" i="26"/>
  <c r="BQ37" i="26"/>
  <c r="BQ38" i="26"/>
  <c r="BQ39" i="26"/>
  <c r="BQ40" i="26"/>
  <c r="BQ41" i="26"/>
  <c r="BQ42" i="26"/>
  <c r="BQ43" i="26"/>
  <c r="BQ44" i="26"/>
  <c r="BQ45" i="26"/>
  <c r="BQ46" i="26"/>
  <c r="BQ47" i="26"/>
  <c r="BQ48" i="26"/>
  <c r="BQ49" i="26"/>
  <c r="BQ50" i="26"/>
  <c r="BQ51" i="26"/>
  <c r="BQ52" i="26"/>
  <c r="BQ53" i="26"/>
  <c r="BQ54" i="26"/>
  <c r="BQ55" i="26"/>
  <c r="BQ56" i="26"/>
  <c r="BQ57" i="26"/>
  <c r="BQ58" i="26"/>
  <c r="BQ59" i="26"/>
  <c r="BQ60" i="26"/>
  <c r="BQ61" i="26"/>
  <c r="BQ62" i="26"/>
  <c r="BQ63" i="26"/>
  <c r="BQ64" i="26"/>
  <c r="BQ65" i="26"/>
  <c r="BQ66" i="26"/>
  <c r="BQ67" i="26"/>
  <c r="BQ68" i="26"/>
  <c r="BQ69" i="26"/>
  <c r="BQ12" i="26"/>
  <c r="BL12" i="26"/>
  <c r="BM12" i="26"/>
  <c r="BN12" i="26"/>
  <c r="BK12" i="26"/>
  <c r="AY70" i="26"/>
  <c r="AZ70" i="26"/>
  <c r="BA70" i="26"/>
  <c r="BB70" i="26"/>
  <c r="AY71" i="26"/>
  <c r="AZ71" i="26"/>
  <c r="BA71" i="26"/>
  <c r="BB71" i="26"/>
  <c r="AY72" i="26"/>
  <c r="AZ72" i="26"/>
  <c r="BA72" i="26"/>
  <c r="BB72" i="26"/>
  <c r="AY73" i="26"/>
  <c r="AZ73" i="26"/>
  <c r="BA73" i="26"/>
  <c r="BB73" i="26"/>
  <c r="AY74" i="26"/>
  <c r="AZ74" i="26"/>
  <c r="BA74" i="26"/>
  <c r="BB74" i="26"/>
  <c r="AY75" i="26"/>
  <c r="AZ75" i="26"/>
  <c r="BA75" i="26"/>
  <c r="BB75" i="26"/>
  <c r="AY76" i="26"/>
  <c r="AZ76" i="26"/>
  <c r="BA76" i="26"/>
  <c r="BB76" i="26"/>
  <c r="BE13" i="26"/>
  <c r="BE14" i="26"/>
  <c r="BE15" i="26"/>
  <c r="BE16" i="26"/>
  <c r="BE17" i="26"/>
  <c r="BE18" i="26"/>
  <c r="BE19" i="26"/>
  <c r="BE20" i="26"/>
  <c r="BE21" i="26"/>
  <c r="BE22" i="26"/>
  <c r="BE23" i="26"/>
  <c r="BE24" i="26"/>
  <c r="BE25" i="26"/>
  <c r="BE26" i="26"/>
  <c r="BE27" i="26"/>
  <c r="BE28" i="26"/>
  <c r="BE29" i="26"/>
  <c r="BE30" i="26"/>
  <c r="BE31" i="26"/>
  <c r="BE32" i="26"/>
  <c r="BE33" i="26"/>
  <c r="BE34" i="26"/>
  <c r="BE35" i="26"/>
  <c r="BE36" i="26"/>
  <c r="BE37" i="26"/>
  <c r="BE38" i="26"/>
  <c r="BE39" i="26"/>
  <c r="BE40" i="26"/>
  <c r="BE41" i="26"/>
  <c r="BE42" i="26"/>
  <c r="BE43" i="26"/>
  <c r="BE44" i="26"/>
  <c r="BE45" i="26"/>
  <c r="BE46" i="26"/>
  <c r="BE47" i="26"/>
  <c r="BE48" i="26"/>
  <c r="BE49" i="26"/>
  <c r="BE50" i="26"/>
  <c r="BE51" i="26"/>
  <c r="BE52" i="26"/>
  <c r="BE53" i="26"/>
  <c r="BE54" i="26"/>
  <c r="BE55" i="26"/>
  <c r="BE56" i="26"/>
  <c r="BE57" i="26"/>
  <c r="BE58" i="26"/>
  <c r="BE59" i="26"/>
  <c r="BE60" i="26"/>
  <c r="BE61" i="26"/>
  <c r="BE62" i="26"/>
  <c r="BE63" i="26"/>
  <c r="BE64" i="26"/>
  <c r="BE65" i="26"/>
  <c r="BE66" i="26"/>
  <c r="BE67" i="26"/>
  <c r="BE68" i="26"/>
  <c r="BE69" i="26"/>
  <c r="BE70" i="26"/>
  <c r="BE71" i="26"/>
  <c r="BE72" i="26"/>
  <c r="BE73" i="26"/>
  <c r="BE74" i="26"/>
  <c r="BE75" i="26"/>
  <c r="BE76" i="26"/>
  <c r="AY13" i="26"/>
  <c r="AZ13" i="26"/>
  <c r="BA13" i="26"/>
  <c r="BB13" i="26"/>
  <c r="AY14" i="26"/>
  <c r="AZ14" i="26"/>
  <c r="BA14" i="26"/>
  <c r="BB14" i="26"/>
  <c r="AY15" i="26"/>
  <c r="AZ15" i="26"/>
  <c r="BA15" i="26"/>
  <c r="BB15" i="26"/>
  <c r="AY16" i="26"/>
  <c r="AZ16" i="26"/>
  <c r="BA16" i="26"/>
  <c r="BB16" i="26"/>
  <c r="AY17" i="26"/>
  <c r="AZ17" i="26"/>
  <c r="BA17" i="26"/>
  <c r="BB17" i="26"/>
  <c r="AY18" i="26"/>
  <c r="AZ18" i="26"/>
  <c r="BA18" i="26"/>
  <c r="BB18" i="26"/>
  <c r="AY19" i="26"/>
  <c r="AZ19" i="26"/>
  <c r="BA19" i="26"/>
  <c r="BB19" i="26"/>
  <c r="AY20" i="26"/>
  <c r="AZ20" i="26"/>
  <c r="BA20" i="26"/>
  <c r="BB20" i="26"/>
  <c r="AY21" i="26"/>
  <c r="AZ21" i="26"/>
  <c r="BA21" i="26"/>
  <c r="BB21" i="26"/>
  <c r="AY22" i="26"/>
  <c r="AZ22" i="26"/>
  <c r="BA22" i="26"/>
  <c r="BB22" i="26"/>
  <c r="AY23" i="26"/>
  <c r="AZ23" i="26"/>
  <c r="BA23" i="26"/>
  <c r="BB23" i="26"/>
  <c r="AY24" i="26"/>
  <c r="AZ24" i="26"/>
  <c r="BA24" i="26"/>
  <c r="BB24" i="26"/>
  <c r="AY25" i="26"/>
  <c r="AZ25" i="26"/>
  <c r="BA25" i="26"/>
  <c r="BB25" i="26"/>
  <c r="AY26" i="26"/>
  <c r="AZ26" i="26"/>
  <c r="BA26" i="26"/>
  <c r="BB26" i="26"/>
  <c r="AY27" i="26"/>
  <c r="AZ27" i="26"/>
  <c r="BA27" i="26"/>
  <c r="BB27" i="26"/>
  <c r="AY28" i="26"/>
  <c r="AZ28" i="26"/>
  <c r="BA28" i="26"/>
  <c r="BB28" i="26"/>
  <c r="AY29" i="26"/>
  <c r="AZ29" i="26"/>
  <c r="BA29" i="26"/>
  <c r="BB29" i="26"/>
  <c r="AY30" i="26"/>
  <c r="AZ30" i="26"/>
  <c r="BA30" i="26"/>
  <c r="BB30" i="26"/>
  <c r="AY31" i="26"/>
  <c r="AZ31" i="26"/>
  <c r="BA31" i="26"/>
  <c r="BB31" i="26"/>
  <c r="AY32" i="26"/>
  <c r="AZ32" i="26"/>
  <c r="BA32" i="26"/>
  <c r="BB32" i="26"/>
  <c r="AY33" i="26"/>
  <c r="AZ33" i="26"/>
  <c r="BA33" i="26"/>
  <c r="BB33" i="26"/>
  <c r="AY34" i="26"/>
  <c r="AZ34" i="26"/>
  <c r="BA34" i="26"/>
  <c r="BB34" i="26"/>
  <c r="AY35" i="26"/>
  <c r="AZ35" i="26"/>
  <c r="BA35" i="26"/>
  <c r="BB35" i="26"/>
  <c r="AY36" i="26"/>
  <c r="AZ36" i="26"/>
  <c r="BA36" i="26"/>
  <c r="BB36" i="26"/>
  <c r="AY37" i="26"/>
  <c r="AZ37" i="26"/>
  <c r="BA37" i="26"/>
  <c r="BB37" i="26"/>
  <c r="AY38" i="26"/>
  <c r="AZ38" i="26"/>
  <c r="BA38" i="26"/>
  <c r="BB38" i="26"/>
  <c r="AY39" i="26"/>
  <c r="AZ39" i="26"/>
  <c r="BA39" i="26"/>
  <c r="BB39" i="26"/>
  <c r="AY40" i="26"/>
  <c r="AZ40" i="26"/>
  <c r="BA40" i="26"/>
  <c r="BB40" i="26"/>
  <c r="AY41" i="26"/>
  <c r="AZ41" i="26"/>
  <c r="BA41" i="26"/>
  <c r="BB41" i="26"/>
  <c r="AY42" i="26"/>
  <c r="AZ42" i="26"/>
  <c r="BA42" i="26"/>
  <c r="BB42" i="26"/>
  <c r="AY43" i="26"/>
  <c r="AZ43" i="26"/>
  <c r="BA43" i="26"/>
  <c r="BB43" i="26"/>
  <c r="AY44" i="26"/>
  <c r="AZ44" i="26"/>
  <c r="BA44" i="26"/>
  <c r="BB44" i="26"/>
  <c r="AY45" i="26"/>
  <c r="AZ45" i="26"/>
  <c r="BA45" i="26"/>
  <c r="BB45" i="26"/>
  <c r="AY46" i="26"/>
  <c r="AZ46" i="26"/>
  <c r="BA46" i="26"/>
  <c r="BB46" i="26"/>
  <c r="AY47" i="26"/>
  <c r="AZ47" i="26"/>
  <c r="BA47" i="26"/>
  <c r="BB47" i="26"/>
  <c r="AY48" i="26"/>
  <c r="AZ48" i="26"/>
  <c r="BA48" i="26"/>
  <c r="BB48" i="26"/>
  <c r="AY49" i="26"/>
  <c r="AZ49" i="26"/>
  <c r="BA49" i="26"/>
  <c r="BB49" i="26"/>
  <c r="AY50" i="26"/>
  <c r="AZ50" i="26"/>
  <c r="BA50" i="26"/>
  <c r="BB50" i="26"/>
  <c r="AY51" i="26"/>
  <c r="AZ51" i="26"/>
  <c r="BA51" i="26"/>
  <c r="BB51" i="26"/>
  <c r="AY52" i="26"/>
  <c r="AZ52" i="26"/>
  <c r="BA52" i="26"/>
  <c r="BB52" i="26"/>
  <c r="AY53" i="26"/>
  <c r="AZ53" i="26"/>
  <c r="BA53" i="26"/>
  <c r="BB53" i="26"/>
  <c r="AY54" i="26"/>
  <c r="AZ54" i="26"/>
  <c r="BA54" i="26"/>
  <c r="BB54" i="26"/>
  <c r="AY55" i="26"/>
  <c r="AZ55" i="26"/>
  <c r="BA55" i="26"/>
  <c r="BB55" i="26"/>
  <c r="AY56" i="26"/>
  <c r="AZ56" i="26"/>
  <c r="BA56" i="26"/>
  <c r="BB56" i="26"/>
  <c r="AY57" i="26"/>
  <c r="AZ57" i="26"/>
  <c r="BA57" i="26"/>
  <c r="BB57" i="26"/>
  <c r="AY58" i="26"/>
  <c r="AZ58" i="26"/>
  <c r="BA58" i="26"/>
  <c r="BB58" i="26"/>
  <c r="AY59" i="26"/>
  <c r="AZ59" i="26"/>
  <c r="BA59" i="26"/>
  <c r="BB59" i="26"/>
  <c r="AY60" i="26"/>
  <c r="AZ60" i="26"/>
  <c r="BA60" i="26"/>
  <c r="BB60" i="26"/>
  <c r="AY61" i="26"/>
  <c r="AZ61" i="26"/>
  <c r="BA61" i="26"/>
  <c r="BB61" i="26"/>
  <c r="AY62" i="26"/>
  <c r="AZ62" i="26"/>
  <c r="BA62" i="26"/>
  <c r="BB62" i="26"/>
  <c r="AY63" i="26"/>
  <c r="AZ63" i="26"/>
  <c r="BA63" i="26"/>
  <c r="BB63" i="26"/>
  <c r="AY64" i="26"/>
  <c r="AZ64" i="26"/>
  <c r="BA64" i="26"/>
  <c r="BB64" i="26"/>
  <c r="AY65" i="26"/>
  <c r="AZ65" i="26"/>
  <c r="BA65" i="26"/>
  <c r="BB65" i="26"/>
  <c r="AY66" i="26"/>
  <c r="AZ66" i="26"/>
  <c r="BA66" i="26"/>
  <c r="BB66" i="26"/>
  <c r="AY67" i="26"/>
  <c r="AZ67" i="26"/>
  <c r="BA67" i="26"/>
  <c r="BB67" i="26"/>
  <c r="AY68" i="26"/>
  <c r="AZ68" i="26"/>
  <c r="BA68" i="26"/>
  <c r="BB68" i="26"/>
  <c r="AY69" i="26"/>
  <c r="AZ69" i="26"/>
  <c r="BA69" i="26"/>
  <c r="BB69" i="26"/>
  <c r="BE12" i="26"/>
  <c r="AZ12" i="26"/>
  <c r="BA12" i="26"/>
  <c r="BB12" i="26"/>
  <c r="AY12" i="26"/>
  <c r="AS70" i="26"/>
  <c r="AS71" i="26"/>
  <c r="AS72" i="26"/>
  <c r="AS73" i="26"/>
  <c r="AS74" i="26"/>
  <c r="AS75" i="26"/>
  <c r="AS76" i="26"/>
  <c r="AS13" i="26"/>
  <c r="AS14" i="26"/>
  <c r="AS15" i="26"/>
  <c r="AS16" i="26"/>
  <c r="AS17" i="26"/>
  <c r="AS18" i="26"/>
  <c r="AS19" i="26"/>
  <c r="AS20" i="26"/>
  <c r="AS21" i="26"/>
  <c r="AS22" i="26"/>
  <c r="AS23" i="26"/>
  <c r="AS24" i="26"/>
  <c r="AS25" i="26"/>
  <c r="AS26" i="26"/>
  <c r="AS27" i="26"/>
  <c r="AS28" i="26"/>
  <c r="AS29" i="26"/>
  <c r="AS30" i="26"/>
  <c r="AS31" i="26"/>
  <c r="AS32" i="26"/>
  <c r="AS33" i="26"/>
  <c r="AS34" i="26"/>
  <c r="AS35" i="26"/>
  <c r="AS36" i="26"/>
  <c r="AS37" i="26"/>
  <c r="AS38" i="26"/>
  <c r="AS39" i="26"/>
  <c r="AS40" i="26"/>
  <c r="AS41" i="26"/>
  <c r="AS42" i="26"/>
  <c r="AS43" i="26"/>
  <c r="AS44" i="26"/>
  <c r="AS45" i="26"/>
  <c r="AS46" i="26"/>
  <c r="AS47" i="26"/>
  <c r="AS48" i="26"/>
  <c r="AS49" i="26"/>
  <c r="AS50" i="26"/>
  <c r="AS51" i="26"/>
  <c r="AS52" i="26"/>
  <c r="AS53" i="26"/>
  <c r="AS54" i="26"/>
  <c r="AS55" i="26"/>
  <c r="AS56" i="26"/>
  <c r="AS57" i="26"/>
  <c r="AS58" i="26"/>
  <c r="AS59" i="26"/>
  <c r="AS60" i="26"/>
  <c r="AS61" i="26"/>
  <c r="AS62" i="26"/>
  <c r="AS63" i="26"/>
  <c r="AS64" i="26"/>
  <c r="AS65" i="26"/>
  <c r="AS66" i="26"/>
  <c r="AS67" i="26"/>
  <c r="AS68" i="26"/>
  <c r="AS69" i="26"/>
  <c r="AM13" i="26"/>
  <c r="AN13" i="26"/>
  <c r="AO13" i="26"/>
  <c r="AP13" i="26"/>
  <c r="AM14" i="26"/>
  <c r="AN14" i="26"/>
  <c r="AO14" i="26"/>
  <c r="AP14" i="26"/>
  <c r="AM15" i="26"/>
  <c r="AN15" i="26"/>
  <c r="AO15" i="26"/>
  <c r="AP15" i="26"/>
  <c r="AM16" i="26"/>
  <c r="AN16" i="26"/>
  <c r="AO16" i="26"/>
  <c r="AP16" i="26"/>
  <c r="AM17" i="26"/>
  <c r="AN17" i="26"/>
  <c r="AO17" i="26"/>
  <c r="AP17" i="26"/>
  <c r="AM18" i="26"/>
  <c r="AN18" i="26"/>
  <c r="AO18" i="26"/>
  <c r="AP18" i="26"/>
  <c r="AM19" i="26"/>
  <c r="AN19" i="26"/>
  <c r="AO19" i="26"/>
  <c r="AP19" i="26"/>
  <c r="AM20" i="26"/>
  <c r="AN20" i="26"/>
  <c r="AO20" i="26"/>
  <c r="AP20" i="26"/>
  <c r="AM21" i="26"/>
  <c r="AN21" i="26"/>
  <c r="AO21" i="26"/>
  <c r="AP21" i="26"/>
  <c r="AM22" i="26"/>
  <c r="AN22" i="26"/>
  <c r="AO22" i="26"/>
  <c r="AP22" i="26"/>
  <c r="AM23" i="26"/>
  <c r="AN23" i="26"/>
  <c r="AO23" i="26"/>
  <c r="AP23" i="26"/>
  <c r="AM24" i="26"/>
  <c r="AN24" i="26"/>
  <c r="AO24" i="26"/>
  <c r="AP24" i="26"/>
  <c r="AM25" i="26"/>
  <c r="AN25" i="26"/>
  <c r="AO25" i="26"/>
  <c r="AP25" i="26"/>
  <c r="AM26" i="26"/>
  <c r="AN26" i="26"/>
  <c r="AO26" i="26"/>
  <c r="AP26" i="26"/>
  <c r="AM27" i="26"/>
  <c r="AN27" i="26"/>
  <c r="AO27" i="26"/>
  <c r="AP27" i="26"/>
  <c r="AM28" i="26"/>
  <c r="AN28" i="26"/>
  <c r="AO28" i="26"/>
  <c r="AP28" i="26"/>
  <c r="AM29" i="26"/>
  <c r="AN29" i="26"/>
  <c r="AO29" i="26"/>
  <c r="AP29" i="26"/>
  <c r="AM30" i="26"/>
  <c r="AN30" i="26"/>
  <c r="AO30" i="26"/>
  <c r="AP30" i="26"/>
  <c r="AM31" i="26"/>
  <c r="AN31" i="26"/>
  <c r="AO31" i="26"/>
  <c r="AP31" i="26"/>
  <c r="AM32" i="26"/>
  <c r="AN32" i="26"/>
  <c r="AO32" i="26"/>
  <c r="AP32" i="26"/>
  <c r="AM33" i="26"/>
  <c r="AN33" i="26"/>
  <c r="AO33" i="26"/>
  <c r="AP33" i="26"/>
  <c r="AM34" i="26"/>
  <c r="AN34" i="26"/>
  <c r="AO34" i="26"/>
  <c r="AP34" i="26"/>
  <c r="AM35" i="26"/>
  <c r="AN35" i="26"/>
  <c r="AO35" i="26"/>
  <c r="AP35" i="26"/>
  <c r="AM36" i="26"/>
  <c r="AN36" i="26"/>
  <c r="AO36" i="26"/>
  <c r="AP36" i="26"/>
  <c r="AM37" i="26"/>
  <c r="AN37" i="26"/>
  <c r="AO37" i="26"/>
  <c r="AP37" i="26"/>
  <c r="AM38" i="26"/>
  <c r="AN38" i="26"/>
  <c r="AO38" i="26"/>
  <c r="AP38" i="26"/>
  <c r="AM39" i="26"/>
  <c r="AN39" i="26"/>
  <c r="AO39" i="26"/>
  <c r="AP39" i="26"/>
  <c r="AM40" i="26"/>
  <c r="AN40" i="26"/>
  <c r="AO40" i="26"/>
  <c r="AP40" i="26"/>
  <c r="AM41" i="26"/>
  <c r="AN41" i="26"/>
  <c r="AO41" i="26"/>
  <c r="AP41" i="26"/>
  <c r="AM42" i="26"/>
  <c r="AN42" i="26"/>
  <c r="AO42" i="26"/>
  <c r="AP42" i="26"/>
  <c r="AM43" i="26"/>
  <c r="AN43" i="26"/>
  <c r="AO43" i="26"/>
  <c r="AP43" i="26"/>
  <c r="AM44" i="26"/>
  <c r="AN44" i="26"/>
  <c r="AO44" i="26"/>
  <c r="AP44" i="26"/>
  <c r="AM45" i="26"/>
  <c r="AN45" i="26"/>
  <c r="AO45" i="26"/>
  <c r="AP45" i="26"/>
  <c r="AM46" i="26"/>
  <c r="AN46" i="26"/>
  <c r="AO46" i="26"/>
  <c r="AP46" i="26"/>
  <c r="AM47" i="26"/>
  <c r="AN47" i="26"/>
  <c r="AO47" i="26"/>
  <c r="AP47" i="26"/>
  <c r="AM48" i="26"/>
  <c r="AN48" i="26"/>
  <c r="AO48" i="26"/>
  <c r="AP48" i="26"/>
  <c r="AM49" i="26"/>
  <c r="AN49" i="26"/>
  <c r="AO49" i="26"/>
  <c r="AP49" i="26"/>
  <c r="AM50" i="26"/>
  <c r="AN50" i="26"/>
  <c r="AO50" i="26"/>
  <c r="AP50" i="26"/>
  <c r="AM51" i="26"/>
  <c r="AN51" i="26"/>
  <c r="AO51" i="26"/>
  <c r="AP51" i="26"/>
  <c r="AM52" i="26"/>
  <c r="AN52" i="26"/>
  <c r="AO52" i="26"/>
  <c r="AP52" i="26"/>
  <c r="AM53" i="26"/>
  <c r="AN53" i="26"/>
  <c r="AO53" i="26"/>
  <c r="AP53" i="26"/>
  <c r="AM54" i="26"/>
  <c r="AN54" i="26"/>
  <c r="AO54" i="26"/>
  <c r="AP54" i="26"/>
  <c r="AM55" i="26"/>
  <c r="AN55" i="26"/>
  <c r="AO55" i="26"/>
  <c r="AP55" i="26"/>
  <c r="AM56" i="26"/>
  <c r="AN56" i="26"/>
  <c r="AO56" i="26"/>
  <c r="AP56" i="26"/>
  <c r="AM57" i="26"/>
  <c r="AN57" i="26"/>
  <c r="AO57" i="26"/>
  <c r="AP57" i="26"/>
  <c r="AM58" i="26"/>
  <c r="AN58" i="26"/>
  <c r="AO58" i="26"/>
  <c r="AP58" i="26"/>
  <c r="AM59" i="26"/>
  <c r="AN59" i="26"/>
  <c r="AO59" i="26"/>
  <c r="AP59" i="26"/>
  <c r="AM60" i="26"/>
  <c r="AN60" i="26"/>
  <c r="AO60" i="26"/>
  <c r="AP60" i="26"/>
  <c r="AM61" i="26"/>
  <c r="AN61" i="26"/>
  <c r="AO61" i="26"/>
  <c r="AP61" i="26"/>
  <c r="AM62" i="26"/>
  <c r="AN62" i="26"/>
  <c r="AO62" i="26"/>
  <c r="AP62" i="26"/>
  <c r="AM63" i="26"/>
  <c r="AN63" i="26"/>
  <c r="AO63" i="26"/>
  <c r="AP63" i="26"/>
  <c r="AM64" i="26"/>
  <c r="AN64" i="26"/>
  <c r="AO64" i="26"/>
  <c r="AP64" i="26"/>
  <c r="AM65" i="26"/>
  <c r="AN65" i="26"/>
  <c r="AO65" i="26"/>
  <c r="AP65" i="26"/>
  <c r="AM66" i="26"/>
  <c r="AN66" i="26"/>
  <c r="AO66" i="26"/>
  <c r="AP66" i="26"/>
  <c r="AM67" i="26"/>
  <c r="AN67" i="26"/>
  <c r="AO67" i="26"/>
  <c r="AP67" i="26"/>
  <c r="AM68" i="26"/>
  <c r="AN68" i="26"/>
  <c r="AO68" i="26"/>
  <c r="AP68" i="26"/>
  <c r="AM69" i="26"/>
  <c r="AN69" i="26"/>
  <c r="AO69" i="26"/>
  <c r="AP69" i="26"/>
  <c r="AS12" i="26"/>
  <c r="AN12" i="26"/>
  <c r="AO12" i="26"/>
  <c r="AP12" i="26"/>
  <c r="AM12" i="26"/>
  <c r="U70" i="26"/>
  <c r="U71" i="26"/>
  <c r="U72" i="26"/>
  <c r="U73" i="26"/>
  <c r="U74" i="26"/>
  <c r="U75" i="26"/>
  <c r="U76" i="26"/>
  <c r="U13" i="26"/>
  <c r="U14" i="26"/>
  <c r="U15" i="26"/>
  <c r="U16" i="26"/>
  <c r="U17" i="26"/>
  <c r="U18" i="26"/>
  <c r="U19" i="26"/>
  <c r="U20" i="26"/>
  <c r="U21" i="26"/>
  <c r="U22" i="26"/>
  <c r="U23" i="26"/>
  <c r="U24" i="26"/>
  <c r="U25" i="26"/>
  <c r="U26" i="26"/>
  <c r="U27" i="26"/>
  <c r="U28" i="26"/>
  <c r="U29" i="26"/>
  <c r="U30" i="26"/>
  <c r="U31" i="26"/>
  <c r="U32" i="26"/>
  <c r="U33" i="26"/>
  <c r="U34" i="26"/>
  <c r="U35" i="26"/>
  <c r="U36" i="26"/>
  <c r="U37" i="26"/>
  <c r="U38" i="26"/>
  <c r="U39" i="26"/>
  <c r="U40" i="26"/>
  <c r="U41" i="26"/>
  <c r="U42" i="26"/>
  <c r="U43" i="26"/>
  <c r="U44" i="26"/>
  <c r="U45" i="26"/>
  <c r="U46" i="26"/>
  <c r="U47" i="26"/>
  <c r="U48" i="26"/>
  <c r="U49" i="26"/>
  <c r="U50" i="26"/>
  <c r="U51" i="26"/>
  <c r="U52" i="26"/>
  <c r="U53" i="26"/>
  <c r="U54" i="26"/>
  <c r="U55" i="26"/>
  <c r="U56" i="26"/>
  <c r="U57" i="26"/>
  <c r="U58" i="26"/>
  <c r="U59" i="26"/>
  <c r="U60" i="26"/>
  <c r="U61" i="26"/>
  <c r="U62" i="26"/>
  <c r="U63" i="26"/>
  <c r="U64" i="26"/>
  <c r="U65" i="26"/>
  <c r="U66" i="26"/>
  <c r="U67" i="26"/>
  <c r="U68" i="26"/>
  <c r="U69" i="26"/>
  <c r="U12" i="26"/>
  <c r="V12" i="26" s="1"/>
  <c r="AG13" i="26"/>
  <c r="AG14" i="26"/>
  <c r="AG15" i="26"/>
  <c r="AG16" i="26"/>
  <c r="AG17" i="26"/>
  <c r="AG18" i="26"/>
  <c r="AG19" i="26"/>
  <c r="AG20" i="26"/>
  <c r="AG21" i="26"/>
  <c r="AG22" i="26"/>
  <c r="AG23" i="26"/>
  <c r="AG24" i="26"/>
  <c r="AG25" i="26"/>
  <c r="AG26" i="26"/>
  <c r="AG27" i="26"/>
  <c r="AG28" i="26"/>
  <c r="AG29" i="26"/>
  <c r="AG30" i="26"/>
  <c r="AG31" i="26"/>
  <c r="AG32" i="26"/>
  <c r="AG33" i="26"/>
  <c r="AG34" i="26"/>
  <c r="AG35" i="26"/>
  <c r="AG36" i="26"/>
  <c r="AG37" i="26"/>
  <c r="AG38" i="26"/>
  <c r="AG39" i="26"/>
  <c r="AG40" i="26"/>
  <c r="AG41" i="26"/>
  <c r="AG42" i="26"/>
  <c r="AG43" i="26"/>
  <c r="AG44" i="26"/>
  <c r="AG45" i="26"/>
  <c r="AG46" i="26"/>
  <c r="AG47" i="26"/>
  <c r="AG48" i="26"/>
  <c r="AG49" i="26"/>
  <c r="AG50" i="26"/>
  <c r="AG51" i="26"/>
  <c r="AG52" i="26"/>
  <c r="AG53" i="26"/>
  <c r="AG54" i="26"/>
  <c r="AG55" i="26"/>
  <c r="AG56" i="26"/>
  <c r="AG57" i="26"/>
  <c r="AG58" i="26"/>
  <c r="AG59" i="26"/>
  <c r="AG60" i="26"/>
  <c r="AG61" i="26"/>
  <c r="AG62" i="26"/>
  <c r="AG63" i="26"/>
  <c r="AG64" i="26"/>
  <c r="AG65" i="26"/>
  <c r="AG66" i="26"/>
  <c r="AG67" i="26"/>
  <c r="AG68" i="26"/>
  <c r="AG69" i="26"/>
  <c r="AG70" i="26"/>
  <c r="AG71" i="26"/>
  <c r="AG72" i="26"/>
  <c r="AG73" i="26"/>
  <c r="AG74" i="26"/>
  <c r="AG75" i="26"/>
  <c r="AG76" i="26"/>
  <c r="AG12" i="26"/>
  <c r="AA13" i="26"/>
  <c r="AB13" i="26"/>
  <c r="AC13" i="26"/>
  <c r="AD13" i="26"/>
  <c r="AA14" i="26"/>
  <c r="AB14" i="26"/>
  <c r="AC14" i="26"/>
  <c r="AD14" i="26"/>
  <c r="AA15" i="26"/>
  <c r="AB15" i="26"/>
  <c r="AC15" i="26"/>
  <c r="AD15" i="26"/>
  <c r="AA16" i="26"/>
  <c r="AB16" i="26"/>
  <c r="AC16" i="26"/>
  <c r="AD16" i="26"/>
  <c r="AA17" i="26"/>
  <c r="AB17" i="26"/>
  <c r="AC17" i="26"/>
  <c r="AD17" i="26"/>
  <c r="AA18" i="26"/>
  <c r="AB18" i="26"/>
  <c r="AC18" i="26"/>
  <c r="AD18" i="26"/>
  <c r="AA19" i="26"/>
  <c r="AB19" i="26"/>
  <c r="AC19" i="26"/>
  <c r="AD19" i="26"/>
  <c r="AA20" i="26"/>
  <c r="AB20" i="26"/>
  <c r="AC20" i="26"/>
  <c r="AD20" i="26"/>
  <c r="AA21" i="26"/>
  <c r="AB21" i="26"/>
  <c r="AC21" i="26"/>
  <c r="AD21" i="26"/>
  <c r="AA22" i="26"/>
  <c r="AB22" i="26"/>
  <c r="AC22" i="26"/>
  <c r="AD22" i="26"/>
  <c r="AA23" i="26"/>
  <c r="AB23" i="26"/>
  <c r="AC23" i="26"/>
  <c r="AD23" i="26"/>
  <c r="AA24" i="26"/>
  <c r="AB24" i="26"/>
  <c r="AC24" i="26"/>
  <c r="AD24" i="26"/>
  <c r="AA25" i="26"/>
  <c r="AB25" i="26"/>
  <c r="AC25" i="26"/>
  <c r="AD25" i="26"/>
  <c r="AA26" i="26"/>
  <c r="AB26" i="26"/>
  <c r="AC26" i="26"/>
  <c r="AD26" i="26"/>
  <c r="AA27" i="26"/>
  <c r="AB27" i="26"/>
  <c r="AC27" i="26"/>
  <c r="AD27" i="26"/>
  <c r="AA28" i="26"/>
  <c r="AB28" i="26"/>
  <c r="AC28" i="26"/>
  <c r="AD28" i="26"/>
  <c r="AA29" i="26"/>
  <c r="AB29" i="26"/>
  <c r="AC29" i="26"/>
  <c r="AD29" i="26"/>
  <c r="AA30" i="26"/>
  <c r="AB30" i="26"/>
  <c r="AC30" i="26"/>
  <c r="AD30" i="26"/>
  <c r="AA31" i="26"/>
  <c r="AB31" i="26"/>
  <c r="AC31" i="26"/>
  <c r="AD31" i="26"/>
  <c r="AA32" i="26"/>
  <c r="AB32" i="26"/>
  <c r="AC32" i="26"/>
  <c r="AD32" i="26"/>
  <c r="AA33" i="26"/>
  <c r="AB33" i="26"/>
  <c r="AC33" i="26"/>
  <c r="AD33" i="26"/>
  <c r="AA34" i="26"/>
  <c r="AB34" i="26"/>
  <c r="AC34" i="26"/>
  <c r="AD34" i="26"/>
  <c r="AA35" i="26"/>
  <c r="AB35" i="26"/>
  <c r="AC35" i="26"/>
  <c r="AD35" i="26"/>
  <c r="AA36" i="26"/>
  <c r="AB36" i="26"/>
  <c r="AC36" i="26"/>
  <c r="AD36" i="26"/>
  <c r="AA37" i="26"/>
  <c r="AB37" i="26"/>
  <c r="AC37" i="26"/>
  <c r="AD37" i="26"/>
  <c r="AA38" i="26"/>
  <c r="AB38" i="26"/>
  <c r="AC38" i="26"/>
  <c r="AD38" i="26"/>
  <c r="AA39" i="26"/>
  <c r="AB39" i="26"/>
  <c r="AC39" i="26"/>
  <c r="AD39" i="26"/>
  <c r="AA40" i="26"/>
  <c r="AB40" i="26"/>
  <c r="AC40" i="26"/>
  <c r="AD40" i="26"/>
  <c r="AA41" i="26"/>
  <c r="AB41" i="26"/>
  <c r="AC41" i="26"/>
  <c r="AD41" i="26"/>
  <c r="AA42" i="26"/>
  <c r="AB42" i="26"/>
  <c r="AC42" i="26"/>
  <c r="AD42" i="26"/>
  <c r="AA43" i="26"/>
  <c r="AB43" i="26"/>
  <c r="AC43" i="26"/>
  <c r="AD43" i="26"/>
  <c r="AA44" i="26"/>
  <c r="AB44" i="26"/>
  <c r="AC44" i="26"/>
  <c r="AD44" i="26"/>
  <c r="AA45" i="26"/>
  <c r="AB45" i="26"/>
  <c r="AC45" i="26"/>
  <c r="AD45" i="26"/>
  <c r="AA46" i="26"/>
  <c r="AB46" i="26"/>
  <c r="AC46" i="26"/>
  <c r="AD46" i="26"/>
  <c r="AA47" i="26"/>
  <c r="AB47" i="26"/>
  <c r="AC47" i="26"/>
  <c r="AD47" i="26"/>
  <c r="AA48" i="26"/>
  <c r="AB48" i="26"/>
  <c r="AC48" i="26"/>
  <c r="AD48" i="26"/>
  <c r="AA49" i="26"/>
  <c r="AB49" i="26"/>
  <c r="AC49" i="26"/>
  <c r="AD49" i="26"/>
  <c r="AA50" i="26"/>
  <c r="AB50" i="26"/>
  <c r="AC50" i="26"/>
  <c r="AD50" i="26"/>
  <c r="AA51" i="26"/>
  <c r="AB51" i="26"/>
  <c r="AC51" i="26"/>
  <c r="AD51" i="26"/>
  <c r="AA52" i="26"/>
  <c r="AB52" i="26"/>
  <c r="AC52" i="26"/>
  <c r="AD52" i="26"/>
  <c r="AA53" i="26"/>
  <c r="AB53" i="26"/>
  <c r="AC53" i="26"/>
  <c r="AD53" i="26"/>
  <c r="AA54" i="26"/>
  <c r="AB54" i="26"/>
  <c r="AC54" i="26"/>
  <c r="AD54" i="26"/>
  <c r="AA55" i="26"/>
  <c r="AB55" i="26"/>
  <c r="AC55" i="26"/>
  <c r="AD55" i="26"/>
  <c r="AA56" i="26"/>
  <c r="AB56" i="26"/>
  <c r="AC56" i="26"/>
  <c r="AD56" i="26"/>
  <c r="AA57" i="26"/>
  <c r="AB57" i="26"/>
  <c r="AC57" i="26"/>
  <c r="AD57" i="26"/>
  <c r="AA58" i="26"/>
  <c r="AB58" i="26"/>
  <c r="AC58" i="26"/>
  <c r="AD58" i="26"/>
  <c r="AA59" i="26"/>
  <c r="AB59" i="26"/>
  <c r="AC59" i="26"/>
  <c r="AD59" i="26"/>
  <c r="AA60" i="26"/>
  <c r="AB60" i="26"/>
  <c r="AC60" i="26"/>
  <c r="AD60" i="26"/>
  <c r="AA61" i="26"/>
  <c r="AB61" i="26"/>
  <c r="AC61" i="26"/>
  <c r="AD61" i="26"/>
  <c r="AA62" i="26"/>
  <c r="AB62" i="26"/>
  <c r="AC62" i="26"/>
  <c r="AD62" i="26"/>
  <c r="AA63" i="26"/>
  <c r="AB63" i="26"/>
  <c r="AC63" i="26"/>
  <c r="AD63" i="26"/>
  <c r="AA64" i="26"/>
  <c r="AB64" i="26"/>
  <c r="AC64" i="26"/>
  <c r="AD64" i="26"/>
  <c r="AA65" i="26"/>
  <c r="AB65" i="26"/>
  <c r="AC65" i="26"/>
  <c r="AD65" i="26"/>
  <c r="AA66" i="26"/>
  <c r="AB66" i="26"/>
  <c r="AC66" i="26"/>
  <c r="AD66" i="26"/>
  <c r="AA67" i="26"/>
  <c r="AB67" i="26"/>
  <c r="AC67" i="26"/>
  <c r="AD67" i="26"/>
  <c r="AA68" i="26"/>
  <c r="AB68" i="26"/>
  <c r="AC68" i="26"/>
  <c r="AD68" i="26"/>
  <c r="AA69" i="26"/>
  <c r="AB69" i="26"/>
  <c r="AC69" i="26"/>
  <c r="AD69" i="26"/>
  <c r="AA70" i="26"/>
  <c r="AB70" i="26"/>
  <c r="AC70" i="26"/>
  <c r="AD70" i="26"/>
  <c r="AA71" i="26"/>
  <c r="AB71" i="26"/>
  <c r="AC71" i="26"/>
  <c r="AD71" i="26"/>
  <c r="AA72" i="26"/>
  <c r="AB72" i="26"/>
  <c r="AC72" i="26"/>
  <c r="AD72" i="26"/>
  <c r="AA73" i="26"/>
  <c r="AB73" i="26"/>
  <c r="AC73" i="26"/>
  <c r="AD73" i="26"/>
  <c r="AA74" i="26"/>
  <c r="AB74" i="26"/>
  <c r="AC74" i="26"/>
  <c r="AD74" i="26"/>
  <c r="AA75" i="26"/>
  <c r="AB75" i="26"/>
  <c r="AC75" i="26"/>
  <c r="AD75" i="26"/>
  <c r="AA76" i="26"/>
  <c r="AB76" i="26"/>
  <c r="AC76" i="26"/>
  <c r="AD76" i="26"/>
  <c r="AB12" i="26"/>
  <c r="AC12" i="26"/>
  <c r="AD12" i="26"/>
  <c r="AA12" i="26"/>
  <c r="O13" i="26"/>
  <c r="P13" i="26"/>
  <c r="Q13" i="26"/>
  <c r="R13" i="26"/>
  <c r="O14" i="26"/>
  <c r="P14" i="26"/>
  <c r="Q14" i="26"/>
  <c r="R14" i="26"/>
  <c r="O15" i="26"/>
  <c r="P15" i="26"/>
  <c r="Q15" i="26"/>
  <c r="R15" i="26"/>
  <c r="O16" i="26"/>
  <c r="P16" i="26"/>
  <c r="Q16" i="26"/>
  <c r="R16" i="26"/>
  <c r="O17" i="26"/>
  <c r="P17" i="26"/>
  <c r="Q17" i="26"/>
  <c r="R17" i="26"/>
  <c r="O18" i="26"/>
  <c r="P18" i="26"/>
  <c r="Q18" i="26"/>
  <c r="R18" i="26"/>
  <c r="O19" i="26"/>
  <c r="P19" i="26"/>
  <c r="Q19" i="26"/>
  <c r="R19" i="26"/>
  <c r="O20" i="26"/>
  <c r="P20" i="26"/>
  <c r="Q20" i="26"/>
  <c r="R20" i="26"/>
  <c r="O21" i="26"/>
  <c r="P21" i="26"/>
  <c r="Q21" i="26"/>
  <c r="R21" i="26"/>
  <c r="O22" i="26"/>
  <c r="P22" i="26"/>
  <c r="Q22" i="26"/>
  <c r="R22" i="26"/>
  <c r="O23" i="26"/>
  <c r="P23" i="26"/>
  <c r="Q23" i="26"/>
  <c r="R23" i="26"/>
  <c r="O24" i="26"/>
  <c r="P24" i="26"/>
  <c r="Q24" i="26"/>
  <c r="R24" i="26"/>
  <c r="O25" i="26"/>
  <c r="P25" i="26"/>
  <c r="Q25" i="26"/>
  <c r="R25" i="26"/>
  <c r="O26" i="26"/>
  <c r="P26" i="26"/>
  <c r="Q26" i="26"/>
  <c r="R26" i="26"/>
  <c r="O27" i="26"/>
  <c r="P27" i="26"/>
  <c r="Q27" i="26"/>
  <c r="R27" i="26"/>
  <c r="O28" i="26"/>
  <c r="P28" i="26"/>
  <c r="Q28" i="26"/>
  <c r="R28" i="26"/>
  <c r="O29" i="26"/>
  <c r="P29" i="26"/>
  <c r="Q29" i="26"/>
  <c r="R29" i="26"/>
  <c r="O30" i="26"/>
  <c r="P30" i="26"/>
  <c r="Q30" i="26"/>
  <c r="R30" i="26"/>
  <c r="O31" i="26"/>
  <c r="P31" i="26"/>
  <c r="Q31" i="26"/>
  <c r="R31" i="26"/>
  <c r="O32" i="26"/>
  <c r="P32" i="26"/>
  <c r="Q32" i="26"/>
  <c r="R32" i="26"/>
  <c r="O33" i="26"/>
  <c r="P33" i="26"/>
  <c r="Q33" i="26"/>
  <c r="R33" i="26"/>
  <c r="O34" i="26"/>
  <c r="P34" i="26"/>
  <c r="Q34" i="26"/>
  <c r="R34" i="26"/>
  <c r="O35" i="26"/>
  <c r="P35" i="26"/>
  <c r="Q35" i="26"/>
  <c r="R35" i="26"/>
  <c r="O36" i="26"/>
  <c r="P36" i="26"/>
  <c r="Q36" i="26"/>
  <c r="R36" i="26"/>
  <c r="O37" i="26"/>
  <c r="P37" i="26"/>
  <c r="Q37" i="26"/>
  <c r="R37" i="26"/>
  <c r="O38" i="26"/>
  <c r="P38" i="26"/>
  <c r="Q38" i="26"/>
  <c r="R38" i="26"/>
  <c r="O39" i="26"/>
  <c r="P39" i="26"/>
  <c r="Q39" i="26"/>
  <c r="R39" i="26"/>
  <c r="O40" i="26"/>
  <c r="P40" i="26"/>
  <c r="Q40" i="26"/>
  <c r="R40" i="26"/>
  <c r="O41" i="26"/>
  <c r="P41" i="26"/>
  <c r="Q41" i="26"/>
  <c r="R41" i="26"/>
  <c r="O42" i="26"/>
  <c r="P42" i="26"/>
  <c r="Q42" i="26"/>
  <c r="R42" i="26"/>
  <c r="O43" i="26"/>
  <c r="P43" i="26"/>
  <c r="Q43" i="26"/>
  <c r="R43" i="26"/>
  <c r="O44" i="26"/>
  <c r="P44" i="26"/>
  <c r="Q44" i="26"/>
  <c r="R44" i="26"/>
  <c r="O45" i="26"/>
  <c r="P45" i="26"/>
  <c r="Q45" i="26"/>
  <c r="R45" i="26"/>
  <c r="O46" i="26"/>
  <c r="P46" i="26"/>
  <c r="Q46" i="26"/>
  <c r="R46" i="26"/>
  <c r="O47" i="26"/>
  <c r="P47" i="26"/>
  <c r="Q47" i="26"/>
  <c r="R47" i="26"/>
  <c r="O48" i="26"/>
  <c r="P48" i="26"/>
  <c r="Q48" i="26"/>
  <c r="R48" i="26"/>
  <c r="O49" i="26"/>
  <c r="P49" i="26"/>
  <c r="Q49" i="26"/>
  <c r="R49" i="26"/>
  <c r="O50" i="26"/>
  <c r="P50" i="26"/>
  <c r="Q50" i="26"/>
  <c r="R50" i="26"/>
  <c r="O51" i="26"/>
  <c r="P51" i="26"/>
  <c r="Q51" i="26"/>
  <c r="R51" i="26"/>
  <c r="O52" i="26"/>
  <c r="P52" i="26"/>
  <c r="Q52" i="26"/>
  <c r="R52" i="26"/>
  <c r="O53" i="26"/>
  <c r="P53" i="26"/>
  <c r="Q53" i="26"/>
  <c r="R53" i="26"/>
  <c r="O54" i="26"/>
  <c r="P54" i="26"/>
  <c r="Q54" i="26"/>
  <c r="R54" i="26"/>
  <c r="O55" i="26"/>
  <c r="P55" i="26"/>
  <c r="Q55" i="26"/>
  <c r="R55" i="26"/>
  <c r="O56" i="26"/>
  <c r="P56" i="26"/>
  <c r="Q56" i="26"/>
  <c r="R56" i="26"/>
  <c r="O57" i="26"/>
  <c r="P57" i="26"/>
  <c r="Q57" i="26"/>
  <c r="R57" i="26"/>
  <c r="O58" i="26"/>
  <c r="P58" i="26"/>
  <c r="Q58" i="26"/>
  <c r="R58" i="26"/>
  <c r="O59" i="26"/>
  <c r="P59" i="26"/>
  <c r="Q59" i="26"/>
  <c r="R59" i="26"/>
  <c r="O60" i="26"/>
  <c r="P60" i="26"/>
  <c r="Q60" i="26"/>
  <c r="R60" i="26"/>
  <c r="O61" i="26"/>
  <c r="P61" i="26"/>
  <c r="Q61" i="26"/>
  <c r="R61" i="26"/>
  <c r="O62" i="26"/>
  <c r="P62" i="26"/>
  <c r="Q62" i="26"/>
  <c r="R62" i="26"/>
  <c r="O63" i="26"/>
  <c r="P63" i="26"/>
  <c r="Q63" i="26"/>
  <c r="R63" i="26"/>
  <c r="O64" i="26"/>
  <c r="P64" i="26"/>
  <c r="Q64" i="26"/>
  <c r="R64" i="26"/>
  <c r="O65" i="26"/>
  <c r="P65" i="26"/>
  <c r="Q65" i="26"/>
  <c r="R65" i="26"/>
  <c r="O66" i="26"/>
  <c r="P66" i="26"/>
  <c r="Q66" i="26"/>
  <c r="R66" i="26"/>
  <c r="O67" i="26"/>
  <c r="P67" i="26"/>
  <c r="Q67" i="26"/>
  <c r="R67" i="26"/>
  <c r="O68" i="26"/>
  <c r="P68" i="26"/>
  <c r="Q68" i="26"/>
  <c r="R68" i="26"/>
  <c r="O69" i="26"/>
  <c r="P69" i="26"/>
  <c r="Q69" i="26"/>
  <c r="R69" i="26"/>
  <c r="O70" i="26"/>
  <c r="P70" i="26"/>
  <c r="Q70" i="26"/>
  <c r="R70" i="26"/>
  <c r="O71" i="26"/>
  <c r="P71" i="26"/>
  <c r="Q71" i="26"/>
  <c r="R71" i="26"/>
  <c r="O72" i="26"/>
  <c r="P72" i="26"/>
  <c r="Q72" i="26"/>
  <c r="R72" i="26"/>
  <c r="O73" i="26"/>
  <c r="P73" i="26"/>
  <c r="Q73" i="26"/>
  <c r="R73" i="26"/>
  <c r="O74" i="26"/>
  <c r="P74" i="26"/>
  <c r="Q74" i="26"/>
  <c r="R74" i="26"/>
  <c r="O75" i="26"/>
  <c r="P75" i="26"/>
  <c r="Q75" i="26"/>
  <c r="R75" i="26"/>
  <c r="O76" i="26"/>
  <c r="P76" i="26"/>
  <c r="Q76" i="26"/>
  <c r="R76" i="26"/>
  <c r="P12" i="26"/>
  <c r="Q12" i="26"/>
  <c r="R12" i="26"/>
  <c r="O12" i="26"/>
  <c r="C70" i="26"/>
  <c r="D70" i="26"/>
  <c r="E70" i="26"/>
  <c r="F70" i="26"/>
  <c r="C71" i="26"/>
  <c r="D71" i="26"/>
  <c r="E71" i="26"/>
  <c r="F71" i="26"/>
  <c r="C72" i="26"/>
  <c r="D72" i="26"/>
  <c r="E72" i="26"/>
  <c r="F72" i="26"/>
  <c r="C73" i="26"/>
  <c r="D73" i="26"/>
  <c r="E73" i="26"/>
  <c r="F73" i="26"/>
  <c r="C74" i="26"/>
  <c r="D74" i="26"/>
  <c r="E74" i="26"/>
  <c r="F74" i="26"/>
  <c r="C75" i="26"/>
  <c r="D75" i="26"/>
  <c r="E75" i="26"/>
  <c r="F75" i="26"/>
  <c r="C76" i="26"/>
  <c r="D76" i="26"/>
  <c r="E76" i="26"/>
  <c r="F76" i="26"/>
  <c r="C13" i="26"/>
  <c r="D13" i="26"/>
  <c r="E13" i="26"/>
  <c r="F13" i="26"/>
  <c r="C14" i="26"/>
  <c r="D14" i="26"/>
  <c r="E14" i="26"/>
  <c r="F14" i="26"/>
  <c r="C15" i="26"/>
  <c r="D15" i="26"/>
  <c r="E15" i="26"/>
  <c r="F15" i="26"/>
  <c r="C16" i="26"/>
  <c r="D16" i="26"/>
  <c r="E16" i="26"/>
  <c r="F16" i="26"/>
  <c r="C17" i="26"/>
  <c r="E17" i="26"/>
  <c r="F17" i="26"/>
  <c r="C18" i="26"/>
  <c r="D18" i="26"/>
  <c r="E18" i="26"/>
  <c r="F18" i="26"/>
  <c r="C19" i="26"/>
  <c r="D19" i="26"/>
  <c r="E19" i="26"/>
  <c r="F19" i="26"/>
  <c r="C20" i="26"/>
  <c r="D20" i="26"/>
  <c r="E20" i="26"/>
  <c r="F20" i="26"/>
  <c r="C21" i="26"/>
  <c r="D21" i="26"/>
  <c r="E21" i="26"/>
  <c r="F21" i="26"/>
  <c r="C22" i="26"/>
  <c r="D22" i="26"/>
  <c r="E22" i="26"/>
  <c r="F22" i="26"/>
  <c r="C23" i="26"/>
  <c r="D23" i="26"/>
  <c r="E23" i="26"/>
  <c r="F23" i="26"/>
  <c r="C24" i="26"/>
  <c r="D24" i="26"/>
  <c r="E24" i="26"/>
  <c r="F24" i="26"/>
  <c r="C25" i="26"/>
  <c r="D25" i="26"/>
  <c r="E25" i="26"/>
  <c r="F25" i="26"/>
  <c r="C26" i="26"/>
  <c r="D26" i="26"/>
  <c r="E26" i="26"/>
  <c r="F26" i="26"/>
  <c r="C27" i="26"/>
  <c r="D27" i="26"/>
  <c r="E27" i="26"/>
  <c r="F27" i="26"/>
  <c r="C28" i="26"/>
  <c r="D28" i="26"/>
  <c r="E28" i="26"/>
  <c r="F28" i="26"/>
  <c r="C29" i="26"/>
  <c r="D29" i="26"/>
  <c r="E29" i="26"/>
  <c r="F29" i="26"/>
  <c r="C30" i="26"/>
  <c r="D30" i="26"/>
  <c r="E30" i="26"/>
  <c r="F30" i="26"/>
  <c r="C31" i="26"/>
  <c r="D31" i="26"/>
  <c r="E31" i="26"/>
  <c r="F31" i="26"/>
  <c r="C32" i="26"/>
  <c r="D32" i="26"/>
  <c r="E32" i="26"/>
  <c r="F32" i="26"/>
  <c r="C33" i="26"/>
  <c r="D33" i="26"/>
  <c r="E33" i="26"/>
  <c r="F33" i="26"/>
  <c r="C34" i="26"/>
  <c r="D34" i="26"/>
  <c r="E34" i="26"/>
  <c r="F34" i="26"/>
  <c r="C35" i="26"/>
  <c r="D35" i="26"/>
  <c r="E35" i="26"/>
  <c r="F35" i="26"/>
  <c r="C36" i="26"/>
  <c r="D36" i="26"/>
  <c r="E36" i="26"/>
  <c r="F36" i="26"/>
  <c r="C37" i="26"/>
  <c r="D37" i="26"/>
  <c r="E37" i="26"/>
  <c r="F37" i="26"/>
  <c r="C38" i="26"/>
  <c r="D38" i="26"/>
  <c r="E38" i="26"/>
  <c r="F38" i="26"/>
  <c r="C39" i="26"/>
  <c r="D39" i="26"/>
  <c r="E39" i="26"/>
  <c r="F39" i="26"/>
  <c r="C40" i="26"/>
  <c r="D40" i="26"/>
  <c r="E40" i="26"/>
  <c r="F40" i="26"/>
  <c r="C41" i="26"/>
  <c r="D41" i="26"/>
  <c r="E41" i="26"/>
  <c r="F41" i="26"/>
  <c r="C42" i="26"/>
  <c r="D42" i="26"/>
  <c r="E42" i="26"/>
  <c r="F42" i="26"/>
  <c r="C43" i="26"/>
  <c r="D43" i="26"/>
  <c r="E43" i="26"/>
  <c r="F43" i="26"/>
  <c r="C44" i="26"/>
  <c r="D44" i="26"/>
  <c r="E44" i="26"/>
  <c r="F44" i="26"/>
  <c r="C45" i="26"/>
  <c r="D45" i="26"/>
  <c r="E45" i="26"/>
  <c r="F45" i="26"/>
  <c r="C46" i="26"/>
  <c r="D46" i="26"/>
  <c r="E46" i="26"/>
  <c r="F46" i="26"/>
  <c r="C47" i="26"/>
  <c r="D47" i="26"/>
  <c r="E47" i="26"/>
  <c r="F47" i="26"/>
  <c r="C48" i="26"/>
  <c r="D48" i="26"/>
  <c r="E48" i="26"/>
  <c r="F48" i="26"/>
  <c r="C49" i="26"/>
  <c r="D49" i="26"/>
  <c r="E49" i="26"/>
  <c r="F49" i="26"/>
  <c r="C50" i="26"/>
  <c r="D50" i="26"/>
  <c r="E50" i="26"/>
  <c r="F50" i="26"/>
  <c r="C51" i="26"/>
  <c r="D51" i="26"/>
  <c r="E51" i="26"/>
  <c r="F51" i="26"/>
  <c r="C52" i="26"/>
  <c r="D52" i="26"/>
  <c r="E52" i="26"/>
  <c r="F52" i="26"/>
  <c r="C53" i="26"/>
  <c r="D53" i="26"/>
  <c r="E53" i="26"/>
  <c r="F53" i="26"/>
  <c r="C54" i="26"/>
  <c r="D54" i="26"/>
  <c r="E54" i="26"/>
  <c r="F54" i="26"/>
  <c r="C55" i="26"/>
  <c r="D55" i="26"/>
  <c r="E55" i="26"/>
  <c r="F55" i="26"/>
  <c r="C56" i="26"/>
  <c r="D56" i="26"/>
  <c r="E56" i="26"/>
  <c r="F56" i="26"/>
  <c r="C57" i="26"/>
  <c r="D57" i="26"/>
  <c r="E57" i="26"/>
  <c r="F57" i="26"/>
  <c r="C58" i="26"/>
  <c r="D58" i="26"/>
  <c r="E58" i="26"/>
  <c r="F58" i="26"/>
  <c r="C59" i="26"/>
  <c r="D59" i="26"/>
  <c r="E59" i="26"/>
  <c r="F59" i="26"/>
  <c r="C60" i="26"/>
  <c r="D60" i="26"/>
  <c r="E60" i="26"/>
  <c r="F60" i="26"/>
  <c r="C61" i="26"/>
  <c r="D61" i="26"/>
  <c r="E61" i="26"/>
  <c r="F61" i="26"/>
  <c r="C62" i="26"/>
  <c r="D62" i="26"/>
  <c r="E62" i="26"/>
  <c r="F62" i="26"/>
  <c r="C63" i="26"/>
  <c r="D63" i="26"/>
  <c r="E63" i="26"/>
  <c r="F63" i="26"/>
  <c r="C64" i="26"/>
  <c r="D64" i="26"/>
  <c r="E64" i="26"/>
  <c r="F64" i="26"/>
  <c r="C65" i="26"/>
  <c r="D65" i="26"/>
  <c r="E65" i="26"/>
  <c r="F65" i="26"/>
  <c r="C66" i="26"/>
  <c r="D66" i="26"/>
  <c r="E66" i="26"/>
  <c r="F66" i="26"/>
  <c r="C67" i="26"/>
  <c r="D67" i="26"/>
  <c r="E67" i="26"/>
  <c r="F67" i="26"/>
  <c r="C68" i="26"/>
  <c r="D68" i="26"/>
  <c r="E68" i="26"/>
  <c r="F68" i="26"/>
  <c r="C69" i="26"/>
  <c r="D69" i="26"/>
  <c r="E69" i="26"/>
  <c r="F69" i="26"/>
  <c r="D12" i="26"/>
  <c r="E12" i="26"/>
  <c r="F12" i="26"/>
  <c r="C12" i="26"/>
  <c r="B12" i="26"/>
  <c r="B76" i="26"/>
  <c r="A76" i="26"/>
  <c r="B75" i="26"/>
  <c r="A75" i="26"/>
  <c r="B74" i="26"/>
  <c r="A74" i="26"/>
  <c r="B73" i="26"/>
  <c r="A73" i="26"/>
  <c r="B72" i="26"/>
  <c r="A72" i="26"/>
  <c r="B71" i="26"/>
  <c r="A71" i="26"/>
  <c r="B70" i="26"/>
  <c r="A70" i="26"/>
  <c r="B69" i="26"/>
  <c r="A69" i="26"/>
  <c r="B68" i="26"/>
  <c r="A68" i="26"/>
  <c r="B67" i="26"/>
  <c r="A67" i="26"/>
  <c r="B66" i="26"/>
  <c r="A66" i="26"/>
  <c r="B65" i="26"/>
  <c r="A65" i="26"/>
  <c r="B64" i="26"/>
  <c r="A64" i="26"/>
  <c r="B63" i="26"/>
  <c r="A63" i="26"/>
  <c r="B62" i="26"/>
  <c r="A62" i="26"/>
  <c r="B61" i="26"/>
  <c r="A61" i="26"/>
  <c r="B60" i="26"/>
  <c r="A60" i="26"/>
  <c r="B59" i="26"/>
  <c r="A59" i="26"/>
  <c r="B58" i="26"/>
  <c r="A58" i="26"/>
  <c r="B57" i="26"/>
  <c r="A57" i="26"/>
  <c r="B56" i="26"/>
  <c r="A56" i="26"/>
  <c r="B55" i="26"/>
  <c r="A55" i="26"/>
  <c r="B54" i="26"/>
  <c r="A54" i="26"/>
  <c r="B53" i="26"/>
  <c r="A53" i="26"/>
  <c r="B52" i="26"/>
  <c r="A52" i="26"/>
  <c r="B51" i="26"/>
  <c r="A51" i="26"/>
  <c r="B50" i="26"/>
  <c r="A50" i="26"/>
  <c r="B49" i="26"/>
  <c r="A49" i="26"/>
  <c r="B48" i="26"/>
  <c r="A48" i="26"/>
  <c r="B47" i="26"/>
  <c r="A47" i="26"/>
  <c r="B46" i="26"/>
  <c r="A46" i="26"/>
  <c r="B45" i="26"/>
  <c r="A45" i="26"/>
  <c r="B44" i="26"/>
  <c r="A44" i="26"/>
  <c r="B43" i="26"/>
  <c r="A43" i="26"/>
  <c r="B42" i="26"/>
  <c r="A42" i="26"/>
  <c r="B41" i="26"/>
  <c r="A41" i="26"/>
  <c r="B40" i="26"/>
  <c r="A40" i="26"/>
  <c r="B39" i="26"/>
  <c r="A39" i="26"/>
  <c r="B38" i="26"/>
  <c r="A38" i="26"/>
  <c r="B37" i="26"/>
  <c r="A37" i="26"/>
  <c r="B36" i="26"/>
  <c r="A36" i="26"/>
  <c r="B35" i="26"/>
  <c r="A35" i="26"/>
  <c r="B34" i="26"/>
  <c r="A34" i="26"/>
  <c r="B33" i="26"/>
  <c r="A33" i="26"/>
  <c r="B32" i="26"/>
  <c r="A32" i="26"/>
  <c r="B31" i="26"/>
  <c r="A31" i="26"/>
  <c r="B30" i="26"/>
  <c r="A30" i="26"/>
  <c r="B29" i="26"/>
  <c r="A29" i="26"/>
  <c r="B28" i="26"/>
  <c r="A28" i="26"/>
  <c r="B27" i="26"/>
  <c r="A27" i="26"/>
  <c r="B26" i="26"/>
  <c r="A26" i="26"/>
  <c r="B25" i="26"/>
  <c r="A25" i="26"/>
  <c r="B24" i="26"/>
  <c r="A24" i="26"/>
  <c r="B23" i="26"/>
  <c r="A23" i="26"/>
  <c r="B22" i="26"/>
  <c r="A22" i="26"/>
  <c r="B21" i="26"/>
  <c r="A21" i="26"/>
  <c r="B20" i="26"/>
  <c r="A20" i="26"/>
  <c r="B19" i="26"/>
  <c r="A19" i="26"/>
  <c r="B18" i="26"/>
  <c r="A18" i="26"/>
  <c r="B17" i="26"/>
  <c r="A17" i="26"/>
  <c r="B16" i="26"/>
  <c r="A16" i="26"/>
  <c r="B15" i="26"/>
  <c r="A15" i="26"/>
  <c r="B14" i="26"/>
  <c r="A14" i="26"/>
  <c r="B13" i="26"/>
  <c r="A13" i="26"/>
  <c r="A12" i="26"/>
  <c r="G1" i="27"/>
  <c r="I5" i="27"/>
  <c r="AW78" i="27"/>
  <c r="AV78" i="27"/>
  <c r="AU78" i="27"/>
  <c r="AT78" i="27"/>
  <c r="AS78" i="27"/>
  <c r="AQ78" i="27"/>
  <c r="AP78" i="27"/>
  <c r="AO78" i="27"/>
  <c r="AN78" i="27"/>
  <c r="AM78" i="27"/>
  <c r="AK78" i="27"/>
  <c r="AJ78" i="27"/>
  <c r="AI78" i="27"/>
  <c r="AH78" i="27"/>
  <c r="AG78" i="27"/>
  <c r="AE78" i="27"/>
  <c r="AD78" i="27"/>
  <c r="AC78" i="27"/>
  <c r="AB78" i="27"/>
  <c r="AA78" i="27"/>
  <c r="Y78" i="27"/>
  <c r="X78" i="27"/>
  <c r="W78" i="27"/>
  <c r="V78" i="27"/>
  <c r="U78" i="27"/>
  <c r="S78" i="27"/>
  <c r="R78" i="27"/>
  <c r="Q78" i="27"/>
  <c r="P78" i="27"/>
  <c r="O78" i="27"/>
  <c r="M78" i="27"/>
  <c r="L78" i="27"/>
  <c r="K78" i="27"/>
  <c r="J78" i="27"/>
  <c r="I78" i="27"/>
  <c r="G78" i="27"/>
  <c r="F78" i="27"/>
  <c r="E78" i="27"/>
  <c r="D78" i="27"/>
  <c r="C78" i="27"/>
  <c r="AW77" i="27"/>
  <c r="AV77" i="27"/>
  <c r="AU77" i="27"/>
  <c r="AT77" i="27"/>
  <c r="AS77" i="27"/>
  <c r="AQ77" i="27"/>
  <c r="AP77" i="27"/>
  <c r="AO77" i="27"/>
  <c r="AN77" i="27"/>
  <c r="AM77" i="27"/>
  <c r="AK77" i="27"/>
  <c r="AJ77" i="27"/>
  <c r="AI77" i="27"/>
  <c r="AH77" i="27"/>
  <c r="AG77" i="27"/>
  <c r="AE77" i="27"/>
  <c r="AD77" i="27"/>
  <c r="AC77" i="27"/>
  <c r="AB77" i="27"/>
  <c r="AA77" i="27"/>
  <c r="Y77" i="27"/>
  <c r="X77" i="27"/>
  <c r="W77" i="27"/>
  <c r="V77" i="27"/>
  <c r="U77" i="27"/>
  <c r="G77" i="27"/>
  <c r="F77" i="27"/>
  <c r="E77" i="27"/>
  <c r="D77" i="27"/>
  <c r="C77" i="27"/>
  <c r="A76" i="27"/>
  <c r="A75" i="27"/>
  <c r="A74" i="27"/>
  <c r="A73" i="27"/>
  <c r="A72" i="27"/>
  <c r="A71" i="27"/>
  <c r="A70" i="27"/>
  <c r="F8" i="27"/>
  <c r="E8" i="27"/>
  <c r="D8" i="27"/>
  <c r="C8" i="27"/>
  <c r="AS5" i="27"/>
  <c r="AM5" i="27"/>
  <c r="AG5" i="27"/>
  <c r="AA5" i="27"/>
  <c r="U5" i="27"/>
  <c r="O5" i="27"/>
  <c r="C5" i="27"/>
  <c r="I77" i="26" l="1"/>
  <c r="I78" i="26"/>
  <c r="S12" i="26"/>
  <c r="T12" i="26" s="1"/>
  <c r="W12" i="26" s="1"/>
  <c r="Y12" i="26" s="1"/>
  <c r="BE77" i="26"/>
  <c r="BE78" i="26"/>
  <c r="AG6" i="27"/>
  <c r="O6" i="27"/>
  <c r="AM6" i="27"/>
  <c r="U6" i="27"/>
  <c r="AS6" i="27"/>
  <c r="AA6" i="27"/>
  <c r="C6" i="27"/>
  <c r="I6" i="27"/>
  <c r="M16" i="22" l="1"/>
  <c r="M15" i="22"/>
  <c r="P16" i="22"/>
  <c r="DA78" i="26" l="1"/>
  <c r="CX78" i="26"/>
  <c r="CW78" i="26"/>
  <c r="CV78" i="26"/>
  <c r="CU78" i="26"/>
  <c r="CO78" i="26"/>
  <c r="CL78" i="26"/>
  <c r="CK78" i="26"/>
  <c r="CJ78" i="26"/>
  <c r="CI78" i="26"/>
  <c r="CC78" i="26"/>
  <c r="BZ78" i="26"/>
  <c r="BY78" i="26"/>
  <c r="BX78" i="26"/>
  <c r="BW78" i="26"/>
  <c r="BQ78" i="26"/>
  <c r="BN78" i="26"/>
  <c r="BM78" i="26"/>
  <c r="BL78" i="26"/>
  <c r="BK78" i="26"/>
  <c r="BB78" i="26"/>
  <c r="BA78" i="26"/>
  <c r="AZ78" i="26"/>
  <c r="AY78" i="26"/>
  <c r="AS78" i="26"/>
  <c r="AP78" i="26"/>
  <c r="AO78" i="26"/>
  <c r="AN78" i="26"/>
  <c r="AM78" i="26"/>
  <c r="AG78" i="26"/>
  <c r="AD78" i="26"/>
  <c r="AC78" i="26"/>
  <c r="AB78" i="26"/>
  <c r="AA78" i="26"/>
  <c r="U78" i="26"/>
  <c r="R78" i="26"/>
  <c r="Q78" i="26"/>
  <c r="P78" i="26"/>
  <c r="O78" i="26"/>
  <c r="F78" i="26"/>
  <c r="E78" i="26"/>
  <c r="D78" i="26"/>
  <c r="C78" i="26"/>
  <c r="DA77" i="26"/>
  <c r="CX77" i="26"/>
  <c r="CW77" i="26"/>
  <c r="CV77" i="26"/>
  <c r="CU77" i="26"/>
  <c r="CO77" i="26"/>
  <c r="CL77" i="26"/>
  <c r="CK77" i="26"/>
  <c r="CJ77" i="26"/>
  <c r="CI77" i="26"/>
  <c r="CC77" i="26"/>
  <c r="BZ77" i="26"/>
  <c r="BY77" i="26"/>
  <c r="BX77" i="26"/>
  <c r="BW77" i="26"/>
  <c r="BQ77" i="26"/>
  <c r="BN77" i="26"/>
  <c r="BM77" i="26"/>
  <c r="BL77" i="26"/>
  <c r="BK77" i="26"/>
  <c r="BB77" i="26"/>
  <c r="BA77" i="26"/>
  <c r="AZ77" i="26"/>
  <c r="AY77" i="26"/>
  <c r="AS77" i="26"/>
  <c r="AP77" i="26"/>
  <c r="AO77" i="26"/>
  <c r="AN77" i="26"/>
  <c r="AM77" i="26"/>
  <c r="AG77" i="26"/>
  <c r="AD77" i="26"/>
  <c r="AC77" i="26"/>
  <c r="AB77" i="26"/>
  <c r="AA77" i="26"/>
  <c r="U77" i="26"/>
  <c r="R77" i="26"/>
  <c r="Q77" i="26"/>
  <c r="P77" i="26"/>
  <c r="O77" i="26"/>
  <c r="F77" i="26"/>
  <c r="E77" i="26"/>
  <c r="D77" i="26"/>
  <c r="C77" i="26"/>
  <c r="DJ76" i="26"/>
  <c r="DB76" i="26"/>
  <c r="CY76" i="26"/>
  <c r="CZ76" i="26" s="1"/>
  <c r="CP76" i="26"/>
  <c r="CM76" i="26"/>
  <c r="CN76" i="26" s="1"/>
  <c r="CD76" i="26"/>
  <c r="CA76" i="26"/>
  <c r="CB76" i="26" s="1"/>
  <c r="BR76" i="26"/>
  <c r="BO76" i="26"/>
  <c r="BP76" i="26" s="1"/>
  <c r="BF76" i="26"/>
  <c r="BC76" i="26"/>
  <c r="BD76" i="26" s="1"/>
  <c r="AT76" i="26"/>
  <c r="AQ76" i="26"/>
  <c r="AR76" i="26" s="1"/>
  <c r="AH76" i="26"/>
  <c r="AE76" i="26"/>
  <c r="AF76" i="26" s="1"/>
  <c r="V76" i="26"/>
  <c r="S76" i="26"/>
  <c r="T76" i="26" s="1"/>
  <c r="J76" i="26"/>
  <c r="G76" i="26"/>
  <c r="H76" i="26" s="1"/>
  <c r="DJ75" i="26"/>
  <c r="DB75" i="26"/>
  <c r="CY75" i="26"/>
  <c r="CZ75" i="26" s="1"/>
  <c r="CP75" i="26"/>
  <c r="CM75" i="26"/>
  <c r="CN75" i="26" s="1"/>
  <c r="CD75" i="26"/>
  <c r="CA75" i="26"/>
  <c r="CB75" i="26" s="1"/>
  <c r="BR75" i="26"/>
  <c r="BO75" i="26"/>
  <c r="BP75" i="26" s="1"/>
  <c r="BF75" i="26"/>
  <c r="BC75" i="26"/>
  <c r="BD75" i="26" s="1"/>
  <c r="AT75" i="26"/>
  <c r="AQ75" i="26"/>
  <c r="AR75" i="26" s="1"/>
  <c r="AH75" i="26"/>
  <c r="AE75" i="26"/>
  <c r="AF75" i="26" s="1"/>
  <c r="V75" i="26"/>
  <c r="S75" i="26"/>
  <c r="T75" i="26" s="1"/>
  <c r="J75" i="26"/>
  <c r="G75" i="26"/>
  <c r="H75" i="26" s="1"/>
  <c r="DJ74" i="26"/>
  <c r="DB74" i="26"/>
  <c r="CY74" i="26"/>
  <c r="CZ74" i="26" s="1"/>
  <c r="CP74" i="26"/>
  <c r="CM74" i="26"/>
  <c r="CN74" i="26" s="1"/>
  <c r="CD74" i="26"/>
  <c r="CA74" i="26"/>
  <c r="CB74" i="26" s="1"/>
  <c r="BR74" i="26"/>
  <c r="BO74" i="26"/>
  <c r="BP74" i="26" s="1"/>
  <c r="BF74" i="26"/>
  <c r="BC74" i="26"/>
  <c r="BD74" i="26" s="1"/>
  <c r="AT74" i="26"/>
  <c r="AQ74" i="26"/>
  <c r="AR74" i="26" s="1"/>
  <c r="AH74" i="26"/>
  <c r="AE74" i="26"/>
  <c r="AF74" i="26" s="1"/>
  <c r="V74" i="26"/>
  <c r="S74" i="26"/>
  <c r="T74" i="26" s="1"/>
  <c r="J74" i="26"/>
  <c r="G74" i="26"/>
  <c r="H74" i="26" s="1"/>
  <c r="DK74" i="26"/>
  <c r="DJ73" i="26"/>
  <c r="DB73" i="26"/>
  <c r="CY73" i="26"/>
  <c r="CZ73" i="26" s="1"/>
  <c r="CP73" i="26"/>
  <c r="CM73" i="26"/>
  <c r="CN73" i="26" s="1"/>
  <c r="CD73" i="26"/>
  <c r="CA73" i="26"/>
  <c r="CB73" i="26" s="1"/>
  <c r="BR73" i="26"/>
  <c r="BO73" i="26"/>
  <c r="BP73" i="26" s="1"/>
  <c r="BF73" i="26"/>
  <c r="BC73" i="26"/>
  <c r="BD73" i="26" s="1"/>
  <c r="AT73" i="26"/>
  <c r="AQ73" i="26"/>
  <c r="AR73" i="26" s="1"/>
  <c r="AH73" i="26"/>
  <c r="AE73" i="26"/>
  <c r="AF73" i="26" s="1"/>
  <c r="V73" i="26"/>
  <c r="S73" i="26"/>
  <c r="T73" i="26" s="1"/>
  <c r="J73" i="26"/>
  <c r="G73" i="26"/>
  <c r="H73" i="26" s="1"/>
  <c r="DJ72" i="26"/>
  <c r="DB72" i="26"/>
  <c r="CY72" i="26"/>
  <c r="CZ72" i="26" s="1"/>
  <c r="CP72" i="26"/>
  <c r="CM72" i="26"/>
  <c r="CN72" i="26" s="1"/>
  <c r="CD72" i="26"/>
  <c r="CA72" i="26"/>
  <c r="CB72" i="26" s="1"/>
  <c r="BR72" i="26"/>
  <c r="BO72" i="26"/>
  <c r="BP72" i="26" s="1"/>
  <c r="BF72" i="26"/>
  <c r="BC72" i="26"/>
  <c r="BD72" i="26" s="1"/>
  <c r="AT72" i="26"/>
  <c r="AQ72" i="26"/>
  <c r="AR72" i="26" s="1"/>
  <c r="AH72" i="26"/>
  <c r="AE72" i="26"/>
  <c r="AF72" i="26" s="1"/>
  <c r="V72" i="26"/>
  <c r="S72" i="26"/>
  <c r="T72" i="26" s="1"/>
  <c r="J72" i="26"/>
  <c r="G72" i="26"/>
  <c r="H72" i="26" s="1"/>
  <c r="DK72" i="26"/>
  <c r="DJ71" i="26"/>
  <c r="DB71" i="26"/>
  <c r="CY71" i="26"/>
  <c r="CZ71" i="26" s="1"/>
  <c r="CP71" i="26"/>
  <c r="CM71" i="26"/>
  <c r="CN71" i="26" s="1"/>
  <c r="CD71" i="26"/>
  <c r="CA71" i="26"/>
  <c r="CB71" i="26" s="1"/>
  <c r="BR71" i="26"/>
  <c r="BO71" i="26"/>
  <c r="BP71" i="26" s="1"/>
  <c r="BF71" i="26"/>
  <c r="BC71" i="26"/>
  <c r="BD71" i="26" s="1"/>
  <c r="AT71" i="26"/>
  <c r="AQ71" i="26"/>
  <c r="AR71" i="26" s="1"/>
  <c r="AH71" i="26"/>
  <c r="AE71" i="26"/>
  <c r="AF71" i="26" s="1"/>
  <c r="V71" i="26"/>
  <c r="S71" i="26"/>
  <c r="T71" i="26" s="1"/>
  <c r="J71" i="26"/>
  <c r="G71" i="26"/>
  <c r="H71" i="26" s="1"/>
  <c r="DK71" i="26"/>
  <c r="DJ70" i="26"/>
  <c r="DB70" i="26"/>
  <c r="CY70" i="26"/>
  <c r="CZ70" i="26" s="1"/>
  <c r="CP70" i="26"/>
  <c r="CM70" i="26"/>
  <c r="CN70" i="26" s="1"/>
  <c r="CD70" i="26"/>
  <c r="CA70" i="26"/>
  <c r="CB70" i="26" s="1"/>
  <c r="BR70" i="26"/>
  <c r="BO70" i="26"/>
  <c r="BP70" i="26" s="1"/>
  <c r="BF70" i="26"/>
  <c r="BC70" i="26"/>
  <c r="BD70" i="26" s="1"/>
  <c r="AT70" i="26"/>
  <c r="AQ70" i="26"/>
  <c r="AR70" i="26" s="1"/>
  <c r="AH70" i="26"/>
  <c r="AE70" i="26"/>
  <c r="AF70" i="26" s="1"/>
  <c r="V70" i="26"/>
  <c r="S70" i="26"/>
  <c r="T70" i="26" s="1"/>
  <c r="J70" i="26"/>
  <c r="G70" i="26"/>
  <c r="H70" i="26" s="1"/>
  <c r="DJ69" i="26"/>
  <c r="DB69" i="26"/>
  <c r="CY69" i="26"/>
  <c r="CZ69" i="26" s="1"/>
  <c r="CP69" i="26"/>
  <c r="CM69" i="26"/>
  <c r="CN69" i="26" s="1"/>
  <c r="CD69" i="26"/>
  <c r="CA69" i="26"/>
  <c r="CB69" i="26" s="1"/>
  <c r="BR69" i="26"/>
  <c r="BO69" i="26"/>
  <c r="BP69" i="26" s="1"/>
  <c r="BF69" i="26"/>
  <c r="BC69" i="26"/>
  <c r="BD69" i="26" s="1"/>
  <c r="AT69" i="26"/>
  <c r="AQ69" i="26"/>
  <c r="AR69" i="26" s="1"/>
  <c r="AH69" i="26"/>
  <c r="AE69" i="26"/>
  <c r="AF69" i="26" s="1"/>
  <c r="V69" i="26"/>
  <c r="S69" i="26"/>
  <c r="T69" i="26" s="1"/>
  <c r="J69" i="26"/>
  <c r="G69" i="26"/>
  <c r="H69" i="26" s="1"/>
  <c r="DJ68" i="26"/>
  <c r="DB68" i="26"/>
  <c r="CY68" i="26"/>
  <c r="CZ68" i="26" s="1"/>
  <c r="CP68" i="26"/>
  <c r="CM68" i="26"/>
  <c r="CN68" i="26" s="1"/>
  <c r="CD68" i="26"/>
  <c r="CA68" i="26"/>
  <c r="CB68" i="26" s="1"/>
  <c r="BR68" i="26"/>
  <c r="BO68" i="26"/>
  <c r="BP68" i="26" s="1"/>
  <c r="BF68" i="26"/>
  <c r="BC68" i="26"/>
  <c r="BD68" i="26" s="1"/>
  <c r="AT68" i="26"/>
  <c r="AQ68" i="26"/>
  <c r="AR68" i="26" s="1"/>
  <c r="AH68" i="26"/>
  <c r="AE68" i="26"/>
  <c r="AF68" i="26" s="1"/>
  <c r="V68" i="26"/>
  <c r="S68" i="26"/>
  <c r="T68" i="26" s="1"/>
  <c r="J68" i="26"/>
  <c r="G68" i="26"/>
  <c r="H68" i="26" s="1"/>
  <c r="DK68" i="26"/>
  <c r="DJ67" i="26"/>
  <c r="DB67" i="26"/>
  <c r="CY67" i="26"/>
  <c r="CZ67" i="26" s="1"/>
  <c r="CP67" i="26"/>
  <c r="CM67" i="26"/>
  <c r="CN67" i="26" s="1"/>
  <c r="CD67" i="26"/>
  <c r="CA67" i="26"/>
  <c r="CB67" i="26" s="1"/>
  <c r="BR67" i="26"/>
  <c r="BO67" i="26"/>
  <c r="BP67" i="26" s="1"/>
  <c r="BF67" i="26"/>
  <c r="BC67" i="26"/>
  <c r="BD67" i="26" s="1"/>
  <c r="AT67" i="26"/>
  <c r="AQ67" i="26"/>
  <c r="AR67" i="26" s="1"/>
  <c r="AH67" i="26"/>
  <c r="AE67" i="26"/>
  <c r="AF67" i="26" s="1"/>
  <c r="V67" i="26"/>
  <c r="S67" i="26"/>
  <c r="T67" i="26" s="1"/>
  <c r="J67" i="26"/>
  <c r="G67" i="26"/>
  <c r="H67" i="26" s="1"/>
  <c r="DK67" i="26"/>
  <c r="DJ66" i="26"/>
  <c r="DB66" i="26"/>
  <c r="CY66" i="26"/>
  <c r="CZ66" i="26" s="1"/>
  <c r="CP66" i="26"/>
  <c r="CM66" i="26"/>
  <c r="CN66" i="26" s="1"/>
  <c r="CD66" i="26"/>
  <c r="CA66" i="26"/>
  <c r="CB66" i="26" s="1"/>
  <c r="BR66" i="26"/>
  <c r="BO66" i="26"/>
  <c r="BP66" i="26" s="1"/>
  <c r="BF66" i="26"/>
  <c r="BC66" i="26"/>
  <c r="BD66" i="26" s="1"/>
  <c r="AT66" i="26"/>
  <c r="AQ66" i="26"/>
  <c r="AR66" i="26" s="1"/>
  <c r="AH66" i="26"/>
  <c r="AE66" i="26"/>
  <c r="AF66" i="26" s="1"/>
  <c r="V66" i="26"/>
  <c r="S66" i="26"/>
  <c r="T66" i="26" s="1"/>
  <c r="J66" i="26"/>
  <c r="G66" i="26"/>
  <c r="H66" i="26" s="1"/>
  <c r="DK66" i="26"/>
  <c r="DJ65" i="26"/>
  <c r="DB65" i="26"/>
  <c r="CY65" i="26"/>
  <c r="CZ65" i="26" s="1"/>
  <c r="CP65" i="26"/>
  <c r="CM65" i="26"/>
  <c r="CN65" i="26" s="1"/>
  <c r="CD65" i="26"/>
  <c r="CA65" i="26"/>
  <c r="CB65" i="26" s="1"/>
  <c r="BR65" i="26"/>
  <c r="BO65" i="26"/>
  <c r="BP65" i="26" s="1"/>
  <c r="BF65" i="26"/>
  <c r="BC65" i="26"/>
  <c r="BD65" i="26" s="1"/>
  <c r="AT65" i="26"/>
  <c r="AQ65" i="26"/>
  <c r="AR65" i="26" s="1"/>
  <c r="AH65" i="26"/>
  <c r="AE65" i="26"/>
  <c r="AF65" i="26" s="1"/>
  <c r="V65" i="26"/>
  <c r="S65" i="26"/>
  <c r="T65" i="26" s="1"/>
  <c r="J65" i="26"/>
  <c r="G65" i="26"/>
  <c r="H65" i="26" s="1"/>
  <c r="DJ64" i="26"/>
  <c r="DB64" i="26"/>
  <c r="CY64" i="26"/>
  <c r="CZ64" i="26" s="1"/>
  <c r="CP64" i="26"/>
  <c r="CM64" i="26"/>
  <c r="CN64" i="26" s="1"/>
  <c r="CD64" i="26"/>
  <c r="CA64" i="26"/>
  <c r="CB64" i="26" s="1"/>
  <c r="BR64" i="26"/>
  <c r="BO64" i="26"/>
  <c r="BP64" i="26" s="1"/>
  <c r="BF64" i="26"/>
  <c r="BC64" i="26"/>
  <c r="BD64" i="26" s="1"/>
  <c r="AT64" i="26"/>
  <c r="AQ64" i="26"/>
  <c r="AR64" i="26" s="1"/>
  <c r="AH64" i="26"/>
  <c r="AE64" i="26"/>
  <c r="AF64" i="26" s="1"/>
  <c r="V64" i="26"/>
  <c r="S64" i="26"/>
  <c r="T64" i="26" s="1"/>
  <c r="J64" i="26"/>
  <c r="G64" i="26"/>
  <c r="H64" i="26" s="1"/>
  <c r="DK64" i="26"/>
  <c r="DJ63" i="26"/>
  <c r="DB63" i="26"/>
  <c r="CY63" i="26"/>
  <c r="CZ63" i="26" s="1"/>
  <c r="CP63" i="26"/>
  <c r="CM63" i="26"/>
  <c r="CN63" i="26" s="1"/>
  <c r="CD63" i="26"/>
  <c r="CA63" i="26"/>
  <c r="CB63" i="26" s="1"/>
  <c r="BR63" i="26"/>
  <c r="BO63" i="26"/>
  <c r="BP63" i="26" s="1"/>
  <c r="BF63" i="26"/>
  <c r="BC63" i="26"/>
  <c r="BD63" i="26" s="1"/>
  <c r="AT63" i="26"/>
  <c r="AQ63" i="26"/>
  <c r="AR63" i="26" s="1"/>
  <c r="AH63" i="26"/>
  <c r="AE63" i="26"/>
  <c r="AF63" i="26" s="1"/>
  <c r="V63" i="26"/>
  <c r="S63" i="26"/>
  <c r="T63" i="26" s="1"/>
  <c r="J63" i="26"/>
  <c r="G63" i="26"/>
  <c r="H63" i="26" s="1"/>
  <c r="DJ62" i="26"/>
  <c r="DB62" i="26"/>
  <c r="CY62" i="26"/>
  <c r="CZ62" i="26" s="1"/>
  <c r="CP62" i="26"/>
  <c r="CM62" i="26"/>
  <c r="CN62" i="26" s="1"/>
  <c r="CD62" i="26"/>
  <c r="CA62" i="26"/>
  <c r="CB62" i="26" s="1"/>
  <c r="BR62" i="26"/>
  <c r="BO62" i="26"/>
  <c r="BP62" i="26" s="1"/>
  <c r="BF62" i="26"/>
  <c r="BC62" i="26"/>
  <c r="BD62" i="26" s="1"/>
  <c r="AT62" i="26"/>
  <c r="AQ62" i="26"/>
  <c r="AR62" i="26" s="1"/>
  <c r="AH62" i="26"/>
  <c r="AE62" i="26"/>
  <c r="AF62" i="26" s="1"/>
  <c r="V62" i="26"/>
  <c r="S62" i="26"/>
  <c r="T62" i="26" s="1"/>
  <c r="J62" i="26"/>
  <c r="G62" i="26"/>
  <c r="H62" i="26" s="1"/>
  <c r="DK62" i="26"/>
  <c r="DJ61" i="26"/>
  <c r="DB61" i="26"/>
  <c r="CY61" i="26"/>
  <c r="CZ61" i="26" s="1"/>
  <c r="CP61" i="26"/>
  <c r="CM61" i="26"/>
  <c r="CN61" i="26" s="1"/>
  <c r="CD61" i="26"/>
  <c r="CA61" i="26"/>
  <c r="CB61" i="26" s="1"/>
  <c r="BR61" i="26"/>
  <c r="BO61" i="26"/>
  <c r="BP61" i="26" s="1"/>
  <c r="BF61" i="26"/>
  <c r="BC61" i="26"/>
  <c r="BD61" i="26" s="1"/>
  <c r="AT61" i="26"/>
  <c r="AQ61" i="26"/>
  <c r="AR61" i="26" s="1"/>
  <c r="AH61" i="26"/>
  <c r="AE61" i="26"/>
  <c r="AF61" i="26" s="1"/>
  <c r="V61" i="26"/>
  <c r="S61" i="26"/>
  <c r="T61" i="26" s="1"/>
  <c r="J61" i="26"/>
  <c r="G61" i="26"/>
  <c r="H61" i="26" s="1"/>
  <c r="DJ60" i="26"/>
  <c r="DB60" i="26"/>
  <c r="CY60" i="26"/>
  <c r="CZ60" i="26" s="1"/>
  <c r="CP60" i="26"/>
  <c r="CM60" i="26"/>
  <c r="CN60" i="26" s="1"/>
  <c r="CD60" i="26"/>
  <c r="CA60" i="26"/>
  <c r="CB60" i="26" s="1"/>
  <c r="BR60" i="26"/>
  <c r="BO60" i="26"/>
  <c r="BP60" i="26" s="1"/>
  <c r="BF60" i="26"/>
  <c r="BC60" i="26"/>
  <c r="BD60" i="26" s="1"/>
  <c r="AT60" i="26"/>
  <c r="AQ60" i="26"/>
  <c r="AR60" i="26" s="1"/>
  <c r="AH60" i="26"/>
  <c r="AE60" i="26"/>
  <c r="AF60" i="26" s="1"/>
  <c r="V60" i="26"/>
  <c r="S60" i="26"/>
  <c r="T60" i="26" s="1"/>
  <c r="J60" i="26"/>
  <c r="G60" i="26"/>
  <c r="H60" i="26" s="1"/>
  <c r="DK60" i="26"/>
  <c r="DJ59" i="26"/>
  <c r="DB59" i="26"/>
  <c r="CY59" i="26"/>
  <c r="CZ59" i="26" s="1"/>
  <c r="CP59" i="26"/>
  <c r="CM59" i="26"/>
  <c r="CN59" i="26" s="1"/>
  <c r="CD59" i="26"/>
  <c r="CA59" i="26"/>
  <c r="CB59" i="26" s="1"/>
  <c r="BR59" i="26"/>
  <c r="BO59" i="26"/>
  <c r="BP59" i="26" s="1"/>
  <c r="BF59" i="26"/>
  <c r="BC59" i="26"/>
  <c r="BD59" i="26" s="1"/>
  <c r="AT59" i="26"/>
  <c r="AQ59" i="26"/>
  <c r="AR59" i="26" s="1"/>
  <c r="AH59" i="26"/>
  <c r="AE59" i="26"/>
  <c r="AF59" i="26" s="1"/>
  <c r="V59" i="26"/>
  <c r="S59" i="26"/>
  <c r="T59" i="26" s="1"/>
  <c r="J59" i="26"/>
  <c r="G59" i="26"/>
  <c r="H59" i="26" s="1"/>
  <c r="DK59" i="26"/>
  <c r="DJ58" i="26"/>
  <c r="DB58" i="26"/>
  <c r="CY58" i="26"/>
  <c r="CZ58" i="26" s="1"/>
  <c r="CP58" i="26"/>
  <c r="CM58" i="26"/>
  <c r="CN58" i="26" s="1"/>
  <c r="CD58" i="26"/>
  <c r="CA58" i="26"/>
  <c r="CB58" i="26" s="1"/>
  <c r="BR58" i="26"/>
  <c r="BO58" i="26"/>
  <c r="BP58" i="26" s="1"/>
  <c r="BF58" i="26"/>
  <c r="BC58" i="26"/>
  <c r="BD58" i="26" s="1"/>
  <c r="AT58" i="26"/>
  <c r="AQ58" i="26"/>
  <c r="AR58" i="26" s="1"/>
  <c r="AH58" i="26"/>
  <c r="AE58" i="26"/>
  <c r="AF58" i="26" s="1"/>
  <c r="V58" i="26"/>
  <c r="S58" i="26"/>
  <c r="T58" i="26" s="1"/>
  <c r="J58" i="26"/>
  <c r="G58" i="26"/>
  <c r="H58" i="26" s="1"/>
  <c r="DJ57" i="26"/>
  <c r="DB57" i="26"/>
  <c r="CY57" i="26"/>
  <c r="CZ57" i="26" s="1"/>
  <c r="CP57" i="26"/>
  <c r="CM57" i="26"/>
  <c r="CN57" i="26" s="1"/>
  <c r="CD57" i="26"/>
  <c r="CA57" i="26"/>
  <c r="CB57" i="26" s="1"/>
  <c r="BR57" i="26"/>
  <c r="BO57" i="26"/>
  <c r="BP57" i="26" s="1"/>
  <c r="BF57" i="26"/>
  <c r="BC57" i="26"/>
  <c r="BD57" i="26" s="1"/>
  <c r="AT57" i="26"/>
  <c r="AQ57" i="26"/>
  <c r="AR57" i="26" s="1"/>
  <c r="AH57" i="26"/>
  <c r="AE57" i="26"/>
  <c r="AF57" i="26" s="1"/>
  <c r="V57" i="26"/>
  <c r="S57" i="26"/>
  <c r="T57" i="26" s="1"/>
  <c r="J57" i="26"/>
  <c r="G57" i="26"/>
  <c r="H57" i="26" s="1"/>
  <c r="DJ56" i="26"/>
  <c r="DB56" i="26"/>
  <c r="CY56" i="26"/>
  <c r="CZ56" i="26" s="1"/>
  <c r="CP56" i="26"/>
  <c r="CM56" i="26"/>
  <c r="CN56" i="26" s="1"/>
  <c r="CD56" i="26"/>
  <c r="CA56" i="26"/>
  <c r="CB56" i="26" s="1"/>
  <c r="BR56" i="26"/>
  <c r="BO56" i="26"/>
  <c r="BP56" i="26" s="1"/>
  <c r="BF56" i="26"/>
  <c r="BC56" i="26"/>
  <c r="BD56" i="26" s="1"/>
  <c r="AT56" i="26"/>
  <c r="AQ56" i="26"/>
  <c r="AR56" i="26" s="1"/>
  <c r="AH56" i="26"/>
  <c r="AE56" i="26"/>
  <c r="AF56" i="26" s="1"/>
  <c r="V56" i="26"/>
  <c r="S56" i="26"/>
  <c r="T56" i="26" s="1"/>
  <c r="J56" i="26"/>
  <c r="G56" i="26"/>
  <c r="H56" i="26" s="1"/>
  <c r="DJ55" i="26"/>
  <c r="DB55" i="26"/>
  <c r="CY55" i="26"/>
  <c r="CZ55" i="26" s="1"/>
  <c r="CP55" i="26"/>
  <c r="CM55" i="26"/>
  <c r="CN55" i="26" s="1"/>
  <c r="CD55" i="26"/>
  <c r="CA55" i="26"/>
  <c r="CB55" i="26" s="1"/>
  <c r="BR55" i="26"/>
  <c r="BO55" i="26"/>
  <c r="BP55" i="26" s="1"/>
  <c r="BF55" i="26"/>
  <c r="BC55" i="26"/>
  <c r="BD55" i="26" s="1"/>
  <c r="AT55" i="26"/>
  <c r="AQ55" i="26"/>
  <c r="AR55" i="26" s="1"/>
  <c r="AH55" i="26"/>
  <c r="AE55" i="26"/>
  <c r="AF55" i="26" s="1"/>
  <c r="V55" i="26"/>
  <c r="S55" i="26"/>
  <c r="T55" i="26" s="1"/>
  <c r="J55" i="26"/>
  <c r="G55" i="26"/>
  <c r="H55" i="26" s="1"/>
  <c r="DJ54" i="26"/>
  <c r="DB54" i="26"/>
  <c r="CY54" i="26"/>
  <c r="CZ54" i="26" s="1"/>
  <c r="CP54" i="26"/>
  <c r="CM54" i="26"/>
  <c r="CN54" i="26" s="1"/>
  <c r="CD54" i="26"/>
  <c r="CA54" i="26"/>
  <c r="CB54" i="26" s="1"/>
  <c r="BR54" i="26"/>
  <c r="BO54" i="26"/>
  <c r="BP54" i="26" s="1"/>
  <c r="BF54" i="26"/>
  <c r="BC54" i="26"/>
  <c r="BD54" i="26" s="1"/>
  <c r="AT54" i="26"/>
  <c r="AQ54" i="26"/>
  <c r="AR54" i="26" s="1"/>
  <c r="AH54" i="26"/>
  <c r="AE54" i="26"/>
  <c r="AF54" i="26" s="1"/>
  <c r="V54" i="26"/>
  <c r="S54" i="26"/>
  <c r="T54" i="26" s="1"/>
  <c r="J54" i="26"/>
  <c r="G54" i="26"/>
  <c r="H54" i="26" s="1"/>
  <c r="DJ53" i="26"/>
  <c r="DB53" i="26"/>
  <c r="CY53" i="26"/>
  <c r="CZ53" i="26" s="1"/>
  <c r="CP53" i="26"/>
  <c r="CM53" i="26"/>
  <c r="CN53" i="26" s="1"/>
  <c r="CD53" i="26"/>
  <c r="CA53" i="26"/>
  <c r="CB53" i="26" s="1"/>
  <c r="BR53" i="26"/>
  <c r="BO53" i="26"/>
  <c r="BP53" i="26" s="1"/>
  <c r="BF53" i="26"/>
  <c r="BC53" i="26"/>
  <c r="BD53" i="26" s="1"/>
  <c r="AT53" i="26"/>
  <c r="AQ53" i="26"/>
  <c r="AR53" i="26" s="1"/>
  <c r="AH53" i="26"/>
  <c r="AE53" i="26"/>
  <c r="AF53" i="26" s="1"/>
  <c r="V53" i="26"/>
  <c r="S53" i="26"/>
  <c r="T53" i="26" s="1"/>
  <c r="J53" i="26"/>
  <c r="G53" i="26"/>
  <c r="H53" i="26" s="1"/>
  <c r="DK53" i="26"/>
  <c r="DJ52" i="26"/>
  <c r="DB52" i="26"/>
  <c r="CY52" i="26"/>
  <c r="CZ52" i="26" s="1"/>
  <c r="CP52" i="26"/>
  <c r="CM52" i="26"/>
  <c r="CN52" i="26" s="1"/>
  <c r="CD52" i="26"/>
  <c r="CA52" i="26"/>
  <c r="CB52" i="26" s="1"/>
  <c r="BR52" i="26"/>
  <c r="BO52" i="26"/>
  <c r="BP52" i="26" s="1"/>
  <c r="BF52" i="26"/>
  <c r="BC52" i="26"/>
  <c r="BD52" i="26" s="1"/>
  <c r="AT52" i="26"/>
  <c r="AQ52" i="26"/>
  <c r="AR52" i="26" s="1"/>
  <c r="AH52" i="26"/>
  <c r="AE52" i="26"/>
  <c r="AF52" i="26" s="1"/>
  <c r="V52" i="26"/>
  <c r="S52" i="26"/>
  <c r="T52" i="26" s="1"/>
  <c r="J52" i="26"/>
  <c r="G52" i="26"/>
  <c r="H52" i="26" s="1"/>
  <c r="DK52" i="26"/>
  <c r="DJ51" i="26"/>
  <c r="DB51" i="26"/>
  <c r="CY51" i="26"/>
  <c r="CZ51" i="26" s="1"/>
  <c r="CP51" i="26"/>
  <c r="CM51" i="26"/>
  <c r="CN51" i="26" s="1"/>
  <c r="CD51" i="26"/>
  <c r="CA51" i="26"/>
  <c r="CB51" i="26" s="1"/>
  <c r="BR51" i="26"/>
  <c r="BO51" i="26"/>
  <c r="BP51" i="26" s="1"/>
  <c r="BF51" i="26"/>
  <c r="BC51" i="26"/>
  <c r="BD51" i="26" s="1"/>
  <c r="AT51" i="26"/>
  <c r="AQ51" i="26"/>
  <c r="AR51" i="26" s="1"/>
  <c r="AH51" i="26"/>
  <c r="AE51" i="26"/>
  <c r="AF51" i="26" s="1"/>
  <c r="V51" i="26"/>
  <c r="S51" i="26"/>
  <c r="T51" i="26" s="1"/>
  <c r="J51" i="26"/>
  <c r="G51" i="26"/>
  <c r="H51" i="26" s="1"/>
  <c r="DJ50" i="26"/>
  <c r="DB50" i="26"/>
  <c r="CY50" i="26"/>
  <c r="CZ50" i="26" s="1"/>
  <c r="CP50" i="26"/>
  <c r="CM50" i="26"/>
  <c r="CN50" i="26" s="1"/>
  <c r="CD50" i="26"/>
  <c r="CA50" i="26"/>
  <c r="CB50" i="26" s="1"/>
  <c r="BR50" i="26"/>
  <c r="BO50" i="26"/>
  <c r="BP50" i="26" s="1"/>
  <c r="BF50" i="26"/>
  <c r="BC50" i="26"/>
  <c r="BD50" i="26" s="1"/>
  <c r="AT50" i="26"/>
  <c r="AQ50" i="26"/>
  <c r="AR50" i="26" s="1"/>
  <c r="AH50" i="26"/>
  <c r="AE50" i="26"/>
  <c r="AF50" i="26" s="1"/>
  <c r="V50" i="26"/>
  <c r="S50" i="26"/>
  <c r="T50" i="26" s="1"/>
  <c r="J50" i="26"/>
  <c r="G50" i="26"/>
  <c r="H50" i="26" s="1"/>
  <c r="DJ49" i="26"/>
  <c r="DB49" i="26"/>
  <c r="CY49" i="26"/>
  <c r="CZ49" i="26" s="1"/>
  <c r="CP49" i="26"/>
  <c r="CM49" i="26"/>
  <c r="CN49" i="26" s="1"/>
  <c r="CD49" i="26"/>
  <c r="CA49" i="26"/>
  <c r="CB49" i="26" s="1"/>
  <c r="BR49" i="26"/>
  <c r="BO49" i="26"/>
  <c r="BP49" i="26" s="1"/>
  <c r="BF49" i="26"/>
  <c r="BC49" i="26"/>
  <c r="BD49" i="26" s="1"/>
  <c r="AT49" i="26"/>
  <c r="AQ49" i="26"/>
  <c r="AR49" i="26" s="1"/>
  <c r="AH49" i="26"/>
  <c r="AE49" i="26"/>
  <c r="AF49" i="26" s="1"/>
  <c r="V49" i="26"/>
  <c r="S49" i="26"/>
  <c r="T49" i="26" s="1"/>
  <c r="J49" i="26"/>
  <c r="G49" i="26"/>
  <c r="H49" i="26" s="1"/>
  <c r="DJ48" i="26"/>
  <c r="DB48" i="26"/>
  <c r="CY48" i="26"/>
  <c r="CZ48" i="26" s="1"/>
  <c r="CP48" i="26"/>
  <c r="CM48" i="26"/>
  <c r="CN48" i="26" s="1"/>
  <c r="CD48" i="26"/>
  <c r="CA48" i="26"/>
  <c r="CB48" i="26" s="1"/>
  <c r="BR48" i="26"/>
  <c r="BO48" i="26"/>
  <c r="BP48" i="26" s="1"/>
  <c r="BF48" i="26"/>
  <c r="BC48" i="26"/>
  <c r="BD48" i="26" s="1"/>
  <c r="AT48" i="26"/>
  <c r="AQ48" i="26"/>
  <c r="AR48" i="26" s="1"/>
  <c r="AH48" i="26"/>
  <c r="AE48" i="26"/>
  <c r="AF48" i="26" s="1"/>
  <c r="V48" i="26"/>
  <c r="S48" i="26"/>
  <c r="T48" i="26" s="1"/>
  <c r="J48" i="26"/>
  <c r="G48" i="26"/>
  <c r="H48" i="26" s="1"/>
  <c r="DJ47" i="26"/>
  <c r="DB47" i="26"/>
  <c r="CY47" i="26"/>
  <c r="CZ47" i="26" s="1"/>
  <c r="CP47" i="26"/>
  <c r="CM47" i="26"/>
  <c r="CN47" i="26" s="1"/>
  <c r="CD47" i="26"/>
  <c r="CA47" i="26"/>
  <c r="CB47" i="26" s="1"/>
  <c r="BR47" i="26"/>
  <c r="BO47" i="26"/>
  <c r="BP47" i="26" s="1"/>
  <c r="BF47" i="26"/>
  <c r="BC47" i="26"/>
  <c r="BD47" i="26" s="1"/>
  <c r="AT47" i="26"/>
  <c r="AQ47" i="26"/>
  <c r="AR47" i="26" s="1"/>
  <c r="AH47" i="26"/>
  <c r="AE47" i="26"/>
  <c r="AF47" i="26" s="1"/>
  <c r="V47" i="26"/>
  <c r="S47" i="26"/>
  <c r="T47" i="26" s="1"/>
  <c r="J47" i="26"/>
  <c r="G47" i="26"/>
  <c r="H47" i="26" s="1"/>
  <c r="DJ46" i="26"/>
  <c r="DB46" i="26"/>
  <c r="CY46" i="26"/>
  <c r="CZ46" i="26" s="1"/>
  <c r="CP46" i="26"/>
  <c r="CM46" i="26"/>
  <c r="CN46" i="26" s="1"/>
  <c r="CD46" i="26"/>
  <c r="CA46" i="26"/>
  <c r="CB46" i="26" s="1"/>
  <c r="BR46" i="26"/>
  <c r="BO46" i="26"/>
  <c r="BP46" i="26" s="1"/>
  <c r="BF46" i="26"/>
  <c r="BC46" i="26"/>
  <c r="BD46" i="26" s="1"/>
  <c r="AT46" i="26"/>
  <c r="AQ46" i="26"/>
  <c r="AR46" i="26" s="1"/>
  <c r="AH46" i="26"/>
  <c r="AE46" i="26"/>
  <c r="AF46" i="26" s="1"/>
  <c r="V46" i="26"/>
  <c r="S46" i="26"/>
  <c r="T46" i="26" s="1"/>
  <c r="J46" i="26"/>
  <c r="G46" i="26"/>
  <c r="H46" i="26" s="1"/>
  <c r="DJ45" i="26"/>
  <c r="DB45" i="26"/>
  <c r="CY45" i="26"/>
  <c r="CZ45" i="26" s="1"/>
  <c r="CP45" i="26"/>
  <c r="CM45" i="26"/>
  <c r="CN45" i="26" s="1"/>
  <c r="CD45" i="26"/>
  <c r="CA45" i="26"/>
  <c r="CB45" i="26" s="1"/>
  <c r="BR45" i="26"/>
  <c r="BO45" i="26"/>
  <c r="BP45" i="26" s="1"/>
  <c r="BF45" i="26"/>
  <c r="BC45" i="26"/>
  <c r="BD45" i="26" s="1"/>
  <c r="AT45" i="26"/>
  <c r="AQ45" i="26"/>
  <c r="AR45" i="26" s="1"/>
  <c r="AH45" i="26"/>
  <c r="AE45" i="26"/>
  <c r="AF45" i="26" s="1"/>
  <c r="V45" i="26"/>
  <c r="S45" i="26"/>
  <c r="T45" i="26" s="1"/>
  <c r="J45" i="26"/>
  <c r="G45" i="26"/>
  <c r="H45" i="26" s="1"/>
  <c r="DK45" i="26"/>
  <c r="DJ44" i="26"/>
  <c r="DB44" i="26"/>
  <c r="CY44" i="26"/>
  <c r="CZ44" i="26" s="1"/>
  <c r="CP44" i="26"/>
  <c r="CM44" i="26"/>
  <c r="CN44" i="26" s="1"/>
  <c r="CD44" i="26"/>
  <c r="CA44" i="26"/>
  <c r="CB44" i="26" s="1"/>
  <c r="BR44" i="26"/>
  <c r="BO44" i="26"/>
  <c r="BP44" i="26" s="1"/>
  <c r="BF44" i="26"/>
  <c r="BC44" i="26"/>
  <c r="BD44" i="26" s="1"/>
  <c r="AT44" i="26"/>
  <c r="AQ44" i="26"/>
  <c r="AR44" i="26" s="1"/>
  <c r="AH44" i="26"/>
  <c r="AE44" i="26"/>
  <c r="AF44" i="26" s="1"/>
  <c r="V44" i="26"/>
  <c r="S44" i="26"/>
  <c r="T44" i="26" s="1"/>
  <c r="J44" i="26"/>
  <c r="G44" i="26"/>
  <c r="H44" i="26" s="1"/>
  <c r="DK44" i="26"/>
  <c r="DJ43" i="26"/>
  <c r="DB43" i="26"/>
  <c r="CY43" i="26"/>
  <c r="CZ43" i="26" s="1"/>
  <c r="CP43" i="26"/>
  <c r="CM43" i="26"/>
  <c r="CN43" i="26" s="1"/>
  <c r="CD43" i="26"/>
  <c r="CA43" i="26"/>
  <c r="CB43" i="26" s="1"/>
  <c r="BR43" i="26"/>
  <c r="BO43" i="26"/>
  <c r="BP43" i="26" s="1"/>
  <c r="BF43" i="26"/>
  <c r="BC43" i="26"/>
  <c r="BD43" i="26" s="1"/>
  <c r="AT43" i="26"/>
  <c r="AQ43" i="26"/>
  <c r="AR43" i="26" s="1"/>
  <c r="AH43" i="26"/>
  <c r="AE43" i="26"/>
  <c r="AF43" i="26" s="1"/>
  <c r="V43" i="26"/>
  <c r="S43" i="26"/>
  <c r="T43" i="26" s="1"/>
  <c r="J43" i="26"/>
  <c r="G43" i="26"/>
  <c r="H43" i="26" s="1"/>
  <c r="DK43" i="26"/>
  <c r="DJ42" i="26"/>
  <c r="DB42" i="26"/>
  <c r="CY42" i="26"/>
  <c r="CZ42" i="26" s="1"/>
  <c r="CP42" i="26"/>
  <c r="CM42" i="26"/>
  <c r="CN42" i="26" s="1"/>
  <c r="CD42" i="26"/>
  <c r="CA42" i="26"/>
  <c r="CB42" i="26" s="1"/>
  <c r="BR42" i="26"/>
  <c r="BO42" i="26"/>
  <c r="BP42" i="26" s="1"/>
  <c r="BF42" i="26"/>
  <c r="BC42" i="26"/>
  <c r="BD42" i="26" s="1"/>
  <c r="AT42" i="26"/>
  <c r="AQ42" i="26"/>
  <c r="AR42" i="26" s="1"/>
  <c r="AH42" i="26"/>
  <c r="AE42" i="26"/>
  <c r="AF42" i="26" s="1"/>
  <c r="V42" i="26"/>
  <c r="S42" i="26"/>
  <c r="T42" i="26" s="1"/>
  <c r="J42" i="26"/>
  <c r="G42" i="26"/>
  <c r="H42" i="26" s="1"/>
  <c r="DJ41" i="26"/>
  <c r="DB41" i="26"/>
  <c r="CY41" i="26"/>
  <c r="CZ41" i="26" s="1"/>
  <c r="CP41" i="26"/>
  <c r="CM41" i="26"/>
  <c r="CN41" i="26" s="1"/>
  <c r="CD41" i="26"/>
  <c r="CA41" i="26"/>
  <c r="CB41" i="26" s="1"/>
  <c r="BR41" i="26"/>
  <c r="BO41" i="26"/>
  <c r="BP41" i="26" s="1"/>
  <c r="BF41" i="26"/>
  <c r="BC41" i="26"/>
  <c r="BD41" i="26" s="1"/>
  <c r="AT41" i="26"/>
  <c r="AQ41" i="26"/>
  <c r="AR41" i="26" s="1"/>
  <c r="AH41" i="26"/>
  <c r="AE41" i="26"/>
  <c r="AF41" i="26" s="1"/>
  <c r="V41" i="26"/>
  <c r="S41" i="26"/>
  <c r="T41" i="26" s="1"/>
  <c r="J41" i="26"/>
  <c r="G41" i="26"/>
  <c r="H41" i="26" s="1"/>
  <c r="DJ40" i="26"/>
  <c r="DB40" i="26"/>
  <c r="CY40" i="26"/>
  <c r="CZ40" i="26" s="1"/>
  <c r="CP40" i="26"/>
  <c r="CM40" i="26"/>
  <c r="CN40" i="26" s="1"/>
  <c r="CD40" i="26"/>
  <c r="CA40" i="26"/>
  <c r="CB40" i="26" s="1"/>
  <c r="BR40" i="26"/>
  <c r="BO40" i="26"/>
  <c r="BP40" i="26" s="1"/>
  <c r="BF40" i="26"/>
  <c r="BC40" i="26"/>
  <c r="BD40" i="26" s="1"/>
  <c r="AT40" i="26"/>
  <c r="AQ40" i="26"/>
  <c r="AR40" i="26" s="1"/>
  <c r="AH40" i="26"/>
  <c r="AE40" i="26"/>
  <c r="AF40" i="26" s="1"/>
  <c r="V40" i="26"/>
  <c r="S40" i="26"/>
  <c r="T40" i="26" s="1"/>
  <c r="J40" i="26"/>
  <c r="G40" i="26"/>
  <c r="H40" i="26" s="1"/>
  <c r="DJ39" i="26"/>
  <c r="DB39" i="26"/>
  <c r="CY39" i="26"/>
  <c r="CZ39" i="26" s="1"/>
  <c r="CP39" i="26"/>
  <c r="CM39" i="26"/>
  <c r="CN39" i="26" s="1"/>
  <c r="CD39" i="26"/>
  <c r="CA39" i="26"/>
  <c r="CB39" i="26" s="1"/>
  <c r="BR39" i="26"/>
  <c r="BO39" i="26"/>
  <c r="BP39" i="26" s="1"/>
  <c r="BF39" i="26"/>
  <c r="BC39" i="26"/>
  <c r="BD39" i="26" s="1"/>
  <c r="AT39" i="26"/>
  <c r="AQ39" i="26"/>
  <c r="AR39" i="26" s="1"/>
  <c r="AH39" i="26"/>
  <c r="AE39" i="26"/>
  <c r="AF39" i="26" s="1"/>
  <c r="V39" i="26"/>
  <c r="S39" i="26"/>
  <c r="T39" i="26" s="1"/>
  <c r="J39" i="26"/>
  <c r="G39" i="26"/>
  <c r="H39" i="26" s="1"/>
  <c r="DJ38" i="26"/>
  <c r="DB38" i="26"/>
  <c r="CY38" i="26"/>
  <c r="CZ38" i="26" s="1"/>
  <c r="CP38" i="26"/>
  <c r="CM38" i="26"/>
  <c r="CN38" i="26" s="1"/>
  <c r="CD38" i="26"/>
  <c r="CA38" i="26"/>
  <c r="CB38" i="26" s="1"/>
  <c r="BR38" i="26"/>
  <c r="BO38" i="26"/>
  <c r="BP38" i="26" s="1"/>
  <c r="BF38" i="26"/>
  <c r="BC38" i="26"/>
  <c r="BD38" i="26" s="1"/>
  <c r="AT38" i="26"/>
  <c r="AQ38" i="26"/>
  <c r="AR38" i="26" s="1"/>
  <c r="AH38" i="26"/>
  <c r="AE38" i="26"/>
  <c r="AF38" i="26" s="1"/>
  <c r="V38" i="26"/>
  <c r="S38" i="26"/>
  <c r="T38" i="26" s="1"/>
  <c r="J38" i="26"/>
  <c r="G38" i="26"/>
  <c r="H38" i="26" s="1"/>
  <c r="DJ37" i="26"/>
  <c r="DB37" i="26"/>
  <c r="CY37" i="26"/>
  <c r="CZ37" i="26" s="1"/>
  <c r="CP37" i="26"/>
  <c r="CM37" i="26"/>
  <c r="CN37" i="26" s="1"/>
  <c r="CD37" i="26"/>
  <c r="CA37" i="26"/>
  <c r="CB37" i="26" s="1"/>
  <c r="BR37" i="26"/>
  <c r="BO37" i="26"/>
  <c r="BP37" i="26" s="1"/>
  <c r="BF37" i="26"/>
  <c r="BC37" i="26"/>
  <c r="BD37" i="26" s="1"/>
  <c r="AT37" i="26"/>
  <c r="AQ37" i="26"/>
  <c r="AR37" i="26" s="1"/>
  <c r="AH37" i="26"/>
  <c r="AE37" i="26"/>
  <c r="AF37" i="26" s="1"/>
  <c r="V37" i="26"/>
  <c r="S37" i="26"/>
  <c r="T37" i="26" s="1"/>
  <c r="J37" i="26"/>
  <c r="G37" i="26"/>
  <c r="H37" i="26" s="1"/>
  <c r="DK37" i="26"/>
  <c r="DJ36" i="26"/>
  <c r="DB36" i="26"/>
  <c r="CY36" i="26"/>
  <c r="CZ36" i="26" s="1"/>
  <c r="CP36" i="26"/>
  <c r="CM36" i="26"/>
  <c r="CN36" i="26" s="1"/>
  <c r="CD36" i="26"/>
  <c r="CA36" i="26"/>
  <c r="CB36" i="26" s="1"/>
  <c r="BR36" i="26"/>
  <c r="BO36" i="26"/>
  <c r="BP36" i="26" s="1"/>
  <c r="BF36" i="26"/>
  <c r="BC36" i="26"/>
  <c r="BD36" i="26" s="1"/>
  <c r="AT36" i="26"/>
  <c r="AQ36" i="26"/>
  <c r="AR36" i="26" s="1"/>
  <c r="AH36" i="26"/>
  <c r="AE36" i="26"/>
  <c r="AF36" i="26" s="1"/>
  <c r="V36" i="26"/>
  <c r="S36" i="26"/>
  <c r="T36" i="26" s="1"/>
  <c r="J36" i="26"/>
  <c r="G36" i="26"/>
  <c r="H36" i="26" s="1"/>
  <c r="DJ35" i="26"/>
  <c r="DB35" i="26"/>
  <c r="CY35" i="26"/>
  <c r="CZ35" i="26" s="1"/>
  <c r="CP35" i="26"/>
  <c r="CM35" i="26"/>
  <c r="CN35" i="26" s="1"/>
  <c r="CD35" i="26"/>
  <c r="CA35" i="26"/>
  <c r="CB35" i="26" s="1"/>
  <c r="BR35" i="26"/>
  <c r="BO35" i="26"/>
  <c r="BP35" i="26" s="1"/>
  <c r="BF35" i="26"/>
  <c r="BC35" i="26"/>
  <c r="BD35" i="26" s="1"/>
  <c r="AT35" i="26"/>
  <c r="AQ35" i="26"/>
  <c r="AR35" i="26" s="1"/>
  <c r="AH35" i="26"/>
  <c r="AE35" i="26"/>
  <c r="AF35" i="26" s="1"/>
  <c r="V35" i="26"/>
  <c r="S35" i="26"/>
  <c r="T35" i="26" s="1"/>
  <c r="J35" i="26"/>
  <c r="G35" i="26"/>
  <c r="H35" i="26" s="1"/>
  <c r="DJ34" i="26"/>
  <c r="DB34" i="26"/>
  <c r="CY34" i="26"/>
  <c r="CZ34" i="26" s="1"/>
  <c r="CP34" i="26"/>
  <c r="CM34" i="26"/>
  <c r="CN34" i="26" s="1"/>
  <c r="CD34" i="26"/>
  <c r="CA34" i="26"/>
  <c r="CB34" i="26" s="1"/>
  <c r="BR34" i="26"/>
  <c r="BO34" i="26"/>
  <c r="BP34" i="26" s="1"/>
  <c r="BF34" i="26"/>
  <c r="BC34" i="26"/>
  <c r="BD34" i="26" s="1"/>
  <c r="AT34" i="26"/>
  <c r="AQ34" i="26"/>
  <c r="AR34" i="26" s="1"/>
  <c r="AH34" i="26"/>
  <c r="AE34" i="26"/>
  <c r="AF34" i="26" s="1"/>
  <c r="V34" i="26"/>
  <c r="S34" i="26"/>
  <c r="T34" i="26" s="1"/>
  <c r="J34" i="26"/>
  <c r="G34" i="26"/>
  <c r="H34" i="26" s="1"/>
  <c r="DK34" i="26"/>
  <c r="DJ33" i="26"/>
  <c r="DB33" i="26"/>
  <c r="CY33" i="26"/>
  <c r="CZ33" i="26" s="1"/>
  <c r="CP33" i="26"/>
  <c r="CM33" i="26"/>
  <c r="CN33" i="26" s="1"/>
  <c r="CD33" i="26"/>
  <c r="CA33" i="26"/>
  <c r="CB33" i="26" s="1"/>
  <c r="BR33" i="26"/>
  <c r="BO33" i="26"/>
  <c r="BP33" i="26" s="1"/>
  <c r="BF33" i="26"/>
  <c r="BC33" i="26"/>
  <c r="BD33" i="26" s="1"/>
  <c r="AT33" i="26"/>
  <c r="AQ33" i="26"/>
  <c r="AR33" i="26" s="1"/>
  <c r="AH33" i="26"/>
  <c r="AE33" i="26"/>
  <c r="AF33" i="26" s="1"/>
  <c r="V33" i="26"/>
  <c r="S33" i="26"/>
  <c r="T33" i="26" s="1"/>
  <c r="J33" i="26"/>
  <c r="G33" i="26"/>
  <c r="H33" i="26" s="1"/>
  <c r="DJ32" i="26"/>
  <c r="DB32" i="26"/>
  <c r="CY32" i="26"/>
  <c r="CZ32" i="26" s="1"/>
  <c r="CP32" i="26"/>
  <c r="CM32" i="26"/>
  <c r="CN32" i="26" s="1"/>
  <c r="CD32" i="26"/>
  <c r="CA32" i="26"/>
  <c r="CB32" i="26" s="1"/>
  <c r="BR32" i="26"/>
  <c r="BO32" i="26"/>
  <c r="BP32" i="26" s="1"/>
  <c r="BF32" i="26"/>
  <c r="BC32" i="26"/>
  <c r="BD32" i="26" s="1"/>
  <c r="AT32" i="26"/>
  <c r="AQ32" i="26"/>
  <c r="AR32" i="26" s="1"/>
  <c r="AH32" i="26"/>
  <c r="AE32" i="26"/>
  <c r="AF32" i="26" s="1"/>
  <c r="V32" i="26"/>
  <c r="S32" i="26"/>
  <c r="T32" i="26" s="1"/>
  <c r="J32" i="26"/>
  <c r="G32" i="26"/>
  <c r="H32" i="26" s="1"/>
  <c r="DJ31" i="26"/>
  <c r="DB31" i="26"/>
  <c r="CY31" i="26"/>
  <c r="CZ31" i="26" s="1"/>
  <c r="CP31" i="26"/>
  <c r="CM31" i="26"/>
  <c r="CN31" i="26" s="1"/>
  <c r="CD31" i="26"/>
  <c r="CA31" i="26"/>
  <c r="CB31" i="26" s="1"/>
  <c r="BR31" i="26"/>
  <c r="BO31" i="26"/>
  <c r="BP31" i="26" s="1"/>
  <c r="BF31" i="26"/>
  <c r="BC31" i="26"/>
  <c r="BD31" i="26" s="1"/>
  <c r="AT31" i="26"/>
  <c r="AQ31" i="26"/>
  <c r="AR31" i="26" s="1"/>
  <c r="AH31" i="26"/>
  <c r="AE31" i="26"/>
  <c r="AF31" i="26" s="1"/>
  <c r="V31" i="26"/>
  <c r="S31" i="26"/>
  <c r="T31" i="26" s="1"/>
  <c r="J31" i="26"/>
  <c r="G31" i="26"/>
  <c r="H31" i="26" s="1"/>
  <c r="DK31" i="26"/>
  <c r="DJ30" i="26"/>
  <c r="DB30" i="26"/>
  <c r="CY30" i="26"/>
  <c r="CZ30" i="26" s="1"/>
  <c r="CP30" i="26"/>
  <c r="CM30" i="26"/>
  <c r="CN30" i="26" s="1"/>
  <c r="CD30" i="26"/>
  <c r="CA30" i="26"/>
  <c r="CB30" i="26" s="1"/>
  <c r="BR30" i="26"/>
  <c r="BO30" i="26"/>
  <c r="BP30" i="26" s="1"/>
  <c r="BF30" i="26"/>
  <c r="BC30" i="26"/>
  <c r="BD30" i="26" s="1"/>
  <c r="AT30" i="26"/>
  <c r="AQ30" i="26"/>
  <c r="AR30" i="26" s="1"/>
  <c r="AH30" i="26"/>
  <c r="AE30" i="26"/>
  <c r="AF30" i="26" s="1"/>
  <c r="V30" i="26"/>
  <c r="S30" i="26"/>
  <c r="T30" i="26" s="1"/>
  <c r="J30" i="26"/>
  <c r="G30" i="26"/>
  <c r="H30" i="26" s="1"/>
  <c r="DK30" i="26"/>
  <c r="DJ29" i="26"/>
  <c r="DB29" i="26"/>
  <c r="CY29" i="26"/>
  <c r="CZ29" i="26" s="1"/>
  <c r="CP29" i="26"/>
  <c r="CM29" i="26"/>
  <c r="CN29" i="26" s="1"/>
  <c r="CD29" i="26"/>
  <c r="CA29" i="26"/>
  <c r="CB29" i="26" s="1"/>
  <c r="BR29" i="26"/>
  <c r="BO29" i="26"/>
  <c r="BP29" i="26" s="1"/>
  <c r="BF29" i="26"/>
  <c r="BC29" i="26"/>
  <c r="BD29" i="26" s="1"/>
  <c r="AT29" i="26"/>
  <c r="AQ29" i="26"/>
  <c r="AR29" i="26" s="1"/>
  <c r="AH29" i="26"/>
  <c r="AE29" i="26"/>
  <c r="AF29" i="26" s="1"/>
  <c r="V29" i="26"/>
  <c r="S29" i="26"/>
  <c r="T29" i="26" s="1"/>
  <c r="J29" i="26"/>
  <c r="G29" i="26"/>
  <c r="H29" i="26" s="1"/>
  <c r="DK29" i="26"/>
  <c r="DJ28" i="26"/>
  <c r="DB28" i="26"/>
  <c r="CY28" i="26"/>
  <c r="CZ28" i="26" s="1"/>
  <c r="CP28" i="26"/>
  <c r="CM28" i="26"/>
  <c r="CN28" i="26" s="1"/>
  <c r="CD28" i="26"/>
  <c r="CA28" i="26"/>
  <c r="CB28" i="26" s="1"/>
  <c r="BR28" i="26"/>
  <c r="BO28" i="26"/>
  <c r="BP28" i="26" s="1"/>
  <c r="BF28" i="26"/>
  <c r="BC28" i="26"/>
  <c r="BD28" i="26" s="1"/>
  <c r="AT28" i="26"/>
  <c r="AQ28" i="26"/>
  <c r="AR28" i="26" s="1"/>
  <c r="AH28" i="26"/>
  <c r="AE28" i="26"/>
  <c r="AF28" i="26" s="1"/>
  <c r="V28" i="26"/>
  <c r="S28" i="26"/>
  <c r="T28" i="26" s="1"/>
  <c r="J28" i="26"/>
  <c r="G28" i="26"/>
  <c r="H28" i="26" s="1"/>
  <c r="DJ27" i="26"/>
  <c r="DB27" i="26"/>
  <c r="CY27" i="26"/>
  <c r="CZ27" i="26" s="1"/>
  <c r="CP27" i="26"/>
  <c r="CM27" i="26"/>
  <c r="CN27" i="26" s="1"/>
  <c r="CD27" i="26"/>
  <c r="CA27" i="26"/>
  <c r="CB27" i="26" s="1"/>
  <c r="BR27" i="26"/>
  <c r="BO27" i="26"/>
  <c r="BP27" i="26" s="1"/>
  <c r="BF27" i="26"/>
  <c r="BC27" i="26"/>
  <c r="BD27" i="26" s="1"/>
  <c r="AT27" i="26"/>
  <c r="AQ27" i="26"/>
  <c r="AR27" i="26" s="1"/>
  <c r="AH27" i="26"/>
  <c r="AE27" i="26"/>
  <c r="AF27" i="26" s="1"/>
  <c r="V27" i="26"/>
  <c r="S27" i="26"/>
  <c r="T27" i="26" s="1"/>
  <c r="J27" i="26"/>
  <c r="G27" i="26"/>
  <c r="H27" i="26" s="1"/>
  <c r="DJ26" i="26"/>
  <c r="DB26" i="26"/>
  <c r="CY26" i="26"/>
  <c r="CZ26" i="26" s="1"/>
  <c r="CP26" i="26"/>
  <c r="CM26" i="26"/>
  <c r="CN26" i="26" s="1"/>
  <c r="CD26" i="26"/>
  <c r="CA26" i="26"/>
  <c r="CB26" i="26" s="1"/>
  <c r="BR26" i="26"/>
  <c r="BO26" i="26"/>
  <c r="BP26" i="26" s="1"/>
  <c r="BF26" i="26"/>
  <c r="BC26" i="26"/>
  <c r="BD26" i="26" s="1"/>
  <c r="AT26" i="26"/>
  <c r="AQ26" i="26"/>
  <c r="AR26" i="26" s="1"/>
  <c r="AH26" i="26"/>
  <c r="AE26" i="26"/>
  <c r="AF26" i="26" s="1"/>
  <c r="V26" i="26"/>
  <c r="S26" i="26"/>
  <c r="T26" i="26" s="1"/>
  <c r="J26" i="26"/>
  <c r="G26" i="26"/>
  <c r="H26" i="26" s="1"/>
  <c r="DJ25" i="26"/>
  <c r="DB25" i="26"/>
  <c r="CY25" i="26"/>
  <c r="CZ25" i="26" s="1"/>
  <c r="CP25" i="26"/>
  <c r="CM25" i="26"/>
  <c r="CN25" i="26" s="1"/>
  <c r="CD25" i="26"/>
  <c r="CA25" i="26"/>
  <c r="CB25" i="26" s="1"/>
  <c r="BR25" i="26"/>
  <c r="BO25" i="26"/>
  <c r="BP25" i="26" s="1"/>
  <c r="BF25" i="26"/>
  <c r="BC25" i="26"/>
  <c r="BD25" i="26" s="1"/>
  <c r="AT25" i="26"/>
  <c r="AQ25" i="26"/>
  <c r="AR25" i="26" s="1"/>
  <c r="AH25" i="26"/>
  <c r="AE25" i="26"/>
  <c r="AF25" i="26" s="1"/>
  <c r="V25" i="26"/>
  <c r="S25" i="26"/>
  <c r="T25" i="26" s="1"/>
  <c r="J25" i="26"/>
  <c r="G25" i="26"/>
  <c r="H25" i="26" s="1"/>
  <c r="DK25" i="26"/>
  <c r="DJ24" i="26"/>
  <c r="DB24" i="26"/>
  <c r="CY24" i="26"/>
  <c r="CZ24" i="26" s="1"/>
  <c r="CP24" i="26"/>
  <c r="CM24" i="26"/>
  <c r="CN24" i="26" s="1"/>
  <c r="CD24" i="26"/>
  <c r="CA24" i="26"/>
  <c r="CB24" i="26" s="1"/>
  <c r="BR24" i="26"/>
  <c r="BO24" i="26"/>
  <c r="BP24" i="26" s="1"/>
  <c r="BF24" i="26"/>
  <c r="BC24" i="26"/>
  <c r="BD24" i="26" s="1"/>
  <c r="AT24" i="26"/>
  <c r="AQ24" i="26"/>
  <c r="AR24" i="26" s="1"/>
  <c r="AH24" i="26"/>
  <c r="AE24" i="26"/>
  <c r="AF24" i="26" s="1"/>
  <c r="V24" i="26"/>
  <c r="S24" i="26"/>
  <c r="T24" i="26" s="1"/>
  <c r="J24" i="26"/>
  <c r="G24" i="26"/>
  <c r="H24" i="26" s="1"/>
  <c r="DJ23" i="26"/>
  <c r="DB23" i="26"/>
  <c r="CY23" i="26"/>
  <c r="CZ23" i="26" s="1"/>
  <c r="CP23" i="26"/>
  <c r="CM23" i="26"/>
  <c r="CN23" i="26" s="1"/>
  <c r="CD23" i="26"/>
  <c r="CA23" i="26"/>
  <c r="CB23" i="26" s="1"/>
  <c r="BR23" i="26"/>
  <c r="BO23" i="26"/>
  <c r="BP23" i="26" s="1"/>
  <c r="BF23" i="26"/>
  <c r="BC23" i="26"/>
  <c r="BD23" i="26" s="1"/>
  <c r="AT23" i="26"/>
  <c r="AQ23" i="26"/>
  <c r="AR23" i="26" s="1"/>
  <c r="AH23" i="26"/>
  <c r="AE23" i="26"/>
  <c r="AF23" i="26" s="1"/>
  <c r="V23" i="26"/>
  <c r="S23" i="26"/>
  <c r="T23" i="26" s="1"/>
  <c r="J23" i="26"/>
  <c r="G23" i="26"/>
  <c r="H23" i="26" s="1"/>
  <c r="DJ22" i="26"/>
  <c r="DB22" i="26"/>
  <c r="CY22" i="26"/>
  <c r="CZ22" i="26" s="1"/>
  <c r="CP22" i="26"/>
  <c r="CM22" i="26"/>
  <c r="CN22" i="26" s="1"/>
  <c r="CD22" i="26"/>
  <c r="CA22" i="26"/>
  <c r="CB22" i="26" s="1"/>
  <c r="BR22" i="26"/>
  <c r="BO22" i="26"/>
  <c r="BP22" i="26" s="1"/>
  <c r="BF22" i="26"/>
  <c r="BC22" i="26"/>
  <c r="BD22" i="26" s="1"/>
  <c r="AT22" i="26"/>
  <c r="AQ22" i="26"/>
  <c r="AR22" i="26" s="1"/>
  <c r="AH22" i="26"/>
  <c r="AE22" i="26"/>
  <c r="AF22" i="26" s="1"/>
  <c r="V22" i="26"/>
  <c r="S22" i="26"/>
  <c r="T22" i="26" s="1"/>
  <c r="J22" i="26"/>
  <c r="G22" i="26"/>
  <c r="H22" i="26" s="1"/>
  <c r="DK22" i="26"/>
  <c r="DJ21" i="26"/>
  <c r="DB21" i="26"/>
  <c r="CY21" i="26"/>
  <c r="CZ21" i="26" s="1"/>
  <c r="CP21" i="26"/>
  <c r="CM21" i="26"/>
  <c r="CN21" i="26" s="1"/>
  <c r="CD21" i="26"/>
  <c r="CA21" i="26"/>
  <c r="CB21" i="26" s="1"/>
  <c r="BR21" i="26"/>
  <c r="BO21" i="26"/>
  <c r="BP21" i="26" s="1"/>
  <c r="BF21" i="26"/>
  <c r="BC21" i="26"/>
  <c r="BD21" i="26" s="1"/>
  <c r="AT21" i="26"/>
  <c r="AQ21" i="26"/>
  <c r="AR21" i="26" s="1"/>
  <c r="AH21" i="26"/>
  <c r="AE21" i="26"/>
  <c r="AF21" i="26" s="1"/>
  <c r="V21" i="26"/>
  <c r="S21" i="26"/>
  <c r="T21" i="26" s="1"/>
  <c r="J21" i="26"/>
  <c r="G21" i="26"/>
  <c r="H21" i="26" s="1"/>
  <c r="DK21" i="26"/>
  <c r="DJ20" i="26"/>
  <c r="DB20" i="26"/>
  <c r="CY20" i="26"/>
  <c r="CZ20" i="26" s="1"/>
  <c r="CP20" i="26"/>
  <c r="CM20" i="26"/>
  <c r="CN20" i="26" s="1"/>
  <c r="CD20" i="26"/>
  <c r="CA20" i="26"/>
  <c r="CB20" i="26" s="1"/>
  <c r="BR20" i="26"/>
  <c r="BO20" i="26"/>
  <c r="BP20" i="26" s="1"/>
  <c r="BF20" i="26"/>
  <c r="BC20" i="26"/>
  <c r="BD20" i="26" s="1"/>
  <c r="AT20" i="26"/>
  <c r="AQ20" i="26"/>
  <c r="AR20" i="26" s="1"/>
  <c r="AH20" i="26"/>
  <c r="AE20" i="26"/>
  <c r="AF20" i="26" s="1"/>
  <c r="V20" i="26"/>
  <c r="S20" i="26"/>
  <c r="T20" i="26" s="1"/>
  <c r="J20" i="26"/>
  <c r="G20" i="26"/>
  <c r="H20" i="26" s="1"/>
  <c r="DJ19" i="26"/>
  <c r="DB19" i="26"/>
  <c r="CY19" i="26"/>
  <c r="CZ19" i="26" s="1"/>
  <c r="CP19" i="26"/>
  <c r="CM19" i="26"/>
  <c r="CN19" i="26" s="1"/>
  <c r="CD19" i="26"/>
  <c r="CA19" i="26"/>
  <c r="CB19" i="26" s="1"/>
  <c r="BR19" i="26"/>
  <c r="BO19" i="26"/>
  <c r="BP19" i="26" s="1"/>
  <c r="BF19" i="26"/>
  <c r="BC19" i="26"/>
  <c r="BD19" i="26" s="1"/>
  <c r="AT19" i="26"/>
  <c r="AQ19" i="26"/>
  <c r="AR19" i="26" s="1"/>
  <c r="AH19" i="26"/>
  <c r="AE19" i="26"/>
  <c r="AF19" i="26" s="1"/>
  <c r="V19" i="26"/>
  <c r="S19" i="26"/>
  <c r="T19" i="26" s="1"/>
  <c r="J19" i="26"/>
  <c r="G19" i="26"/>
  <c r="H19" i="26" s="1"/>
  <c r="DJ18" i="26"/>
  <c r="DB18" i="26"/>
  <c r="CY18" i="26"/>
  <c r="CZ18" i="26" s="1"/>
  <c r="CP18" i="26"/>
  <c r="CM18" i="26"/>
  <c r="CN18" i="26" s="1"/>
  <c r="CD18" i="26"/>
  <c r="CA18" i="26"/>
  <c r="CB18" i="26" s="1"/>
  <c r="BR18" i="26"/>
  <c r="BO18" i="26"/>
  <c r="BP18" i="26" s="1"/>
  <c r="BF18" i="26"/>
  <c r="BC18" i="26"/>
  <c r="BD18" i="26" s="1"/>
  <c r="AT18" i="26"/>
  <c r="AQ18" i="26"/>
  <c r="AR18" i="26" s="1"/>
  <c r="AH18" i="26"/>
  <c r="AE18" i="26"/>
  <c r="AF18" i="26" s="1"/>
  <c r="V18" i="26"/>
  <c r="S18" i="26"/>
  <c r="T18" i="26" s="1"/>
  <c r="J18" i="26"/>
  <c r="G18" i="26"/>
  <c r="H18" i="26" s="1"/>
  <c r="DK18" i="26"/>
  <c r="DJ17" i="26"/>
  <c r="DB17" i="26"/>
  <c r="CY17" i="26"/>
  <c r="CZ17" i="26" s="1"/>
  <c r="CP17" i="26"/>
  <c r="CM17" i="26"/>
  <c r="CN17" i="26" s="1"/>
  <c r="CD17" i="26"/>
  <c r="CA17" i="26"/>
  <c r="CB17" i="26" s="1"/>
  <c r="BR17" i="26"/>
  <c r="BO17" i="26"/>
  <c r="BP17" i="26" s="1"/>
  <c r="BF17" i="26"/>
  <c r="BC17" i="26"/>
  <c r="BD17" i="26" s="1"/>
  <c r="AT17" i="26"/>
  <c r="AQ17" i="26"/>
  <c r="AR17" i="26" s="1"/>
  <c r="AH17" i="26"/>
  <c r="AE17" i="26"/>
  <c r="AF17" i="26" s="1"/>
  <c r="V17" i="26"/>
  <c r="S17" i="26"/>
  <c r="T17" i="26" s="1"/>
  <c r="J17" i="26"/>
  <c r="G17" i="26"/>
  <c r="H17" i="26" s="1"/>
  <c r="DK17" i="26"/>
  <c r="DJ16" i="26"/>
  <c r="DB16" i="26"/>
  <c r="CY16" i="26"/>
  <c r="CZ16" i="26" s="1"/>
  <c r="CP16" i="26"/>
  <c r="CM16" i="26"/>
  <c r="CN16" i="26" s="1"/>
  <c r="CD16" i="26"/>
  <c r="CA16" i="26"/>
  <c r="CB16" i="26" s="1"/>
  <c r="BR16" i="26"/>
  <c r="BO16" i="26"/>
  <c r="BP16" i="26" s="1"/>
  <c r="BF16" i="26"/>
  <c r="BC16" i="26"/>
  <c r="BD16" i="26" s="1"/>
  <c r="AT16" i="26"/>
  <c r="AQ16" i="26"/>
  <c r="AR16" i="26" s="1"/>
  <c r="AH16" i="26"/>
  <c r="AE16" i="26"/>
  <c r="AF16" i="26" s="1"/>
  <c r="V16" i="26"/>
  <c r="S16" i="26"/>
  <c r="T16" i="26" s="1"/>
  <c r="J16" i="26"/>
  <c r="G16" i="26"/>
  <c r="H16" i="26" s="1"/>
  <c r="DK16" i="26"/>
  <c r="DJ15" i="26"/>
  <c r="DB15" i="26"/>
  <c r="CY15" i="26"/>
  <c r="CZ15" i="26" s="1"/>
  <c r="CP15" i="26"/>
  <c r="CM15" i="26"/>
  <c r="CN15" i="26" s="1"/>
  <c r="CD15" i="26"/>
  <c r="CA15" i="26"/>
  <c r="CB15" i="26" s="1"/>
  <c r="BR15" i="26"/>
  <c r="BO15" i="26"/>
  <c r="BP15" i="26" s="1"/>
  <c r="BF15" i="26"/>
  <c r="BC15" i="26"/>
  <c r="BD15" i="26" s="1"/>
  <c r="AT15" i="26"/>
  <c r="AQ15" i="26"/>
  <c r="AR15" i="26" s="1"/>
  <c r="AH15" i="26"/>
  <c r="AE15" i="26"/>
  <c r="AF15" i="26" s="1"/>
  <c r="V15" i="26"/>
  <c r="S15" i="26"/>
  <c r="T15" i="26" s="1"/>
  <c r="J15" i="26"/>
  <c r="G15" i="26"/>
  <c r="H15" i="26" s="1"/>
  <c r="DK15" i="26"/>
  <c r="DJ14" i="26"/>
  <c r="DB14" i="26"/>
  <c r="CY14" i="26"/>
  <c r="CZ14" i="26" s="1"/>
  <c r="CP14" i="26"/>
  <c r="CM14" i="26"/>
  <c r="CN14" i="26" s="1"/>
  <c r="CD14" i="26"/>
  <c r="CA14" i="26"/>
  <c r="CB14" i="26" s="1"/>
  <c r="BR14" i="26"/>
  <c r="BO14" i="26"/>
  <c r="BP14" i="26" s="1"/>
  <c r="BF14" i="26"/>
  <c r="BC14" i="26"/>
  <c r="BD14" i="26" s="1"/>
  <c r="AT14" i="26"/>
  <c r="AQ14" i="26"/>
  <c r="AR14" i="26" s="1"/>
  <c r="AH14" i="26"/>
  <c r="AE14" i="26"/>
  <c r="AF14" i="26" s="1"/>
  <c r="V14" i="26"/>
  <c r="S14" i="26"/>
  <c r="T14" i="26" s="1"/>
  <c r="J14" i="26"/>
  <c r="G14" i="26"/>
  <c r="H14" i="26" s="1"/>
  <c r="DK14" i="26"/>
  <c r="DJ13" i="26"/>
  <c r="DB13" i="26"/>
  <c r="CY13" i="26"/>
  <c r="CZ13" i="26" s="1"/>
  <c r="CP13" i="26"/>
  <c r="CM13" i="26"/>
  <c r="CN13" i="26" s="1"/>
  <c r="CD13" i="26"/>
  <c r="CA13" i="26"/>
  <c r="CB13" i="26" s="1"/>
  <c r="BR13" i="26"/>
  <c r="BO13" i="26"/>
  <c r="BP13" i="26" s="1"/>
  <c r="BF13" i="26"/>
  <c r="BC13" i="26"/>
  <c r="BD13" i="26" s="1"/>
  <c r="AT13" i="26"/>
  <c r="AQ13" i="26"/>
  <c r="AR13" i="26" s="1"/>
  <c r="AH13" i="26"/>
  <c r="AE13" i="26"/>
  <c r="AF13" i="26" s="1"/>
  <c r="V13" i="26"/>
  <c r="S13" i="26"/>
  <c r="T13" i="26" s="1"/>
  <c r="J13" i="26"/>
  <c r="G13" i="26"/>
  <c r="H13" i="26" s="1"/>
  <c r="DJ12" i="26"/>
  <c r="DB12" i="26"/>
  <c r="CY12" i="26"/>
  <c r="CP12" i="26"/>
  <c r="CM12" i="26"/>
  <c r="CN12" i="26" s="1"/>
  <c r="CD12" i="26"/>
  <c r="CA12" i="26"/>
  <c r="BR12" i="26"/>
  <c r="BO12" i="26"/>
  <c r="BF12" i="26"/>
  <c r="BC12" i="26"/>
  <c r="AT12" i="26"/>
  <c r="AQ12" i="26"/>
  <c r="AH12" i="26"/>
  <c r="AE12" i="26"/>
  <c r="J12" i="26"/>
  <c r="G12" i="26"/>
  <c r="DC8" i="26"/>
  <c r="DB8" i="26"/>
  <c r="DA8" i="26"/>
  <c r="CZ8" i="26"/>
  <c r="CY8" i="26"/>
  <c r="CX8" i="26"/>
  <c r="CW8" i="26"/>
  <c r="CV8" i="26"/>
  <c r="CU8" i="26"/>
  <c r="CQ8" i="26"/>
  <c r="CP8" i="26"/>
  <c r="CO8" i="26"/>
  <c r="CN8" i="26"/>
  <c r="CM8" i="26"/>
  <c r="CL8" i="26"/>
  <c r="CK8" i="26"/>
  <c r="CJ8" i="26"/>
  <c r="CI8" i="26"/>
  <c r="CE8" i="26"/>
  <c r="CD8" i="26"/>
  <c r="CC8" i="26"/>
  <c r="CB8" i="26"/>
  <c r="CA8" i="26"/>
  <c r="BZ8" i="26"/>
  <c r="BY8" i="26"/>
  <c r="BX8" i="26"/>
  <c r="BW8" i="26"/>
  <c r="BS8" i="26"/>
  <c r="BR8" i="26"/>
  <c r="BQ8" i="26"/>
  <c r="BP8" i="26"/>
  <c r="BO8" i="26"/>
  <c r="BN8" i="26"/>
  <c r="BM8" i="26"/>
  <c r="BL8" i="26"/>
  <c r="BK8" i="26"/>
  <c r="BG8" i="26"/>
  <c r="BF8" i="26"/>
  <c r="BE8" i="26"/>
  <c r="BD8" i="26"/>
  <c r="BC8" i="26"/>
  <c r="BB8" i="26"/>
  <c r="BA8" i="26"/>
  <c r="AZ8" i="26"/>
  <c r="AY8" i="26"/>
  <c r="AU8" i="26"/>
  <c r="AT8" i="26"/>
  <c r="AS8" i="26"/>
  <c r="AR8" i="26"/>
  <c r="AQ8" i="26"/>
  <c r="AP8" i="26"/>
  <c r="AO8" i="26"/>
  <c r="AN8" i="26"/>
  <c r="AM8" i="26"/>
  <c r="AI8" i="26"/>
  <c r="AH8" i="26"/>
  <c r="AG8" i="26"/>
  <c r="AF8" i="26"/>
  <c r="AE8" i="26"/>
  <c r="AD8" i="26"/>
  <c r="AC8" i="26"/>
  <c r="AB8" i="26"/>
  <c r="AA8" i="26"/>
  <c r="W8" i="26"/>
  <c r="V8" i="26"/>
  <c r="U8" i="26"/>
  <c r="T8" i="26"/>
  <c r="S8" i="26"/>
  <c r="R8" i="26"/>
  <c r="Q8" i="26"/>
  <c r="P8" i="26"/>
  <c r="O8" i="26"/>
  <c r="K8" i="26"/>
  <c r="J8" i="26"/>
  <c r="I8" i="26"/>
  <c r="H8" i="26"/>
  <c r="G8" i="26"/>
  <c r="F8" i="26"/>
  <c r="E8" i="26"/>
  <c r="D8" i="26"/>
  <c r="C8" i="26"/>
  <c r="CX5" i="26"/>
  <c r="CL5" i="26"/>
  <c r="BZ5" i="26"/>
  <c r="BN5" i="26"/>
  <c r="BB5" i="26"/>
  <c r="AP5" i="26"/>
  <c r="AD5" i="26"/>
  <c r="R5" i="26"/>
  <c r="F5" i="26"/>
  <c r="DD4" i="26"/>
  <c r="CX4" i="26"/>
  <c r="CR4" i="26"/>
  <c r="CL4" i="26"/>
  <c r="CF4" i="26"/>
  <c r="BZ4" i="26"/>
  <c r="BT4" i="26"/>
  <c r="BN4" i="26"/>
  <c r="BH4" i="26"/>
  <c r="BB4" i="26"/>
  <c r="AV4" i="26"/>
  <c r="AP4" i="26"/>
  <c r="AJ4" i="26"/>
  <c r="AD4" i="26"/>
  <c r="X4" i="26"/>
  <c r="R4" i="26"/>
  <c r="L4" i="26"/>
  <c r="F4" i="26"/>
  <c r="P13" i="22" s="1"/>
  <c r="DD3" i="26"/>
  <c r="CX3" i="26"/>
  <c r="CR3" i="26"/>
  <c r="CL3" i="26"/>
  <c r="CF3" i="26"/>
  <c r="BZ3" i="26"/>
  <c r="BT3" i="26"/>
  <c r="BN3" i="26"/>
  <c r="BH3" i="26"/>
  <c r="BB3" i="26"/>
  <c r="AV3" i="26"/>
  <c r="AP3" i="26"/>
  <c r="AJ3" i="26"/>
  <c r="AD3" i="26"/>
  <c r="X3" i="26"/>
  <c r="R3" i="26"/>
  <c r="L3" i="26"/>
  <c r="F3" i="26"/>
  <c r="B12" i="21"/>
  <c r="AP4" i="21"/>
  <c r="AI72" i="26" l="1"/>
  <c r="AJ72" i="26" s="1"/>
  <c r="CE72" i="26"/>
  <c r="CG72" i="26" s="1"/>
  <c r="CE76" i="26"/>
  <c r="CG76" i="26" s="1"/>
  <c r="W74" i="26"/>
  <c r="X74" i="26" s="1"/>
  <c r="K76" i="26"/>
  <c r="M76" i="26" s="1"/>
  <c r="BG49" i="26"/>
  <c r="BI49" i="26" s="1"/>
  <c r="DK69" i="26"/>
  <c r="BG16" i="26"/>
  <c r="BI16" i="26" s="1"/>
  <c r="CQ26" i="26"/>
  <c r="CS26" i="26" s="1"/>
  <c r="AU41" i="26"/>
  <c r="AW41" i="26" s="1"/>
  <c r="AU13" i="26"/>
  <c r="AW13" i="26" s="1"/>
  <c r="CQ74" i="26"/>
  <c r="CR74" i="26" s="1"/>
  <c r="CQ18" i="26"/>
  <c r="CS18" i="26" s="1"/>
  <c r="AI26" i="26"/>
  <c r="AK26" i="26" s="1"/>
  <c r="CE42" i="26"/>
  <c r="CG42" i="26" s="1"/>
  <c r="AU72" i="26"/>
  <c r="AV72" i="26" s="1"/>
  <c r="DK51" i="26"/>
  <c r="DK70" i="26"/>
  <c r="DK65" i="26"/>
  <c r="DK23" i="26"/>
  <c r="DK33" i="26"/>
  <c r="DK46" i="26"/>
  <c r="DK50" i="26"/>
  <c r="DK61" i="26"/>
  <c r="DK73" i="26"/>
  <c r="DK76" i="26"/>
  <c r="DK19" i="26"/>
  <c r="DK26" i="26"/>
  <c r="DK41" i="26"/>
  <c r="DK24" i="26"/>
  <c r="DK27" i="26"/>
  <c r="DK38" i="26"/>
  <c r="DK42" i="26"/>
  <c r="DK47" i="26"/>
  <c r="DK40" i="26"/>
  <c r="DK49" i="26"/>
  <c r="DK63" i="26"/>
  <c r="DK75" i="26"/>
  <c r="DK20" i="26"/>
  <c r="DK32" i="26"/>
  <c r="DK58" i="26"/>
  <c r="DK35" i="26"/>
  <c r="DK55" i="26"/>
  <c r="DK57" i="26"/>
  <c r="DK28" i="26"/>
  <c r="DK36" i="26"/>
  <c r="DK39" i="26"/>
  <c r="DK48" i="26"/>
  <c r="DK54" i="26"/>
  <c r="DK56" i="26"/>
  <c r="DC13" i="26"/>
  <c r="DE13" i="26" s="1"/>
  <c r="BG42" i="26"/>
  <c r="BI42" i="26" s="1"/>
  <c r="CQ45" i="26"/>
  <c r="CS45" i="26" s="1"/>
  <c r="DC53" i="26"/>
  <c r="DE53" i="26" s="1"/>
  <c r="DC43" i="26"/>
  <c r="DE43" i="26" s="1"/>
  <c r="CQ23" i="26"/>
  <c r="CS23" i="26" s="1"/>
  <c r="CQ36" i="26"/>
  <c r="CS36" i="26" s="1"/>
  <c r="CE22" i="26"/>
  <c r="CG22" i="26" s="1"/>
  <c r="BS50" i="26"/>
  <c r="BU50" i="26" s="1"/>
  <c r="BS52" i="26"/>
  <c r="BU52" i="26" s="1"/>
  <c r="K46" i="26"/>
  <c r="M46" i="26" s="1"/>
  <c r="K50" i="26"/>
  <c r="M50" i="26" s="1"/>
  <c r="W16" i="26"/>
  <c r="Y16" i="26" s="1"/>
  <c r="AI18" i="26"/>
  <c r="AK18" i="26" s="1"/>
  <c r="AI21" i="26"/>
  <c r="AK21" i="26" s="1"/>
  <c r="AI49" i="26"/>
  <c r="AK49" i="26" s="1"/>
  <c r="AU22" i="26"/>
  <c r="AW22" i="26" s="1"/>
  <c r="K13" i="26"/>
  <c r="M13" i="26" s="1"/>
  <c r="AD6" i="26"/>
  <c r="AI43" i="26"/>
  <c r="AK43" i="26" s="1"/>
  <c r="K48" i="26"/>
  <c r="M48" i="26" s="1"/>
  <c r="AI48" i="26"/>
  <c r="AK48" i="26" s="1"/>
  <c r="CQ48" i="26"/>
  <c r="CS48" i="26" s="1"/>
  <c r="DC49" i="26"/>
  <c r="DE49" i="26" s="1"/>
  <c r="CQ51" i="26"/>
  <c r="CS51" i="26" s="1"/>
  <c r="AI57" i="26"/>
  <c r="AK57" i="26" s="1"/>
  <c r="AU61" i="26"/>
  <c r="AW61" i="26" s="1"/>
  <c r="K63" i="26"/>
  <c r="M63" i="26" s="1"/>
  <c r="AU65" i="26"/>
  <c r="AW65" i="26" s="1"/>
  <c r="K67" i="26"/>
  <c r="M67" i="26" s="1"/>
  <c r="BS67" i="26"/>
  <c r="BU67" i="26" s="1"/>
  <c r="DC67" i="26"/>
  <c r="DE67" i="26" s="1"/>
  <c r="AI69" i="26"/>
  <c r="AK69" i="26" s="1"/>
  <c r="CQ69" i="26"/>
  <c r="CS69" i="26" s="1"/>
  <c r="K70" i="26"/>
  <c r="L70" i="26" s="1"/>
  <c r="DC70" i="26"/>
  <c r="DE70" i="26" s="1"/>
  <c r="W73" i="26"/>
  <c r="X73" i="26" s="1"/>
  <c r="AU73" i="26"/>
  <c r="AW73" i="26" s="1"/>
  <c r="AU76" i="26"/>
  <c r="AV76" i="26" s="1"/>
  <c r="BG37" i="26"/>
  <c r="BI37" i="26" s="1"/>
  <c r="DC38" i="26"/>
  <c r="DE38" i="26" s="1"/>
  <c r="AI40" i="26"/>
  <c r="AK40" i="26" s="1"/>
  <c r="DC42" i="26"/>
  <c r="DE42" i="26" s="1"/>
  <c r="BG43" i="26"/>
  <c r="BI43" i="26" s="1"/>
  <c r="BG53" i="26"/>
  <c r="BI53" i="26" s="1"/>
  <c r="W56" i="26"/>
  <c r="Y56" i="26" s="1"/>
  <c r="BG56" i="26"/>
  <c r="BI56" i="26" s="1"/>
  <c r="BG57" i="26"/>
  <c r="BI57" i="26" s="1"/>
  <c r="K58" i="26"/>
  <c r="M58" i="26" s="1"/>
  <c r="CE58" i="26"/>
  <c r="CG58" i="26" s="1"/>
  <c r="BS16" i="26"/>
  <c r="BU16" i="26" s="1"/>
  <c r="W17" i="26"/>
  <c r="Y17" i="26" s="1"/>
  <c r="CQ17" i="26"/>
  <c r="CS17" i="26" s="1"/>
  <c r="K20" i="26"/>
  <c r="M20" i="26" s="1"/>
  <c r="BS20" i="26"/>
  <c r="BU20" i="26" s="1"/>
  <c r="DC20" i="26"/>
  <c r="DE20" i="26" s="1"/>
  <c r="CE21" i="26"/>
  <c r="CG21" i="26" s="1"/>
  <c r="K23" i="26"/>
  <c r="M23" i="26" s="1"/>
  <c r="AU23" i="26"/>
  <c r="AW23" i="26" s="1"/>
  <c r="W24" i="26"/>
  <c r="Y24" i="26" s="1"/>
  <c r="BG24" i="26"/>
  <c r="BI24" i="26" s="1"/>
  <c r="BS25" i="26"/>
  <c r="BU25" i="26" s="1"/>
  <c r="K28" i="26"/>
  <c r="M28" i="26" s="1"/>
  <c r="BS28" i="26"/>
  <c r="BU28" i="26" s="1"/>
  <c r="DC28" i="26"/>
  <c r="DE28" i="26" s="1"/>
  <c r="CE29" i="26"/>
  <c r="CG29" i="26" s="1"/>
  <c r="K31" i="26"/>
  <c r="M31" i="26" s="1"/>
  <c r="AU31" i="26"/>
  <c r="AW31" i="26" s="1"/>
  <c r="W32" i="26"/>
  <c r="Y32" i="26" s="1"/>
  <c r="BG32" i="26"/>
  <c r="BI32" i="26" s="1"/>
  <c r="BS33" i="26"/>
  <c r="BU33" i="26" s="1"/>
  <c r="K36" i="26"/>
  <c r="M36" i="26" s="1"/>
  <c r="AI42" i="26"/>
  <c r="AK42" i="26" s="1"/>
  <c r="DC51" i="26"/>
  <c r="DE51" i="26" s="1"/>
  <c r="BG54" i="26"/>
  <c r="BI54" i="26" s="1"/>
  <c r="CQ55" i="26"/>
  <c r="CS55" i="26" s="1"/>
  <c r="CQ56" i="26"/>
  <c r="CS56" i="26" s="1"/>
  <c r="AU57" i="26"/>
  <c r="AW57" i="26" s="1"/>
  <c r="AU58" i="26"/>
  <c r="AW58" i="26" s="1"/>
  <c r="W48" i="26"/>
  <c r="Y48" i="26" s="1"/>
  <c r="CQ52" i="26"/>
  <c r="CS52" i="26" s="1"/>
  <c r="AI53" i="26"/>
  <c r="AK53" i="26" s="1"/>
  <c r="BS56" i="26"/>
  <c r="BU56" i="26" s="1"/>
  <c r="W58" i="26"/>
  <c r="Y58" i="26" s="1"/>
  <c r="AU60" i="26"/>
  <c r="AW60" i="26" s="1"/>
  <c r="AI61" i="26"/>
  <c r="AK61" i="26" s="1"/>
  <c r="BG15" i="26"/>
  <c r="BI15" i="26" s="1"/>
  <c r="CQ15" i="26"/>
  <c r="CS15" i="26" s="1"/>
  <c r="BG17" i="26"/>
  <c r="BI17" i="26" s="1"/>
  <c r="AI19" i="26"/>
  <c r="AK19" i="26" s="1"/>
  <c r="BS19" i="26"/>
  <c r="BU19" i="26" s="1"/>
  <c r="CQ21" i="26"/>
  <c r="CS21" i="26" s="1"/>
  <c r="K25" i="26"/>
  <c r="M25" i="26" s="1"/>
  <c r="DC25" i="26"/>
  <c r="DE25" i="26" s="1"/>
  <c r="AI27" i="26"/>
  <c r="AK27" i="26" s="1"/>
  <c r="BS27" i="26"/>
  <c r="BU27" i="26" s="1"/>
  <c r="CQ29" i="26"/>
  <c r="CS29" i="26" s="1"/>
  <c r="K33" i="26"/>
  <c r="M33" i="26" s="1"/>
  <c r="DC33" i="26"/>
  <c r="AI35" i="26"/>
  <c r="AK35" i="26" s="1"/>
  <c r="BS35" i="26"/>
  <c r="BU35" i="26" s="1"/>
  <c r="AU36" i="26"/>
  <c r="AW36" i="26" s="1"/>
  <c r="CE36" i="26"/>
  <c r="CG36" i="26" s="1"/>
  <c r="K38" i="26"/>
  <c r="M38" i="26" s="1"/>
  <c r="AI38" i="26"/>
  <c r="AK38" i="26" s="1"/>
  <c r="BG38" i="26"/>
  <c r="BI38" i="26" s="1"/>
  <c r="AU39" i="26"/>
  <c r="AW39" i="26" s="1"/>
  <c r="BS41" i="26"/>
  <c r="BU41" i="26" s="1"/>
  <c r="AI44" i="26"/>
  <c r="AK44" i="26" s="1"/>
  <c r="BS45" i="26"/>
  <c r="BU45" i="26" s="1"/>
  <c r="BG46" i="26"/>
  <c r="BI46" i="26" s="1"/>
  <c r="K47" i="26"/>
  <c r="M47" i="26" s="1"/>
  <c r="BS47" i="26"/>
  <c r="BU47" i="26" s="1"/>
  <c r="CQ47" i="26"/>
  <c r="CS47" i="26" s="1"/>
  <c r="K51" i="26"/>
  <c r="M51" i="26" s="1"/>
  <c r="W60" i="26"/>
  <c r="Y60" i="26" s="1"/>
  <c r="BG62" i="26"/>
  <c r="BI62" i="26" s="1"/>
  <c r="CE62" i="26"/>
  <c r="CG62" i="26" s="1"/>
  <c r="DC62" i="26"/>
  <c r="AU63" i="26"/>
  <c r="AW63" i="26" s="1"/>
  <c r="BS63" i="26"/>
  <c r="BU63" i="26" s="1"/>
  <c r="K64" i="26"/>
  <c r="AU64" i="26"/>
  <c r="AW64" i="26" s="1"/>
  <c r="DC64" i="26"/>
  <c r="DE64" i="26" s="1"/>
  <c r="W65" i="26"/>
  <c r="Y65" i="26" s="1"/>
  <c r="AI66" i="26"/>
  <c r="AK66" i="26" s="1"/>
  <c r="BS66" i="26"/>
  <c r="BU66" i="26" s="1"/>
  <c r="BG68" i="26"/>
  <c r="BI68" i="26" s="1"/>
  <c r="CQ68" i="26"/>
  <c r="CS68" i="26" s="1"/>
  <c r="K71" i="26"/>
  <c r="L71" i="26" s="1"/>
  <c r="CQ72" i="26"/>
  <c r="CS72" i="26" s="1"/>
  <c r="BS36" i="26"/>
  <c r="BU36" i="26" s="1"/>
  <c r="CE38" i="26"/>
  <c r="CG38" i="26" s="1"/>
  <c r="K40" i="26"/>
  <c r="M40" i="26" s="1"/>
  <c r="CE49" i="26"/>
  <c r="CG49" i="26" s="1"/>
  <c r="DC55" i="26"/>
  <c r="DE55" i="26" s="1"/>
  <c r="CQ58" i="26"/>
  <c r="CS58" i="26" s="1"/>
  <c r="BG61" i="26"/>
  <c r="BI61" i="26" s="1"/>
  <c r="AU71" i="26"/>
  <c r="AW71" i="26" s="1"/>
  <c r="DC72" i="26"/>
  <c r="DD72" i="26" s="1"/>
  <c r="BG74" i="26"/>
  <c r="BH74" i="26" s="1"/>
  <c r="BS74" i="26"/>
  <c r="BT74" i="26" s="1"/>
  <c r="BG76" i="26"/>
  <c r="BI76" i="26" s="1"/>
  <c r="BS17" i="26"/>
  <c r="BU17" i="26" s="1"/>
  <c r="AI14" i="26"/>
  <c r="AK14" i="26" s="1"/>
  <c r="CQ14" i="26"/>
  <c r="CS14" i="26" s="1"/>
  <c r="CQ16" i="26"/>
  <c r="CS16" i="26" s="1"/>
  <c r="W19" i="26"/>
  <c r="Y19" i="26" s="1"/>
  <c r="W22" i="26"/>
  <c r="Y22" i="26" s="1"/>
  <c r="BG22" i="26"/>
  <c r="BI22" i="26" s="1"/>
  <c r="BG25" i="26"/>
  <c r="BI25" i="26" s="1"/>
  <c r="W27" i="26"/>
  <c r="Y27" i="26" s="1"/>
  <c r="W30" i="26"/>
  <c r="Y30" i="26" s="1"/>
  <c r="BG30" i="26"/>
  <c r="BI30" i="26" s="1"/>
  <c r="BG33" i="26"/>
  <c r="BI33" i="26" s="1"/>
  <c r="W35" i="26"/>
  <c r="Y35" i="26" s="1"/>
  <c r="W37" i="26"/>
  <c r="Y37" i="26" s="1"/>
  <c r="W38" i="26"/>
  <c r="Y38" i="26" s="1"/>
  <c r="AU38" i="26"/>
  <c r="AW38" i="26" s="1"/>
  <c r="K39" i="26"/>
  <c r="M39" i="26" s="1"/>
  <c r="CQ41" i="26"/>
  <c r="CS41" i="26" s="1"/>
  <c r="K42" i="26"/>
  <c r="M42" i="26" s="1"/>
  <c r="K43" i="26"/>
  <c r="M43" i="26" s="1"/>
  <c r="K44" i="26"/>
  <c r="M44" i="26" s="1"/>
  <c r="CE44" i="26"/>
  <c r="CG44" i="26" s="1"/>
  <c r="DC44" i="26"/>
  <c r="DE44" i="26" s="1"/>
  <c r="W45" i="26"/>
  <c r="Y45" i="26" s="1"/>
  <c r="CE46" i="26"/>
  <c r="CG46" i="26" s="1"/>
  <c r="W49" i="26"/>
  <c r="Y49" i="26" s="1"/>
  <c r="AU49" i="26"/>
  <c r="AW49" i="26" s="1"/>
  <c r="CE50" i="26"/>
  <c r="CG50" i="26" s="1"/>
  <c r="DC50" i="26"/>
  <c r="DE50" i="26" s="1"/>
  <c r="DC52" i="26"/>
  <c r="DE52" i="26" s="1"/>
  <c r="DC54" i="26"/>
  <c r="DE54" i="26" s="1"/>
  <c r="AI56" i="26"/>
  <c r="AK56" i="26" s="1"/>
  <c r="CE56" i="26"/>
  <c r="CG56" i="26" s="1"/>
  <c r="BS57" i="26"/>
  <c r="BU57" i="26" s="1"/>
  <c r="AI58" i="26"/>
  <c r="AI59" i="26"/>
  <c r="AK59" i="26" s="1"/>
  <c r="DC59" i="26"/>
  <c r="DE59" i="26" s="1"/>
  <c r="BS62" i="26"/>
  <c r="BU62" i="26" s="1"/>
  <c r="CQ62" i="26"/>
  <c r="CS62" i="26" s="1"/>
  <c r="BG64" i="26"/>
  <c r="BI64" i="26" s="1"/>
  <c r="CQ64" i="26"/>
  <c r="CS64" i="26" s="1"/>
  <c r="W66" i="26"/>
  <c r="Y66" i="26" s="1"/>
  <c r="CE66" i="26"/>
  <c r="CG66" i="26" s="1"/>
  <c r="K68" i="26"/>
  <c r="M68" i="26" s="1"/>
  <c r="AU68" i="26"/>
  <c r="AW68" i="26" s="1"/>
  <c r="DC68" i="26"/>
  <c r="DE68" i="26" s="1"/>
  <c r="AI70" i="26"/>
  <c r="AK70" i="26" s="1"/>
  <c r="AI29" i="26"/>
  <c r="AK29" i="26" s="1"/>
  <c r="AU30" i="26"/>
  <c r="AW30" i="26" s="1"/>
  <c r="CE30" i="26"/>
  <c r="CG30" i="26" s="1"/>
  <c r="CQ31" i="26"/>
  <c r="CS31" i="26" s="1"/>
  <c r="AI34" i="26"/>
  <c r="AK34" i="26" s="1"/>
  <c r="CQ34" i="26"/>
  <c r="CS34" i="26" s="1"/>
  <c r="K37" i="26"/>
  <c r="M37" i="26" s="1"/>
  <c r="AU37" i="26"/>
  <c r="AW37" i="26" s="1"/>
  <c r="DC37" i="26"/>
  <c r="DE37" i="26" s="1"/>
  <c r="CQ38" i="26"/>
  <c r="CS38" i="26" s="1"/>
  <c r="W40" i="26"/>
  <c r="Y40" i="26" s="1"/>
  <c r="AU40" i="26"/>
  <c r="AW40" i="26" s="1"/>
  <c r="W41" i="26"/>
  <c r="Y41" i="26" s="1"/>
  <c r="CE43" i="26"/>
  <c r="CG43" i="26" s="1"/>
  <c r="AU45" i="26"/>
  <c r="AW45" i="26" s="1"/>
  <c r="AI46" i="26"/>
  <c r="AK46" i="26" s="1"/>
  <c r="BG47" i="26"/>
  <c r="BI47" i="26" s="1"/>
  <c r="DC47" i="26"/>
  <c r="DE47" i="26" s="1"/>
  <c r="CE48" i="26"/>
  <c r="CG48" i="26" s="1"/>
  <c r="DC48" i="26"/>
  <c r="DE48" i="26" s="1"/>
  <c r="AU50" i="26"/>
  <c r="AW50" i="26" s="1"/>
  <c r="W51" i="26"/>
  <c r="Y51" i="26" s="1"/>
  <c r="AU51" i="26"/>
  <c r="AW51" i="26" s="1"/>
  <c r="AI52" i="26"/>
  <c r="AK52" i="26" s="1"/>
  <c r="K53" i="26"/>
  <c r="M53" i="26" s="1"/>
  <c r="K55" i="26"/>
  <c r="M55" i="26" s="1"/>
  <c r="AU55" i="26"/>
  <c r="AW55" i="26" s="1"/>
  <c r="W57" i="26"/>
  <c r="Y57" i="26" s="1"/>
  <c r="BG58" i="26"/>
  <c r="BI58" i="26" s="1"/>
  <c r="DC58" i="26"/>
  <c r="DE58" i="26" s="1"/>
  <c r="W59" i="26"/>
  <c r="Y59" i="26" s="1"/>
  <c r="CQ59" i="26"/>
  <c r="CS59" i="26" s="1"/>
  <c r="W61" i="26"/>
  <c r="Y61" i="26" s="1"/>
  <c r="W63" i="26"/>
  <c r="Y63" i="26" s="1"/>
  <c r="W67" i="26"/>
  <c r="Y67" i="26" s="1"/>
  <c r="BG67" i="26"/>
  <c r="AU69" i="26"/>
  <c r="AW69" i="26" s="1"/>
  <c r="CE69" i="26"/>
  <c r="CG69" i="26" s="1"/>
  <c r="CQ70" i="26"/>
  <c r="CS70" i="26" s="1"/>
  <c r="W71" i="26"/>
  <c r="X71" i="26" s="1"/>
  <c r="K72" i="26"/>
  <c r="L72" i="26" s="1"/>
  <c r="BS72" i="26"/>
  <c r="BU72" i="26" s="1"/>
  <c r="AI74" i="26"/>
  <c r="CE74" i="26"/>
  <c r="CG74" i="26" s="1"/>
  <c r="W76" i="26"/>
  <c r="X76" i="26" s="1"/>
  <c r="BS76" i="26"/>
  <c r="BT76" i="26" s="1"/>
  <c r="AI13" i="26"/>
  <c r="AK13" i="26" s="1"/>
  <c r="BS13" i="26"/>
  <c r="W14" i="26"/>
  <c r="Y14" i="26" s="1"/>
  <c r="BG14" i="26"/>
  <c r="BI14" i="26" s="1"/>
  <c r="K15" i="26"/>
  <c r="M15" i="26" s="1"/>
  <c r="AI24" i="26"/>
  <c r="CQ24" i="26"/>
  <c r="CS24" i="26" s="1"/>
  <c r="W25" i="26"/>
  <c r="Y25" i="26" s="1"/>
  <c r="AI32" i="26"/>
  <c r="CQ32" i="26"/>
  <c r="CS32" i="26" s="1"/>
  <c r="W33" i="26"/>
  <c r="Y33" i="26" s="1"/>
  <c r="BG13" i="26"/>
  <c r="BI13" i="26" s="1"/>
  <c r="CQ13" i="26"/>
  <c r="CS13" i="26" s="1"/>
  <c r="AU14" i="26"/>
  <c r="AW14" i="26" s="1"/>
  <c r="CE14" i="26"/>
  <c r="CG14" i="26" s="1"/>
  <c r="AI15" i="26"/>
  <c r="AK15" i="26" s="1"/>
  <c r="BS15" i="26"/>
  <c r="BU15" i="26" s="1"/>
  <c r="AI16" i="26"/>
  <c r="AK16" i="26" s="1"/>
  <c r="DC16" i="26"/>
  <c r="DE16" i="26" s="1"/>
  <c r="K18" i="26"/>
  <c r="M18" i="26" s="1"/>
  <c r="BS18" i="26"/>
  <c r="BU18" i="26" s="1"/>
  <c r="DC18" i="26"/>
  <c r="DE18" i="26" s="1"/>
  <c r="AU21" i="26"/>
  <c r="AW21" i="26" s="1"/>
  <c r="DC23" i="26"/>
  <c r="DE23" i="26" s="1"/>
  <c r="K26" i="26"/>
  <c r="M26" i="26" s="1"/>
  <c r="BS26" i="26"/>
  <c r="BU26" i="26" s="1"/>
  <c r="DC26" i="26"/>
  <c r="DE26" i="26" s="1"/>
  <c r="AU29" i="26"/>
  <c r="AW29" i="26" s="1"/>
  <c r="DC31" i="26"/>
  <c r="DE31" i="26" s="1"/>
  <c r="K34" i="26"/>
  <c r="M34" i="26" s="1"/>
  <c r="BS34" i="26"/>
  <c r="BU34" i="26" s="1"/>
  <c r="DC34" i="26"/>
  <c r="DE34" i="26" s="1"/>
  <c r="W13" i="26"/>
  <c r="CE13" i="26"/>
  <c r="CG13" i="26" s="1"/>
  <c r="K14" i="26"/>
  <c r="M14" i="26" s="1"/>
  <c r="BS14" i="26"/>
  <c r="BU14" i="26" s="1"/>
  <c r="DC14" i="26"/>
  <c r="DE14" i="26" s="1"/>
  <c r="DC17" i="26"/>
  <c r="DE17" i="26" s="1"/>
  <c r="CE19" i="26"/>
  <c r="CG19" i="26" s="1"/>
  <c r="AU20" i="26"/>
  <c r="AW20" i="26" s="1"/>
  <c r="CE20" i="26"/>
  <c r="CG20" i="26" s="1"/>
  <c r="BG23" i="26"/>
  <c r="CE27" i="26"/>
  <c r="CG27" i="26" s="1"/>
  <c r="AU28" i="26"/>
  <c r="AW28" i="26" s="1"/>
  <c r="CE28" i="26"/>
  <c r="CG28" i="26" s="1"/>
  <c r="BG31" i="26"/>
  <c r="CE35" i="26"/>
  <c r="CG35" i="26" s="1"/>
  <c r="W15" i="26"/>
  <c r="Y15" i="26" s="1"/>
  <c r="CE15" i="26"/>
  <c r="CG15" i="26" s="1"/>
  <c r="K17" i="26"/>
  <c r="M17" i="26" s="1"/>
  <c r="AU17" i="26"/>
  <c r="AW17" i="26" s="1"/>
  <c r="CE17" i="26"/>
  <c r="CG17" i="26" s="1"/>
  <c r="W18" i="26"/>
  <c r="Y18" i="26" s="1"/>
  <c r="BG18" i="26"/>
  <c r="BI18" i="26" s="1"/>
  <c r="K19" i="26"/>
  <c r="M19" i="26" s="1"/>
  <c r="BG19" i="26"/>
  <c r="BI19" i="26" s="1"/>
  <c r="DC19" i="26"/>
  <c r="DE19" i="26" s="1"/>
  <c r="AI20" i="26"/>
  <c r="CQ20" i="26"/>
  <c r="CS20" i="26" s="1"/>
  <c r="W21" i="26"/>
  <c r="Y21" i="26" s="1"/>
  <c r="BS21" i="26"/>
  <c r="BU21" i="26" s="1"/>
  <c r="K22" i="26"/>
  <c r="M22" i="26" s="1"/>
  <c r="BS22" i="26"/>
  <c r="BU22" i="26" s="1"/>
  <c r="DC22" i="26"/>
  <c r="DE22" i="26" s="1"/>
  <c r="AI23" i="26"/>
  <c r="AK23" i="26" s="1"/>
  <c r="CE23" i="26"/>
  <c r="CG23" i="26" s="1"/>
  <c r="AU24" i="26"/>
  <c r="AW24" i="26" s="1"/>
  <c r="CE24" i="26"/>
  <c r="CG24" i="26" s="1"/>
  <c r="AU25" i="26"/>
  <c r="AW25" i="26" s="1"/>
  <c r="CQ25" i="26"/>
  <c r="CS25" i="26" s="1"/>
  <c r="W26" i="26"/>
  <c r="Y26" i="26" s="1"/>
  <c r="BG26" i="26"/>
  <c r="BI26" i="26" s="1"/>
  <c r="K27" i="26"/>
  <c r="M27" i="26" s="1"/>
  <c r="BG27" i="26"/>
  <c r="DC27" i="26"/>
  <c r="DE27" i="26" s="1"/>
  <c r="AI28" i="26"/>
  <c r="AK28" i="26" s="1"/>
  <c r="CQ28" i="26"/>
  <c r="CS28" i="26" s="1"/>
  <c r="W29" i="26"/>
  <c r="Y29" i="26" s="1"/>
  <c r="BS29" i="26"/>
  <c r="BU29" i="26" s="1"/>
  <c r="K30" i="26"/>
  <c r="M30" i="26" s="1"/>
  <c r="BS30" i="26"/>
  <c r="BU30" i="26" s="1"/>
  <c r="DC30" i="26"/>
  <c r="AI31" i="26"/>
  <c r="AK31" i="26" s="1"/>
  <c r="CE31" i="26"/>
  <c r="CG31" i="26" s="1"/>
  <c r="AU32" i="26"/>
  <c r="AW32" i="26" s="1"/>
  <c r="CE32" i="26"/>
  <c r="AU33" i="26"/>
  <c r="AW33" i="26" s="1"/>
  <c r="CQ33" i="26"/>
  <c r="CS33" i="26" s="1"/>
  <c r="W34" i="26"/>
  <c r="Y34" i="26" s="1"/>
  <c r="BG34" i="26"/>
  <c r="BI34" i="26" s="1"/>
  <c r="K35" i="26"/>
  <c r="M35" i="26" s="1"/>
  <c r="BG35" i="26"/>
  <c r="BI35" i="26" s="1"/>
  <c r="DC35" i="26"/>
  <c r="DE35" i="26" s="1"/>
  <c r="AI36" i="26"/>
  <c r="AK36" i="26" s="1"/>
  <c r="DC36" i="26"/>
  <c r="DE36" i="26" s="1"/>
  <c r="CE37" i="26"/>
  <c r="CG37" i="26" s="1"/>
  <c r="CE40" i="26"/>
  <c r="CG40" i="26" s="1"/>
  <c r="CE51" i="26"/>
  <c r="CG51" i="26" s="1"/>
  <c r="CQ54" i="26"/>
  <c r="CS54" i="26" s="1"/>
  <c r="K59" i="26"/>
  <c r="M59" i="26" s="1"/>
  <c r="CQ61" i="26"/>
  <c r="CS61" i="26" s="1"/>
  <c r="AI62" i="26"/>
  <c r="AK62" i="26" s="1"/>
  <c r="BS65" i="26"/>
  <c r="BU65" i="26" s="1"/>
  <c r="AU15" i="26"/>
  <c r="DC15" i="26"/>
  <c r="DE15" i="26" s="1"/>
  <c r="K16" i="26"/>
  <c r="M16" i="26" s="1"/>
  <c r="AU16" i="26"/>
  <c r="CE16" i="26"/>
  <c r="CG16" i="26" s="1"/>
  <c r="AI17" i="26"/>
  <c r="AK17" i="26" s="1"/>
  <c r="AU18" i="26"/>
  <c r="AW18" i="26" s="1"/>
  <c r="CE18" i="26"/>
  <c r="CG18" i="26" s="1"/>
  <c r="AU19" i="26"/>
  <c r="AW19" i="26" s="1"/>
  <c r="CQ19" i="26"/>
  <c r="CS19" i="26" s="1"/>
  <c r="W20" i="26"/>
  <c r="Y20" i="26" s="1"/>
  <c r="BG20" i="26"/>
  <c r="BI20" i="26" s="1"/>
  <c r="K21" i="26"/>
  <c r="BG21" i="26"/>
  <c r="BI21" i="26" s="1"/>
  <c r="DC21" i="26"/>
  <c r="DE21" i="26" s="1"/>
  <c r="AI22" i="26"/>
  <c r="AK22" i="26" s="1"/>
  <c r="CQ22" i="26"/>
  <c r="CS22" i="26" s="1"/>
  <c r="W23" i="26"/>
  <c r="Y23" i="26" s="1"/>
  <c r="BS23" i="26"/>
  <c r="BU23" i="26" s="1"/>
  <c r="K24" i="26"/>
  <c r="M24" i="26" s="1"/>
  <c r="BS24" i="26"/>
  <c r="BU24" i="26" s="1"/>
  <c r="DC24" i="26"/>
  <c r="DE24" i="26" s="1"/>
  <c r="AI25" i="26"/>
  <c r="AK25" i="26" s="1"/>
  <c r="CE25" i="26"/>
  <c r="CG25" i="26" s="1"/>
  <c r="AU26" i="26"/>
  <c r="CE26" i="26"/>
  <c r="CG26" i="26" s="1"/>
  <c r="AU27" i="26"/>
  <c r="AW27" i="26" s="1"/>
  <c r="CQ27" i="26"/>
  <c r="CS27" i="26" s="1"/>
  <c r="W28" i="26"/>
  <c r="Y28" i="26" s="1"/>
  <c r="BG28" i="26"/>
  <c r="BI28" i="26" s="1"/>
  <c r="K29" i="26"/>
  <c r="M29" i="26" s="1"/>
  <c r="BG29" i="26"/>
  <c r="BI29" i="26" s="1"/>
  <c r="DC29" i="26"/>
  <c r="DE29" i="26" s="1"/>
  <c r="AI30" i="26"/>
  <c r="AK30" i="26" s="1"/>
  <c r="CQ30" i="26"/>
  <c r="CS30" i="26" s="1"/>
  <c r="W31" i="26"/>
  <c r="Y31" i="26" s="1"/>
  <c r="BS31" i="26"/>
  <c r="BU31" i="26" s="1"/>
  <c r="K32" i="26"/>
  <c r="M32" i="26" s="1"/>
  <c r="BS32" i="26"/>
  <c r="BU32" i="26" s="1"/>
  <c r="DC32" i="26"/>
  <c r="DE32" i="26" s="1"/>
  <c r="AI33" i="26"/>
  <c r="AK33" i="26" s="1"/>
  <c r="CE33" i="26"/>
  <c r="CG33" i="26" s="1"/>
  <c r="AU34" i="26"/>
  <c r="AW34" i="26" s="1"/>
  <c r="CE34" i="26"/>
  <c r="CG34" i="26" s="1"/>
  <c r="AU35" i="26"/>
  <c r="AW35" i="26" s="1"/>
  <c r="CQ35" i="26"/>
  <c r="CS35" i="26" s="1"/>
  <c r="W36" i="26"/>
  <c r="Y36" i="26" s="1"/>
  <c r="BG36" i="26"/>
  <c r="BI36" i="26" s="1"/>
  <c r="DC40" i="26"/>
  <c r="DE40" i="26" s="1"/>
  <c r="BG44" i="26"/>
  <c r="BI44" i="26" s="1"/>
  <c r="W54" i="26"/>
  <c r="Y54" i="26" s="1"/>
  <c r="CQ57" i="26"/>
  <c r="CS57" i="26" s="1"/>
  <c r="CQ65" i="26"/>
  <c r="CF72" i="26"/>
  <c r="CQ37" i="26"/>
  <c r="CS37" i="26" s="1"/>
  <c r="W39" i="26"/>
  <c r="Y39" i="26" s="1"/>
  <c r="CE39" i="26"/>
  <c r="CG39" i="26" s="1"/>
  <c r="DC39" i="26"/>
  <c r="DE39" i="26" s="1"/>
  <c r="BG40" i="26"/>
  <c r="BI40" i="26" s="1"/>
  <c r="AI41" i="26"/>
  <c r="AK41" i="26" s="1"/>
  <c r="CE41" i="26"/>
  <c r="CG41" i="26" s="1"/>
  <c r="W43" i="26"/>
  <c r="Y43" i="26" s="1"/>
  <c r="BS43" i="26"/>
  <c r="BU43" i="26" s="1"/>
  <c r="K45" i="26"/>
  <c r="M45" i="26" s="1"/>
  <c r="BG45" i="26"/>
  <c r="BI45" i="26" s="1"/>
  <c r="DC45" i="26"/>
  <c r="DE45" i="26" s="1"/>
  <c r="CQ46" i="26"/>
  <c r="CS46" i="26" s="1"/>
  <c r="AU47" i="26"/>
  <c r="AW47" i="26" s="1"/>
  <c r="W50" i="26"/>
  <c r="Y50" i="26" s="1"/>
  <c r="BG50" i="26"/>
  <c r="BI50" i="26" s="1"/>
  <c r="BS51" i="26"/>
  <c r="BU51" i="26" s="1"/>
  <c r="AU52" i="26"/>
  <c r="AW52" i="26" s="1"/>
  <c r="CE52" i="26"/>
  <c r="CG52" i="26" s="1"/>
  <c r="BS53" i="26"/>
  <c r="BU53" i="26" s="1"/>
  <c r="CQ53" i="26"/>
  <c r="CS53" i="26" s="1"/>
  <c r="BS54" i="26"/>
  <c r="BU54" i="26" s="1"/>
  <c r="W55" i="26"/>
  <c r="Y55" i="26" s="1"/>
  <c r="K56" i="26"/>
  <c r="M56" i="26" s="1"/>
  <c r="AU56" i="26"/>
  <c r="AW56" i="26" s="1"/>
  <c r="DC56" i="26"/>
  <c r="DE56" i="26" s="1"/>
  <c r="CE57" i="26"/>
  <c r="CG57" i="26" s="1"/>
  <c r="BS59" i="26"/>
  <c r="BU59" i="26" s="1"/>
  <c r="CE59" i="26"/>
  <c r="CG59" i="26" s="1"/>
  <c r="K60" i="26"/>
  <c r="BG60" i="26"/>
  <c r="BI60" i="26" s="1"/>
  <c r="BS60" i="26"/>
  <c r="BU60" i="26" s="1"/>
  <c r="DC60" i="26"/>
  <c r="DE60" i="26" s="1"/>
  <c r="K61" i="26"/>
  <c r="M61" i="26" s="1"/>
  <c r="BS61" i="26"/>
  <c r="BU61" i="26" s="1"/>
  <c r="W62" i="26"/>
  <c r="Y62" i="26" s="1"/>
  <c r="CQ63" i="26"/>
  <c r="CS63" i="26" s="1"/>
  <c r="W64" i="26"/>
  <c r="Y64" i="26" s="1"/>
  <c r="CE64" i="26"/>
  <c r="CG64" i="26" s="1"/>
  <c r="K65" i="26"/>
  <c r="M65" i="26" s="1"/>
  <c r="BG65" i="26"/>
  <c r="BI65" i="26" s="1"/>
  <c r="DC65" i="26"/>
  <c r="DE65" i="26" s="1"/>
  <c r="BG66" i="26"/>
  <c r="BI66" i="26" s="1"/>
  <c r="CQ66" i="26"/>
  <c r="CS66" i="26" s="1"/>
  <c r="AU67" i="26"/>
  <c r="AW67" i="26" s="1"/>
  <c r="CE67" i="26"/>
  <c r="CG67" i="26" s="1"/>
  <c r="AI68" i="26"/>
  <c r="AK68" i="26" s="1"/>
  <c r="W69" i="26"/>
  <c r="Y69" i="26" s="1"/>
  <c r="BG69" i="26"/>
  <c r="AU70" i="26"/>
  <c r="AW70" i="26" s="1"/>
  <c r="CE70" i="26"/>
  <c r="CG70" i="26" s="1"/>
  <c r="AI71" i="26"/>
  <c r="AJ71" i="26" s="1"/>
  <c r="CE71" i="26"/>
  <c r="CG71" i="26" s="1"/>
  <c r="DC71" i="26"/>
  <c r="DE71" i="26" s="1"/>
  <c r="AK72" i="26"/>
  <c r="K74" i="26"/>
  <c r="L74" i="26" s="1"/>
  <c r="AU74" i="26"/>
  <c r="AV74" i="26" s="1"/>
  <c r="AI75" i="26"/>
  <c r="AK75" i="26" s="1"/>
  <c r="CE75" i="26"/>
  <c r="CF75" i="26" s="1"/>
  <c r="AI76" i="26"/>
  <c r="AJ76" i="26" s="1"/>
  <c r="DC76" i="26"/>
  <c r="DE76" i="26" s="1"/>
  <c r="AI37" i="26"/>
  <c r="AK37" i="26" s="1"/>
  <c r="BS37" i="26"/>
  <c r="BU37" i="26" s="1"/>
  <c r="AI39" i="26"/>
  <c r="AK39" i="26" s="1"/>
  <c r="BS39" i="26"/>
  <c r="BU39" i="26" s="1"/>
  <c r="CQ39" i="26"/>
  <c r="CS39" i="26" s="1"/>
  <c r="BS40" i="26"/>
  <c r="BU40" i="26" s="1"/>
  <c r="K41" i="26"/>
  <c r="M41" i="26" s="1"/>
  <c r="BG41" i="26"/>
  <c r="BI41" i="26" s="1"/>
  <c r="DC41" i="26"/>
  <c r="DE41" i="26" s="1"/>
  <c r="AU43" i="26"/>
  <c r="AW43" i="26" s="1"/>
  <c r="CQ43" i="26"/>
  <c r="CS43" i="26" s="1"/>
  <c r="AI45" i="26"/>
  <c r="AK45" i="26" s="1"/>
  <c r="CE45" i="26"/>
  <c r="CG45" i="26" s="1"/>
  <c r="DC46" i="26"/>
  <c r="DE46" i="26" s="1"/>
  <c r="AI47" i="26"/>
  <c r="AK47" i="26" s="1"/>
  <c r="AU48" i="26"/>
  <c r="AW48" i="26" s="1"/>
  <c r="AI50" i="26"/>
  <c r="AK50" i="26" s="1"/>
  <c r="BG51" i="26"/>
  <c r="BI51" i="26" s="1"/>
  <c r="W52" i="26"/>
  <c r="Y52" i="26" s="1"/>
  <c r="BG52" i="26"/>
  <c r="BI52" i="26" s="1"/>
  <c r="CE53" i="26"/>
  <c r="CG53" i="26" s="1"/>
  <c r="AU54" i="26"/>
  <c r="AW54" i="26" s="1"/>
  <c r="CE54" i="26"/>
  <c r="CG54" i="26" s="1"/>
  <c r="AI55" i="26"/>
  <c r="AK55" i="26" s="1"/>
  <c r="BS55" i="26"/>
  <c r="BU55" i="26" s="1"/>
  <c r="BS58" i="26"/>
  <c r="BU58" i="26" s="1"/>
  <c r="AU59" i="26"/>
  <c r="AW59" i="26" s="1"/>
  <c r="BG59" i="26"/>
  <c r="BI59" i="26" s="1"/>
  <c r="AI60" i="26"/>
  <c r="AK60" i="26" s="1"/>
  <c r="CE60" i="26"/>
  <c r="CG60" i="26" s="1"/>
  <c r="CQ60" i="26"/>
  <c r="CS60" i="26" s="1"/>
  <c r="CE61" i="26"/>
  <c r="CG61" i="26" s="1"/>
  <c r="K62" i="26"/>
  <c r="M62" i="26" s="1"/>
  <c r="CE63" i="26"/>
  <c r="CG63" i="26" s="1"/>
  <c r="DC63" i="26"/>
  <c r="DE63" i="26" s="1"/>
  <c r="AI64" i="26"/>
  <c r="AK64" i="26" s="1"/>
  <c r="BS64" i="26"/>
  <c r="BU64" i="26" s="1"/>
  <c r="AI65" i="26"/>
  <c r="AK65" i="26" s="1"/>
  <c r="CE65" i="26"/>
  <c r="CG65" i="26" s="1"/>
  <c r="K66" i="26"/>
  <c r="M66" i="26" s="1"/>
  <c r="AU66" i="26"/>
  <c r="DC66" i="26"/>
  <c r="DE66" i="26" s="1"/>
  <c r="AI67" i="26"/>
  <c r="AK67" i="26" s="1"/>
  <c r="CQ67" i="26"/>
  <c r="CS67" i="26" s="1"/>
  <c r="CE68" i="26"/>
  <c r="CG68" i="26" s="1"/>
  <c r="K69" i="26"/>
  <c r="M69" i="26" s="1"/>
  <c r="BS69" i="26"/>
  <c r="BU69" i="26" s="1"/>
  <c r="DC69" i="26"/>
  <c r="DE69" i="26" s="1"/>
  <c r="BG70" i="26"/>
  <c r="CQ71" i="26"/>
  <c r="CS71" i="26" s="1"/>
  <c r="W72" i="26"/>
  <c r="X72" i="26" s="1"/>
  <c r="BG72" i="26"/>
  <c r="BH72" i="26" s="1"/>
  <c r="BS73" i="26"/>
  <c r="BU73" i="26" s="1"/>
  <c r="CQ73" i="26"/>
  <c r="DC74" i="26"/>
  <c r="DE74" i="26" s="1"/>
  <c r="CQ76" i="26"/>
  <c r="CR76" i="26" s="1"/>
  <c r="BN6" i="26"/>
  <c r="BZ6" i="26"/>
  <c r="AP6" i="26"/>
  <c r="M17" i="22"/>
  <c r="CN78" i="26"/>
  <c r="CN77" i="26"/>
  <c r="CQ12" i="26"/>
  <c r="DE33" i="26"/>
  <c r="AH77" i="26"/>
  <c r="AH78" i="26"/>
  <c r="S77" i="26"/>
  <c r="S78" i="26"/>
  <c r="BO77" i="26"/>
  <c r="BO78" i="26"/>
  <c r="CD77" i="26"/>
  <c r="CD78" i="26"/>
  <c r="CL6" i="26"/>
  <c r="DK12" i="26"/>
  <c r="F6" i="26"/>
  <c r="V78" i="26"/>
  <c r="V77" i="26"/>
  <c r="AT78" i="26"/>
  <c r="AT77" i="26"/>
  <c r="BR78" i="26"/>
  <c r="BR77" i="26"/>
  <c r="BG39" i="26"/>
  <c r="J78" i="26"/>
  <c r="J77" i="26"/>
  <c r="AQ78" i="26"/>
  <c r="AQ77" i="26"/>
  <c r="BF78" i="26"/>
  <c r="BF77" i="26"/>
  <c r="CM78" i="26"/>
  <c r="CM77" i="26"/>
  <c r="DB78" i="26"/>
  <c r="DB77" i="26"/>
  <c r="DK13" i="26"/>
  <c r="AR12" i="26"/>
  <c r="BP12" i="26"/>
  <c r="BB6" i="26"/>
  <c r="CX6" i="26"/>
  <c r="G78" i="26"/>
  <c r="G77" i="26"/>
  <c r="AE78" i="26"/>
  <c r="AE77" i="26"/>
  <c r="BC78" i="26"/>
  <c r="BC77" i="26"/>
  <c r="CA78" i="26"/>
  <c r="CA77" i="26"/>
  <c r="CP78" i="26"/>
  <c r="CP77" i="26"/>
  <c r="CY78" i="26"/>
  <c r="CY77" i="26"/>
  <c r="R6" i="26"/>
  <c r="H12" i="26"/>
  <c r="AF12" i="26"/>
  <c r="BD12" i="26"/>
  <c r="CB12" i="26"/>
  <c r="CZ12" i="26"/>
  <c r="BS38" i="26"/>
  <c r="CQ40" i="26"/>
  <c r="W42" i="26"/>
  <c r="AU42" i="26"/>
  <c r="BS42" i="26"/>
  <c r="CQ42" i="26"/>
  <c r="W44" i="26"/>
  <c r="AU44" i="26"/>
  <c r="BS44" i="26"/>
  <c r="CQ44" i="26"/>
  <c r="W46" i="26"/>
  <c r="AU46" i="26"/>
  <c r="BS46" i="26"/>
  <c r="W47" i="26"/>
  <c r="BG48" i="26"/>
  <c r="BS49" i="26"/>
  <c r="W53" i="26"/>
  <c r="BS48" i="26"/>
  <c r="CQ50" i="26"/>
  <c r="K52" i="26"/>
  <c r="AI54" i="26"/>
  <c r="BG55" i="26"/>
  <c r="K57" i="26"/>
  <c r="DC57" i="26"/>
  <c r="CE47" i="26"/>
  <c r="K49" i="26"/>
  <c r="CQ49" i="26"/>
  <c r="AI51" i="26"/>
  <c r="AU53" i="26"/>
  <c r="K54" i="26"/>
  <c r="CE55" i="26"/>
  <c r="DE62" i="26"/>
  <c r="AI63" i="26"/>
  <c r="BG63" i="26"/>
  <c r="CF76" i="26"/>
  <c r="DC61" i="26"/>
  <c r="AU62" i="26"/>
  <c r="W68" i="26"/>
  <c r="BS68" i="26"/>
  <c r="W70" i="26"/>
  <c r="BS70" i="26"/>
  <c r="BS71" i="26"/>
  <c r="K73" i="26"/>
  <c r="BG73" i="26"/>
  <c r="DC73" i="26"/>
  <c r="W75" i="26"/>
  <c r="BS75" i="26"/>
  <c r="K75" i="26"/>
  <c r="BG75" i="26"/>
  <c r="DC75" i="26"/>
  <c r="BG71" i="26"/>
  <c r="AI73" i="26"/>
  <c r="CE73" i="26"/>
  <c r="AU75" i="26"/>
  <c r="CQ75" i="26"/>
  <c r="A70" i="21"/>
  <c r="B70" i="21"/>
  <c r="A71" i="21"/>
  <c r="B71" i="21"/>
  <c r="A72" i="21"/>
  <c r="B72" i="21"/>
  <c r="A73" i="21"/>
  <c r="B73" i="21"/>
  <c r="A74" i="21"/>
  <c r="B74" i="21"/>
  <c r="A75" i="21"/>
  <c r="B75" i="21"/>
  <c r="A76" i="21"/>
  <c r="B76" i="21"/>
  <c r="A13" i="21"/>
  <c r="B13" i="21"/>
  <c r="A14" i="21"/>
  <c r="B14" i="21"/>
  <c r="A15" i="21"/>
  <c r="B15" i="21"/>
  <c r="A16" i="21"/>
  <c r="B16" i="21"/>
  <c r="A17" i="21"/>
  <c r="B17" i="21"/>
  <c r="A18" i="21"/>
  <c r="B18" i="21"/>
  <c r="A19" i="21"/>
  <c r="B19" i="21"/>
  <c r="A20" i="21"/>
  <c r="B20" i="21"/>
  <c r="A21" i="21"/>
  <c r="B21" i="21"/>
  <c r="A22" i="21"/>
  <c r="B22" i="21"/>
  <c r="A23" i="21"/>
  <c r="B23" i="21"/>
  <c r="A24" i="21"/>
  <c r="B24" i="21"/>
  <c r="A25" i="21"/>
  <c r="B25" i="21"/>
  <c r="A26" i="21"/>
  <c r="B26" i="21"/>
  <c r="A27" i="21"/>
  <c r="B27" i="21"/>
  <c r="A28" i="21"/>
  <c r="B28" i="21"/>
  <c r="A29" i="21"/>
  <c r="B29" i="21"/>
  <c r="A30" i="21"/>
  <c r="B30" i="21"/>
  <c r="A31" i="21"/>
  <c r="B31" i="21"/>
  <c r="A32" i="21"/>
  <c r="B32" i="21"/>
  <c r="A33" i="21"/>
  <c r="B33" i="21"/>
  <c r="A34" i="21"/>
  <c r="B34" i="21"/>
  <c r="A35" i="21"/>
  <c r="B35" i="21"/>
  <c r="A36" i="21"/>
  <c r="B36" i="21"/>
  <c r="A37" i="21"/>
  <c r="B37" i="21"/>
  <c r="A38" i="21"/>
  <c r="B38" i="21"/>
  <c r="A39" i="21"/>
  <c r="B39" i="21"/>
  <c r="A40" i="21"/>
  <c r="B40" i="21"/>
  <c r="A41" i="21"/>
  <c r="B41" i="21"/>
  <c r="A42" i="21"/>
  <c r="B42" i="21"/>
  <c r="A43" i="21"/>
  <c r="B43" i="21"/>
  <c r="A44" i="21"/>
  <c r="B44" i="21"/>
  <c r="A45" i="21"/>
  <c r="B45" i="21"/>
  <c r="A46" i="21"/>
  <c r="B46" i="21"/>
  <c r="A47" i="21"/>
  <c r="B47" i="21"/>
  <c r="A48" i="21"/>
  <c r="B48" i="21"/>
  <c r="A49" i="21"/>
  <c r="B49" i="21"/>
  <c r="A50" i="21"/>
  <c r="B50" i="21"/>
  <c r="A51" i="21"/>
  <c r="B51" i="21"/>
  <c r="A52" i="21"/>
  <c r="B52" i="21"/>
  <c r="A53" i="21"/>
  <c r="B53" i="21"/>
  <c r="A54" i="21"/>
  <c r="B54" i="21"/>
  <c r="A55" i="21"/>
  <c r="B55" i="21"/>
  <c r="A56" i="21"/>
  <c r="B56" i="21"/>
  <c r="A57" i="21"/>
  <c r="B57" i="21"/>
  <c r="A58" i="21"/>
  <c r="B58" i="21"/>
  <c r="A59" i="21"/>
  <c r="B59" i="21"/>
  <c r="A60" i="21"/>
  <c r="B60" i="21"/>
  <c r="A61" i="21"/>
  <c r="B61" i="21"/>
  <c r="A62" i="21"/>
  <c r="B62" i="21"/>
  <c r="A63" i="21"/>
  <c r="B63" i="21"/>
  <c r="A64" i="21"/>
  <c r="B64" i="21"/>
  <c r="A65" i="21"/>
  <c r="B65" i="21"/>
  <c r="A66" i="21"/>
  <c r="B66" i="21"/>
  <c r="A67" i="21"/>
  <c r="B67" i="21"/>
  <c r="A68" i="21"/>
  <c r="B68" i="21"/>
  <c r="A69" i="21"/>
  <c r="B69" i="21"/>
  <c r="A12" i="21"/>
  <c r="J12" i="21"/>
  <c r="I77" i="21"/>
  <c r="I78" i="21"/>
  <c r="U78" i="21"/>
  <c r="AH13" i="21"/>
  <c r="AH14" i="21"/>
  <c r="AH15" i="21"/>
  <c r="AH16" i="21"/>
  <c r="AH17" i="21"/>
  <c r="AH18" i="21"/>
  <c r="AH19" i="21"/>
  <c r="AH20" i="21"/>
  <c r="AH21" i="21"/>
  <c r="AH22" i="21"/>
  <c r="AH23" i="21"/>
  <c r="AH24" i="21"/>
  <c r="AH25" i="21"/>
  <c r="AH26" i="21"/>
  <c r="AH27" i="21"/>
  <c r="AH28" i="21"/>
  <c r="AH29" i="21"/>
  <c r="AH30" i="21"/>
  <c r="AH31" i="21"/>
  <c r="AH32" i="21"/>
  <c r="AH33" i="21"/>
  <c r="AH34" i="21"/>
  <c r="AH35" i="21"/>
  <c r="AH36" i="21"/>
  <c r="AH37" i="21"/>
  <c r="AH38" i="21"/>
  <c r="AH39" i="21"/>
  <c r="AH40" i="21"/>
  <c r="AH41" i="21"/>
  <c r="AH42" i="21"/>
  <c r="AH43" i="21"/>
  <c r="AH44" i="21"/>
  <c r="AH45" i="21"/>
  <c r="AH46" i="21"/>
  <c r="AH47" i="21"/>
  <c r="AH48" i="21"/>
  <c r="AH49" i="21"/>
  <c r="AH50" i="21"/>
  <c r="AH51" i="21"/>
  <c r="AH52" i="21"/>
  <c r="AH53" i="21"/>
  <c r="AH54" i="21"/>
  <c r="AH55" i="21"/>
  <c r="AH56" i="21"/>
  <c r="AH57" i="21"/>
  <c r="AH58" i="21"/>
  <c r="AH59" i="21"/>
  <c r="AH60" i="21"/>
  <c r="AH61" i="21"/>
  <c r="AH62" i="21"/>
  <c r="AH63" i="21"/>
  <c r="AH64" i="21"/>
  <c r="AH65" i="21"/>
  <c r="AH66" i="21"/>
  <c r="AH67" i="21"/>
  <c r="AH68" i="21"/>
  <c r="AH69" i="21"/>
  <c r="AH70" i="21"/>
  <c r="AH71" i="21"/>
  <c r="AH72" i="21"/>
  <c r="AH73" i="21"/>
  <c r="AH74" i="21"/>
  <c r="AH75" i="21"/>
  <c r="AH76" i="21"/>
  <c r="AF13" i="21"/>
  <c r="AF14" i="21"/>
  <c r="AF15" i="21"/>
  <c r="AF16" i="21"/>
  <c r="AF17" i="21"/>
  <c r="AF18" i="21"/>
  <c r="AF19" i="21"/>
  <c r="AF20" i="21"/>
  <c r="AF21" i="21"/>
  <c r="AF22" i="21"/>
  <c r="AF23" i="21"/>
  <c r="AF24" i="21"/>
  <c r="AF25" i="21"/>
  <c r="AF26" i="21"/>
  <c r="AF27" i="21"/>
  <c r="AF28" i="21"/>
  <c r="AF29" i="21"/>
  <c r="AF30" i="21"/>
  <c r="AF31" i="21"/>
  <c r="AF32" i="21"/>
  <c r="AF33" i="21"/>
  <c r="AF34" i="21"/>
  <c r="AF35" i="21"/>
  <c r="AF36" i="21"/>
  <c r="AF37" i="21"/>
  <c r="AF38" i="21"/>
  <c r="AF39" i="21"/>
  <c r="AF40" i="21"/>
  <c r="AF41" i="21"/>
  <c r="AF42" i="21"/>
  <c r="AF43" i="21"/>
  <c r="AF44" i="21"/>
  <c r="AF45" i="21"/>
  <c r="AF46" i="21"/>
  <c r="AF47" i="21"/>
  <c r="AF48" i="21"/>
  <c r="AF49" i="21"/>
  <c r="AF50" i="21"/>
  <c r="AF51" i="21"/>
  <c r="AF52" i="21"/>
  <c r="AF53" i="21"/>
  <c r="AF54" i="21"/>
  <c r="AF55" i="21"/>
  <c r="AF56" i="21"/>
  <c r="AF57" i="21"/>
  <c r="AF58" i="21"/>
  <c r="AF59" i="21"/>
  <c r="AF60" i="21"/>
  <c r="AF61" i="21"/>
  <c r="AF62" i="21"/>
  <c r="AF63" i="21"/>
  <c r="AF64" i="21"/>
  <c r="AF65" i="21"/>
  <c r="AF66" i="21"/>
  <c r="AF67" i="21"/>
  <c r="AF68" i="21"/>
  <c r="AF69" i="21"/>
  <c r="AF70" i="21"/>
  <c r="AF71" i="21"/>
  <c r="AF72" i="21"/>
  <c r="AF73" i="21"/>
  <c r="AF74" i="21"/>
  <c r="AF75" i="21"/>
  <c r="AF76" i="21"/>
  <c r="AT13" i="21"/>
  <c r="AT14" i="21"/>
  <c r="AT15" i="21"/>
  <c r="AT16" i="21"/>
  <c r="AT17" i="21"/>
  <c r="AT18" i="21"/>
  <c r="AT19" i="21"/>
  <c r="AT20" i="21"/>
  <c r="AT21" i="21"/>
  <c r="AT22" i="21"/>
  <c r="AT23" i="21"/>
  <c r="AT24" i="21"/>
  <c r="AT25" i="21"/>
  <c r="AT26" i="21"/>
  <c r="AT27" i="21"/>
  <c r="AT28" i="21"/>
  <c r="AT29" i="21"/>
  <c r="AT30" i="21"/>
  <c r="AT31" i="21"/>
  <c r="AT32" i="21"/>
  <c r="AT33" i="21"/>
  <c r="AT34" i="21"/>
  <c r="AT35" i="21"/>
  <c r="AT36" i="21"/>
  <c r="AT37" i="21"/>
  <c r="AT38" i="21"/>
  <c r="AT39" i="21"/>
  <c r="AT40" i="21"/>
  <c r="AT41" i="21"/>
  <c r="AT42" i="21"/>
  <c r="AT43" i="21"/>
  <c r="AT44" i="21"/>
  <c r="AT45" i="21"/>
  <c r="AT46" i="21"/>
  <c r="AT47" i="21"/>
  <c r="AT48" i="21"/>
  <c r="AT49" i="21"/>
  <c r="AT50" i="21"/>
  <c r="AT51" i="21"/>
  <c r="AT52" i="21"/>
  <c r="AT53" i="21"/>
  <c r="AT54" i="21"/>
  <c r="AT55" i="21"/>
  <c r="AT56" i="21"/>
  <c r="AT57" i="21"/>
  <c r="AT58" i="21"/>
  <c r="AT59" i="21"/>
  <c r="AT60" i="21"/>
  <c r="AT61" i="21"/>
  <c r="AT62" i="21"/>
  <c r="AT63" i="21"/>
  <c r="AT64" i="21"/>
  <c r="AT65" i="21"/>
  <c r="AT66" i="21"/>
  <c r="AT67" i="21"/>
  <c r="AT68" i="21"/>
  <c r="AT69" i="21"/>
  <c r="AT70" i="21"/>
  <c r="AT71" i="21"/>
  <c r="AT72" i="21"/>
  <c r="AT73" i="21"/>
  <c r="AT74" i="21"/>
  <c r="AT75" i="21"/>
  <c r="AT76" i="21"/>
  <c r="AR13" i="21"/>
  <c r="AR14" i="21"/>
  <c r="AR15" i="21"/>
  <c r="AR16" i="21"/>
  <c r="AR17" i="21"/>
  <c r="AR18" i="21"/>
  <c r="AR19" i="21"/>
  <c r="AR20" i="21"/>
  <c r="AR21" i="21"/>
  <c r="AR22" i="21"/>
  <c r="AR23" i="21"/>
  <c r="AR24" i="21"/>
  <c r="AR25" i="21"/>
  <c r="AR26" i="21"/>
  <c r="AR27" i="21"/>
  <c r="AR28" i="21"/>
  <c r="AR29" i="21"/>
  <c r="AR30" i="21"/>
  <c r="AR31" i="21"/>
  <c r="AR32" i="21"/>
  <c r="AR33" i="21"/>
  <c r="AR34" i="21"/>
  <c r="AR35" i="21"/>
  <c r="AR36" i="21"/>
  <c r="AR37" i="21"/>
  <c r="AR38" i="21"/>
  <c r="AR39" i="21"/>
  <c r="AR40" i="21"/>
  <c r="AR41" i="21"/>
  <c r="AR42" i="21"/>
  <c r="AR43" i="21"/>
  <c r="AR44" i="21"/>
  <c r="AR45" i="21"/>
  <c r="AR46" i="21"/>
  <c r="AR47" i="21"/>
  <c r="AR48" i="21"/>
  <c r="AR49" i="21"/>
  <c r="AR50" i="21"/>
  <c r="AR51" i="21"/>
  <c r="AR52" i="21"/>
  <c r="AR53" i="21"/>
  <c r="AR54" i="21"/>
  <c r="AR55" i="21"/>
  <c r="AR56" i="21"/>
  <c r="AR57" i="21"/>
  <c r="AR58" i="21"/>
  <c r="AR59" i="21"/>
  <c r="AR60" i="21"/>
  <c r="AR61" i="21"/>
  <c r="AR62" i="21"/>
  <c r="AR63" i="21"/>
  <c r="AR64" i="21"/>
  <c r="AR65" i="21"/>
  <c r="AR66" i="21"/>
  <c r="AR67" i="21"/>
  <c r="AR68" i="21"/>
  <c r="AR69" i="21"/>
  <c r="AR70" i="21"/>
  <c r="AR71" i="21"/>
  <c r="AR72" i="21"/>
  <c r="AR73" i="21"/>
  <c r="AR74" i="21"/>
  <c r="AR75" i="21"/>
  <c r="AR76" i="21"/>
  <c r="BF13" i="21"/>
  <c r="BF14" i="21"/>
  <c r="BF15" i="21"/>
  <c r="BF16" i="21"/>
  <c r="BF17" i="21"/>
  <c r="BF18" i="21"/>
  <c r="BF19" i="21"/>
  <c r="BF20" i="21"/>
  <c r="BF21" i="21"/>
  <c r="BF22" i="21"/>
  <c r="BF23" i="21"/>
  <c r="BF24" i="21"/>
  <c r="BF25" i="21"/>
  <c r="BF26" i="21"/>
  <c r="BF27" i="21"/>
  <c r="BF28" i="21"/>
  <c r="BF29" i="21"/>
  <c r="BF30" i="21"/>
  <c r="BF31" i="21"/>
  <c r="BF32" i="21"/>
  <c r="BF33" i="21"/>
  <c r="BF34" i="21"/>
  <c r="BF35" i="21"/>
  <c r="BF36" i="21"/>
  <c r="BF37" i="21"/>
  <c r="BF38" i="21"/>
  <c r="BF39" i="21"/>
  <c r="BF40" i="21"/>
  <c r="BF41" i="21"/>
  <c r="BF42" i="21"/>
  <c r="BF43" i="21"/>
  <c r="BF44" i="21"/>
  <c r="BF45" i="21"/>
  <c r="BF46" i="21"/>
  <c r="BF47" i="21"/>
  <c r="BF48" i="21"/>
  <c r="BF49" i="21"/>
  <c r="BF50" i="21"/>
  <c r="BF51" i="21"/>
  <c r="BF52" i="21"/>
  <c r="BF53" i="21"/>
  <c r="BF54" i="21"/>
  <c r="BF55" i="21"/>
  <c r="BF56" i="21"/>
  <c r="BF57" i="21"/>
  <c r="BF58" i="21"/>
  <c r="BF59" i="21"/>
  <c r="BF60" i="21"/>
  <c r="BF61" i="21"/>
  <c r="BF62" i="21"/>
  <c r="BF63" i="21"/>
  <c r="BF64" i="21"/>
  <c r="BF65" i="21"/>
  <c r="BF66" i="21"/>
  <c r="BF67" i="21"/>
  <c r="BF68" i="21"/>
  <c r="BF69" i="21"/>
  <c r="BF70" i="21"/>
  <c r="BF71" i="21"/>
  <c r="BF72" i="21"/>
  <c r="BF73" i="21"/>
  <c r="BF74" i="21"/>
  <c r="BF75" i="21"/>
  <c r="BF76" i="21"/>
  <c r="BD13" i="21"/>
  <c r="BD14" i="21"/>
  <c r="BD15" i="21"/>
  <c r="BD16" i="21"/>
  <c r="BD17" i="21"/>
  <c r="BD18" i="21"/>
  <c r="BD19" i="21"/>
  <c r="BD20" i="21"/>
  <c r="BD21" i="21"/>
  <c r="BD22" i="21"/>
  <c r="BD23" i="21"/>
  <c r="BD24" i="21"/>
  <c r="BD25" i="21"/>
  <c r="BD26" i="21"/>
  <c r="BD27" i="21"/>
  <c r="BD28" i="21"/>
  <c r="BD29" i="21"/>
  <c r="BD30" i="21"/>
  <c r="BD31" i="21"/>
  <c r="BD32" i="21"/>
  <c r="BD33" i="21"/>
  <c r="BD34" i="21"/>
  <c r="BD35" i="21"/>
  <c r="BD36" i="21"/>
  <c r="BD37" i="21"/>
  <c r="BD38" i="21"/>
  <c r="BD39" i="21"/>
  <c r="BD40" i="21"/>
  <c r="BD41" i="21"/>
  <c r="BD42" i="21"/>
  <c r="BD43" i="21"/>
  <c r="BD44" i="21"/>
  <c r="BD45" i="21"/>
  <c r="BD46" i="21"/>
  <c r="BD47" i="21"/>
  <c r="BD48" i="21"/>
  <c r="BD49" i="21"/>
  <c r="BD50" i="21"/>
  <c r="BD51" i="21"/>
  <c r="BD52" i="21"/>
  <c r="BD53" i="21"/>
  <c r="BD54" i="21"/>
  <c r="BD55" i="21"/>
  <c r="BD56" i="21"/>
  <c r="BD57" i="21"/>
  <c r="BD58" i="21"/>
  <c r="BD59" i="21"/>
  <c r="BD60" i="21"/>
  <c r="BD61" i="21"/>
  <c r="BD62" i="21"/>
  <c r="BD63" i="21"/>
  <c r="BD64" i="21"/>
  <c r="BD65" i="21"/>
  <c r="BD66" i="21"/>
  <c r="BD67" i="21"/>
  <c r="BD68" i="21"/>
  <c r="BD69" i="21"/>
  <c r="BD70" i="21"/>
  <c r="BD71" i="21"/>
  <c r="BD72" i="21"/>
  <c r="BD73" i="21"/>
  <c r="BD74" i="21"/>
  <c r="BD75" i="21"/>
  <c r="BD76" i="21"/>
  <c r="BR13" i="21"/>
  <c r="BR14" i="21"/>
  <c r="BR15" i="21"/>
  <c r="BR16" i="21"/>
  <c r="BR17" i="21"/>
  <c r="BR18" i="21"/>
  <c r="BR19" i="21"/>
  <c r="BR20" i="21"/>
  <c r="BR21" i="21"/>
  <c r="BR22" i="21"/>
  <c r="BR23" i="21"/>
  <c r="BR24" i="21"/>
  <c r="BR25" i="21"/>
  <c r="BR26" i="21"/>
  <c r="BR27" i="21"/>
  <c r="BR28" i="21"/>
  <c r="BR29" i="21"/>
  <c r="BR30" i="21"/>
  <c r="BR31" i="21"/>
  <c r="BR32" i="21"/>
  <c r="BR33" i="21"/>
  <c r="BR34" i="21"/>
  <c r="BR35" i="21"/>
  <c r="BR36" i="21"/>
  <c r="BR37" i="21"/>
  <c r="BR38" i="21"/>
  <c r="BR39" i="21"/>
  <c r="BR40" i="21"/>
  <c r="BR41" i="21"/>
  <c r="BR42" i="21"/>
  <c r="BR43" i="21"/>
  <c r="BR44" i="21"/>
  <c r="BR45" i="21"/>
  <c r="BR46" i="21"/>
  <c r="BR47" i="21"/>
  <c r="BR48" i="21"/>
  <c r="BR49" i="21"/>
  <c r="BR50" i="21"/>
  <c r="BR51" i="21"/>
  <c r="BR52" i="21"/>
  <c r="BR53" i="21"/>
  <c r="BR54" i="21"/>
  <c r="BR55" i="21"/>
  <c r="BR56" i="21"/>
  <c r="BR57" i="21"/>
  <c r="BR58" i="21"/>
  <c r="BR59" i="21"/>
  <c r="BR60" i="21"/>
  <c r="BR61" i="21"/>
  <c r="BR62" i="21"/>
  <c r="BR63" i="21"/>
  <c r="BR64" i="21"/>
  <c r="BR65" i="21"/>
  <c r="BR66" i="21"/>
  <c r="BR67" i="21"/>
  <c r="BR68" i="21"/>
  <c r="BR69" i="21"/>
  <c r="BR70" i="21"/>
  <c r="BR71" i="21"/>
  <c r="BR72" i="21"/>
  <c r="BR73" i="21"/>
  <c r="BR74" i="21"/>
  <c r="BR75" i="21"/>
  <c r="BR76" i="21"/>
  <c r="BP13" i="21"/>
  <c r="BP14" i="21"/>
  <c r="BP15" i="21"/>
  <c r="BP16" i="21"/>
  <c r="BP17" i="21"/>
  <c r="BP18" i="21"/>
  <c r="BP19" i="21"/>
  <c r="BP20" i="21"/>
  <c r="BP21" i="21"/>
  <c r="BP22" i="21"/>
  <c r="BP23" i="21"/>
  <c r="BP24" i="21"/>
  <c r="BP25" i="21"/>
  <c r="BP26" i="21"/>
  <c r="BP27" i="21"/>
  <c r="BP28" i="21"/>
  <c r="BP29" i="21"/>
  <c r="BP30" i="21"/>
  <c r="BP31" i="21"/>
  <c r="BP32" i="21"/>
  <c r="BP33" i="21"/>
  <c r="BP34" i="21"/>
  <c r="BP35" i="21"/>
  <c r="BP36" i="21"/>
  <c r="BP37" i="21"/>
  <c r="BP38" i="21"/>
  <c r="BP39" i="21"/>
  <c r="BP40" i="21"/>
  <c r="BP41" i="21"/>
  <c r="BP42" i="21"/>
  <c r="BP43" i="21"/>
  <c r="BP44" i="21"/>
  <c r="BP45" i="21"/>
  <c r="BP46" i="21"/>
  <c r="BP47" i="21"/>
  <c r="BP48" i="21"/>
  <c r="BP49" i="21"/>
  <c r="BP50" i="21"/>
  <c r="BP51" i="21"/>
  <c r="BP52" i="21"/>
  <c r="BP53" i="21"/>
  <c r="BP54" i="21"/>
  <c r="BP55" i="21"/>
  <c r="BP56" i="21"/>
  <c r="BP57" i="21"/>
  <c r="BP58" i="21"/>
  <c r="BP59" i="21"/>
  <c r="BP60" i="21"/>
  <c r="BP61" i="21"/>
  <c r="BP62" i="21"/>
  <c r="BP63" i="21"/>
  <c r="BP64" i="21"/>
  <c r="BP65" i="21"/>
  <c r="BP66" i="21"/>
  <c r="BP67" i="21"/>
  <c r="BP68" i="21"/>
  <c r="BP69" i="21"/>
  <c r="BP70" i="21"/>
  <c r="BP71" i="21"/>
  <c r="BP72" i="21"/>
  <c r="BP73" i="21"/>
  <c r="BP74" i="21"/>
  <c r="BP75" i="21"/>
  <c r="BP76" i="21"/>
  <c r="CD13" i="21"/>
  <c r="CD14" i="21"/>
  <c r="CD15" i="21"/>
  <c r="CD16" i="21"/>
  <c r="CD17" i="21"/>
  <c r="CD18" i="21"/>
  <c r="CD19" i="21"/>
  <c r="CD20" i="21"/>
  <c r="CD21" i="21"/>
  <c r="CD22" i="21"/>
  <c r="CD23" i="21"/>
  <c r="CD24" i="21"/>
  <c r="CD25" i="21"/>
  <c r="CD26" i="21"/>
  <c r="CD27" i="21"/>
  <c r="CD28" i="21"/>
  <c r="CD29" i="21"/>
  <c r="CD30" i="21"/>
  <c r="CD31" i="21"/>
  <c r="CD32" i="21"/>
  <c r="CD33" i="21"/>
  <c r="CD34" i="21"/>
  <c r="CD35" i="21"/>
  <c r="CD36" i="21"/>
  <c r="CD37" i="21"/>
  <c r="CD38" i="21"/>
  <c r="CD39" i="21"/>
  <c r="CD40" i="21"/>
  <c r="CD41" i="21"/>
  <c r="CD42" i="21"/>
  <c r="CD43" i="21"/>
  <c r="CD44" i="21"/>
  <c r="CD45" i="21"/>
  <c r="CD46" i="21"/>
  <c r="CD47" i="21"/>
  <c r="CD48" i="21"/>
  <c r="CD49" i="21"/>
  <c r="CD50" i="21"/>
  <c r="CD51" i="21"/>
  <c r="CD52" i="21"/>
  <c r="CD53" i="21"/>
  <c r="CD54" i="21"/>
  <c r="CD55" i="21"/>
  <c r="CD56" i="21"/>
  <c r="CD57" i="21"/>
  <c r="CD58" i="21"/>
  <c r="CD59" i="21"/>
  <c r="CD60" i="21"/>
  <c r="CD61" i="21"/>
  <c r="CD62" i="21"/>
  <c r="CD63" i="21"/>
  <c r="CD64" i="21"/>
  <c r="CD65" i="21"/>
  <c r="CD66" i="21"/>
  <c r="CD67" i="21"/>
  <c r="CD68" i="21"/>
  <c r="CD69" i="21"/>
  <c r="CD70" i="21"/>
  <c r="CD71" i="21"/>
  <c r="CD72" i="21"/>
  <c r="CD73" i="21"/>
  <c r="CD74" i="21"/>
  <c r="CD75" i="21"/>
  <c r="CD76" i="21"/>
  <c r="CB13" i="21"/>
  <c r="CB14" i="21"/>
  <c r="CB15" i="21"/>
  <c r="CB16" i="21"/>
  <c r="CB17" i="21"/>
  <c r="CB18" i="21"/>
  <c r="CB19" i="21"/>
  <c r="CB20" i="21"/>
  <c r="CB21" i="21"/>
  <c r="CB22" i="21"/>
  <c r="CB23" i="21"/>
  <c r="CB24" i="21"/>
  <c r="CB25" i="21"/>
  <c r="CB26" i="21"/>
  <c r="CB27" i="21"/>
  <c r="CB28" i="21"/>
  <c r="CB29" i="21"/>
  <c r="CB30" i="21"/>
  <c r="CB31" i="21"/>
  <c r="CB32" i="21"/>
  <c r="CB33" i="21"/>
  <c r="CB34" i="21"/>
  <c r="CB35" i="21"/>
  <c r="CB36" i="21"/>
  <c r="CB37" i="21"/>
  <c r="CB38" i="21"/>
  <c r="CB39" i="21"/>
  <c r="CB40" i="21"/>
  <c r="CB41" i="21"/>
  <c r="CB42" i="21"/>
  <c r="CB43" i="21"/>
  <c r="CB44" i="21"/>
  <c r="CB45" i="21"/>
  <c r="CB46" i="21"/>
  <c r="CB47" i="21"/>
  <c r="CB48" i="21"/>
  <c r="CB49" i="21"/>
  <c r="CB50" i="21"/>
  <c r="CB51" i="21"/>
  <c r="CB52" i="21"/>
  <c r="CB53" i="21"/>
  <c r="CB54" i="21"/>
  <c r="CB55" i="21"/>
  <c r="CB56" i="21"/>
  <c r="CB57" i="21"/>
  <c r="CB58" i="21"/>
  <c r="CB59" i="21"/>
  <c r="CB60" i="21"/>
  <c r="CB61" i="21"/>
  <c r="CB62" i="21"/>
  <c r="CB63" i="21"/>
  <c r="CB64" i="21"/>
  <c r="CB65" i="21"/>
  <c r="CB66" i="21"/>
  <c r="CB67" i="21"/>
  <c r="CB68" i="21"/>
  <c r="CB69" i="21"/>
  <c r="CB70" i="21"/>
  <c r="CB71" i="21"/>
  <c r="CB72" i="21"/>
  <c r="CB73" i="21"/>
  <c r="CB74" i="21"/>
  <c r="CB75" i="21"/>
  <c r="CB76" i="21"/>
  <c r="CP16" i="21"/>
  <c r="CP17" i="21"/>
  <c r="CP18" i="21"/>
  <c r="CP19" i="21"/>
  <c r="CP20" i="21"/>
  <c r="CP21" i="21"/>
  <c r="CP22" i="21"/>
  <c r="CP23" i="21"/>
  <c r="CP24" i="21"/>
  <c r="CP25" i="21"/>
  <c r="CP26" i="21"/>
  <c r="CP27" i="21"/>
  <c r="CP28" i="21"/>
  <c r="CP29" i="21"/>
  <c r="CP30" i="21"/>
  <c r="CP31" i="21"/>
  <c r="CP32" i="21"/>
  <c r="CP33" i="21"/>
  <c r="CP34" i="21"/>
  <c r="CP35" i="21"/>
  <c r="CP36" i="21"/>
  <c r="CP37" i="21"/>
  <c r="CP38" i="21"/>
  <c r="CP39" i="21"/>
  <c r="CP40" i="21"/>
  <c r="CP41" i="21"/>
  <c r="CP42" i="21"/>
  <c r="CP43" i="21"/>
  <c r="CP44" i="21"/>
  <c r="CP45" i="21"/>
  <c r="CP46" i="21"/>
  <c r="CP47" i="21"/>
  <c r="CP48" i="21"/>
  <c r="CP49" i="21"/>
  <c r="CP50" i="21"/>
  <c r="CP51" i="21"/>
  <c r="CP52" i="21"/>
  <c r="CP53" i="21"/>
  <c r="CP54" i="21"/>
  <c r="CP55" i="21"/>
  <c r="CP56" i="21"/>
  <c r="CP57" i="21"/>
  <c r="CP58" i="21"/>
  <c r="CP59" i="21"/>
  <c r="CP60" i="21"/>
  <c r="CP61" i="21"/>
  <c r="CP62" i="21"/>
  <c r="CP63" i="21"/>
  <c r="CP64" i="21"/>
  <c r="CP65" i="21"/>
  <c r="CP66" i="21"/>
  <c r="CP67" i="21"/>
  <c r="CP68" i="21"/>
  <c r="CP69" i="21"/>
  <c r="CP70" i="21"/>
  <c r="CP71" i="21"/>
  <c r="CP72" i="21"/>
  <c r="CP73" i="21"/>
  <c r="CP74" i="21"/>
  <c r="CP75" i="21"/>
  <c r="CP76" i="21"/>
  <c r="CP13" i="21"/>
  <c r="CP14" i="21"/>
  <c r="CP15" i="21"/>
  <c r="CN13" i="21"/>
  <c r="CN14" i="21"/>
  <c r="CN15" i="21"/>
  <c r="CN16" i="21"/>
  <c r="CN17" i="21"/>
  <c r="CN18" i="21"/>
  <c r="CN19" i="21"/>
  <c r="CN20" i="21"/>
  <c r="CN21" i="21"/>
  <c r="CN22" i="21"/>
  <c r="CN23" i="21"/>
  <c r="CN24" i="21"/>
  <c r="CN25" i="21"/>
  <c r="CN26" i="21"/>
  <c r="CN27" i="21"/>
  <c r="CN28" i="21"/>
  <c r="CN29" i="21"/>
  <c r="CN30" i="21"/>
  <c r="CN31" i="21"/>
  <c r="CN32" i="21"/>
  <c r="CN33" i="21"/>
  <c r="CN34" i="21"/>
  <c r="CN35" i="21"/>
  <c r="CN36" i="21"/>
  <c r="CN37" i="21"/>
  <c r="CN38" i="21"/>
  <c r="CN39" i="21"/>
  <c r="CN40" i="21"/>
  <c r="CN41" i="21"/>
  <c r="CN42" i="21"/>
  <c r="CN43" i="21"/>
  <c r="CN44" i="21"/>
  <c r="CN45" i="21"/>
  <c r="CN46" i="21"/>
  <c r="CN47" i="21"/>
  <c r="CN48" i="21"/>
  <c r="CN49" i="21"/>
  <c r="CN50" i="21"/>
  <c r="CN51" i="21"/>
  <c r="CN52" i="21"/>
  <c r="CN53" i="21"/>
  <c r="CN54" i="21"/>
  <c r="CN55" i="21"/>
  <c r="CN56" i="21"/>
  <c r="CN57" i="21"/>
  <c r="CN58" i="21"/>
  <c r="CN59" i="21"/>
  <c r="CN60" i="21"/>
  <c r="CN61" i="21"/>
  <c r="CN62" i="21"/>
  <c r="CN63" i="21"/>
  <c r="CN64" i="21"/>
  <c r="CN65" i="21"/>
  <c r="CN66" i="21"/>
  <c r="CN67" i="21"/>
  <c r="CN68" i="21"/>
  <c r="CN69" i="21"/>
  <c r="CN70" i="21"/>
  <c r="CN71" i="21"/>
  <c r="CN72" i="21"/>
  <c r="CN73" i="21"/>
  <c r="CN74" i="21"/>
  <c r="CN75" i="21"/>
  <c r="CN76" i="21"/>
  <c r="DB13" i="21"/>
  <c r="DB14" i="21"/>
  <c r="DB15" i="21"/>
  <c r="DB16" i="21"/>
  <c r="DB17" i="21"/>
  <c r="DB18" i="21"/>
  <c r="DB19" i="21"/>
  <c r="DB20" i="21"/>
  <c r="DB21" i="21"/>
  <c r="DB22" i="21"/>
  <c r="DB23" i="21"/>
  <c r="DB24" i="21"/>
  <c r="DB25" i="21"/>
  <c r="DB26" i="21"/>
  <c r="DB27" i="21"/>
  <c r="DB28" i="21"/>
  <c r="DB29" i="21"/>
  <c r="DB30" i="21"/>
  <c r="DB31" i="21"/>
  <c r="DB32" i="21"/>
  <c r="DB33" i="21"/>
  <c r="DB34" i="21"/>
  <c r="DB35" i="21"/>
  <c r="DB36" i="21"/>
  <c r="DB37" i="21"/>
  <c r="DB38" i="21"/>
  <c r="DB39" i="21"/>
  <c r="DB40" i="21"/>
  <c r="DB41" i="21"/>
  <c r="DB42" i="21"/>
  <c r="DB43" i="21"/>
  <c r="DB44" i="21"/>
  <c r="DB45" i="21"/>
  <c r="DB46" i="21"/>
  <c r="DB47" i="21"/>
  <c r="DB48" i="21"/>
  <c r="DB49" i="21"/>
  <c r="DB50" i="21"/>
  <c r="DB51" i="21"/>
  <c r="DB52" i="21"/>
  <c r="DB53" i="21"/>
  <c r="DB54" i="21"/>
  <c r="DB55" i="21"/>
  <c r="DB56" i="21"/>
  <c r="DB57" i="21"/>
  <c r="DB58" i="21"/>
  <c r="DB59" i="21"/>
  <c r="DB60" i="21"/>
  <c r="DB61" i="21"/>
  <c r="DB62" i="21"/>
  <c r="DB63" i="21"/>
  <c r="DB64" i="21"/>
  <c r="DB65" i="21"/>
  <c r="DB66" i="21"/>
  <c r="DB67" i="21"/>
  <c r="DB68" i="21"/>
  <c r="DB69" i="21"/>
  <c r="DB70" i="21"/>
  <c r="DB71" i="21"/>
  <c r="DB72" i="21"/>
  <c r="DB73" i="21"/>
  <c r="DB74" i="21"/>
  <c r="DB75" i="21"/>
  <c r="DB76" i="21"/>
  <c r="CZ13" i="21"/>
  <c r="CZ14" i="21"/>
  <c r="CZ15" i="21"/>
  <c r="CZ16" i="21"/>
  <c r="CZ17" i="21"/>
  <c r="CZ18" i="21"/>
  <c r="CZ19" i="21"/>
  <c r="CZ20" i="21"/>
  <c r="CZ21" i="21"/>
  <c r="CZ22" i="21"/>
  <c r="CZ23" i="21"/>
  <c r="CZ24" i="21"/>
  <c r="CZ25" i="21"/>
  <c r="CZ26" i="21"/>
  <c r="CZ27" i="21"/>
  <c r="CZ28" i="21"/>
  <c r="CZ29" i="21"/>
  <c r="CZ30" i="21"/>
  <c r="CZ31" i="21"/>
  <c r="CZ32" i="21"/>
  <c r="CZ33" i="21"/>
  <c r="CZ34" i="21"/>
  <c r="CZ35" i="21"/>
  <c r="CZ36" i="21"/>
  <c r="CZ37" i="21"/>
  <c r="CZ38" i="21"/>
  <c r="CZ39" i="21"/>
  <c r="CZ40" i="21"/>
  <c r="CZ41" i="21"/>
  <c r="CZ42" i="21"/>
  <c r="CZ43" i="21"/>
  <c r="CZ44" i="21"/>
  <c r="CZ45" i="21"/>
  <c r="CZ46" i="21"/>
  <c r="CZ47" i="21"/>
  <c r="CZ48" i="21"/>
  <c r="CZ49" i="21"/>
  <c r="CZ50" i="21"/>
  <c r="CZ51" i="21"/>
  <c r="CZ52" i="21"/>
  <c r="CZ53" i="21"/>
  <c r="CZ54" i="21"/>
  <c r="CZ55" i="21"/>
  <c r="CZ56" i="21"/>
  <c r="CZ57" i="21"/>
  <c r="CZ58" i="21"/>
  <c r="CZ59" i="21"/>
  <c r="CZ60" i="21"/>
  <c r="CZ61" i="21"/>
  <c r="CZ62" i="21"/>
  <c r="CZ63" i="21"/>
  <c r="CZ64" i="21"/>
  <c r="CZ65" i="21"/>
  <c r="CZ66" i="21"/>
  <c r="CZ67" i="21"/>
  <c r="CZ68" i="21"/>
  <c r="CZ69" i="21"/>
  <c r="CZ70" i="21"/>
  <c r="CZ71" i="21"/>
  <c r="CZ72" i="21"/>
  <c r="CZ73" i="21"/>
  <c r="CZ74" i="21"/>
  <c r="CZ75" i="21"/>
  <c r="CZ76" i="21"/>
  <c r="DB12" i="21"/>
  <c r="CY12" i="21"/>
  <c r="CZ12" i="21" s="1"/>
  <c r="DC8" i="21"/>
  <c r="DB8" i="21"/>
  <c r="DA8" i="21"/>
  <c r="CZ8" i="21"/>
  <c r="CY8" i="21"/>
  <c r="CX8" i="21"/>
  <c r="CW8" i="21"/>
  <c r="CV8" i="21"/>
  <c r="CU8" i="21"/>
  <c r="CP12" i="21"/>
  <c r="CM12" i="21"/>
  <c r="CN12" i="21" s="1"/>
  <c r="CQ8" i="21"/>
  <c r="CP8" i="21"/>
  <c r="CO8" i="21"/>
  <c r="CN8" i="21"/>
  <c r="CM8" i="21"/>
  <c r="CL8" i="21"/>
  <c r="CK8" i="21"/>
  <c r="CJ8" i="21"/>
  <c r="CI8" i="21"/>
  <c r="CD12" i="21"/>
  <c r="CA12" i="21"/>
  <c r="CB12" i="21" s="1"/>
  <c r="CE8" i="21"/>
  <c r="CD8" i="21"/>
  <c r="CC8" i="21"/>
  <c r="CB8" i="21"/>
  <c r="CA8" i="21"/>
  <c r="BZ8" i="21"/>
  <c r="BY8" i="21"/>
  <c r="BX8" i="21"/>
  <c r="BW8" i="21"/>
  <c r="BR12" i="21"/>
  <c r="BO12" i="21"/>
  <c r="BP12" i="21" s="1"/>
  <c r="BS8" i="21"/>
  <c r="BR8" i="21"/>
  <c r="BQ8" i="21"/>
  <c r="BP8" i="21"/>
  <c r="BO8" i="21"/>
  <c r="BN8" i="21"/>
  <c r="BM8" i="21"/>
  <c r="BL8" i="21"/>
  <c r="BK8" i="21"/>
  <c r="BF12" i="21"/>
  <c r="BC12" i="21"/>
  <c r="BD12" i="21" s="1"/>
  <c r="BG8" i="21"/>
  <c r="BF8" i="21"/>
  <c r="BE8" i="21"/>
  <c r="BD8" i="21"/>
  <c r="BC8" i="21"/>
  <c r="BB8" i="21"/>
  <c r="BA8" i="21"/>
  <c r="AZ8" i="21"/>
  <c r="AY8" i="21"/>
  <c r="AT12" i="21"/>
  <c r="AQ12" i="21"/>
  <c r="AR12" i="21" s="1"/>
  <c r="AU8" i="21"/>
  <c r="AT8" i="21"/>
  <c r="AS8" i="21"/>
  <c r="AR8" i="21"/>
  <c r="AQ8" i="21"/>
  <c r="AP8" i="21"/>
  <c r="AO8" i="21"/>
  <c r="AN8" i="21"/>
  <c r="AM8" i="21"/>
  <c r="AF8" i="21"/>
  <c r="V8" i="21"/>
  <c r="T8" i="21"/>
  <c r="H8" i="21"/>
  <c r="AH12" i="21"/>
  <c r="AE12" i="21"/>
  <c r="AF12" i="21" s="1"/>
  <c r="AI8" i="21"/>
  <c r="AH8" i="21"/>
  <c r="AG8" i="21"/>
  <c r="AE8" i="21"/>
  <c r="AD8" i="21"/>
  <c r="AC8" i="21"/>
  <c r="AB8" i="21"/>
  <c r="AA8" i="21"/>
  <c r="C8" i="21"/>
  <c r="V13" i="21"/>
  <c r="V14" i="21"/>
  <c r="V15" i="21"/>
  <c r="V16" i="21"/>
  <c r="V17" i="21"/>
  <c r="V18" i="21"/>
  <c r="V19" i="21"/>
  <c r="V20" i="21"/>
  <c r="V21" i="21"/>
  <c r="V22" i="21"/>
  <c r="V23" i="21"/>
  <c r="V24" i="21"/>
  <c r="V25" i="21"/>
  <c r="V26" i="21"/>
  <c r="V27" i="21"/>
  <c r="V28" i="21"/>
  <c r="V29" i="21"/>
  <c r="V30" i="21"/>
  <c r="V31" i="21"/>
  <c r="V32" i="21"/>
  <c r="V33" i="21"/>
  <c r="V34" i="21"/>
  <c r="V35" i="21"/>
  <c r="V36" i="21"/>
  <c r="V37" i="21"/>
  <c r="V38" i="21"/>
  <c r="V39" i="21"/>
  <c r="V40" i="21"/>
  <c r="V41" i="21"/>
  <c r="V42" i="21"/>
  <c r="V43" i="21"/>
  <c r="V44" i="21"/>
  <c r="V45" i="21"/>
  <c r="V46" i="21"/>
  <c r="V47" i="21"/>
  <c r="V48" i="21"/>
  <c r="V49" i="21"/>
  <c r="V50" i="21"/>
  <c r="V51" i="21"/>
  <c r="V52" i="21"/>
  <c r="V53" i="21"/>
  <c r="V54" i="21"/>
  <c r="V55" i="21"/>
  <c r="V56" i="21"/>
  <c r="V57" i="21"/>
  <c r="V58" i="21"/>
  <c r="V59" i="21"/>
  <c r="V60" i="21"/>
  <c r="V61" i="21"/>
  <c r="V62" i="21"/>
  <c r="V63" i="21"/>
  <c r="V64" i="21"/>
  <c r="V65" i="21"/>
  <c r="V66" i="21"/>
  <c r="V67" i="21"/>
  <c r="V68" i="21"/>
  <c r="V69" i="21"/>
  <c r="V70" i="21"/>
  <c r="V71" i="21"/>
  <c r="V72" i="21"/>
  <c r="V73" i="21"/>
  <c r="V74" i="21"/>
  <c r="V75" i="21"/>
  <c r="V76" i="21"/>
  <c r="V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J13" i="21"/>
  <c r="J14" i="21"/>
  <c r="J15" i="21"/>
  <c r="J16" i="21"/>
  <c r="J17" i="21"/>
  <c r="J18" i="21"/>
  <c r="J19" i="21"/>
  <c r="J20" i="21"/>
  <c r="J21" i="21"/>
  <c r="J22" i="21"/>
  <c r="J23" i="21"/>
  <c r="J24" i="21"/>
  <c r="J25" i="21"/>
  <c r="J26" i="21"/>
  <c r="J27" i="21"/>
  <c r="J28" i="21"/>
  <c r="J29" i="21"/>
  <c r="J30" i="21"/>
  <c r="J31" i="21"/>
  <c r="J32" i="21"/>
  <c r="J33" i="21"/>
  <c r="J34" i="21"/>
  <c r="J35" i="21"/>
  <c r="J36" i="21"/>
  <c r="J37" i="21"/>
  <c r="J38" i="21"/>
  <c r="J39" i="21"/>
  <c r="J40" i="21"/>
  <c r="J41" i="21"/>
  <c r="J42" i="21"/>
  <c r="J43" i="21"/>
  <c r="J44" i="21"/>
  <c r="J45" i="21"/>
  <c r="J46" i="21"/>
  <c r="J47" i="21"/>
  <c r="J48" i="21"/>
  <c r="J49" i="21"/>
  <c r="J50" i="21"/>
  <c r="J51" i="21"/>
  <c r="J52" i="21"/>
  <c r="J53" i="21"/>
  <c r="J54" i="21"/>
  <c r="J55" i="21"/>
  <c r="J56" i="21"/>
  <c r="J57" i="21"/>
  <c r="J58" i="21"/>
  <c r="J59" i="21"/>
  <c r="J60" i="21"/>
  <c r="J61" i="21"/>
  <c r="J62" i="21"/>
  <c r="J63" i="21"/>
  <c r="J64" i="21"/>
  <c r="J65" i="21"/>
  <c r="J66" i="21"/>
  <c r="J67" i="21"/>
  <c r="J68" i="21"/>
  <c r="J69" i="21"/>
  <c r="J70" i="21"/>
  <c r="J71" i="21"/>
  <c r="J72" i="21"/>
  <c r="J73" i="21"/>
  <c r="J74" i="21"/>
  <c r="J75" i="21"/>
  <c r="J76" i="21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27" i="21"/>
  <c r="H28" i="21"/>
  <c r="H29" i="21"/>
  <c r="H30" i="21"/>
  <c r="H31" i="21"/>
  <c r="H32" i="21"/>
  <c r="H33" i="21"/>
  <c r="H34" i="21"/>
  <c r="H35" i="21"/>
  <c r="H36" i="21"/>
  <c r="H37" i="21"/>
  <c r="H38" i="21"/>
  <c r="H39" i="21"/>
  <c r="H40" i="21"/>
  <c r="H41" i="21"/>
  <c r="H42" i="21"/>
  <c r="H43" i="21"/>
  <c r="H44" i="21"/>
  <c r="H45" i="21"/>
  <c r="H46" i="21"/>
  <c r="H47" i="21"/>
  <c r="H48" i="21"/>
  <c r="H49" i="21"/>
  <c r="H50" i="21"/>
  <c r="H51" i="21"/>
  <c r="H52" i="21"/>
  <c r="H53" i="21"/>
  <c r="H54" i="21"/>
  <c r="H55" i="21"/>
  <c r="H56" i="21"/>
  <c r="H57" i="21"/>
  <c r="H58" i="21"/>
  <c r="H59" i="21"/>
  <c r="H60" i="21"/>
  <c r="H61" i="21"/>
  <c r="H62" i="21"/>
  <c r="H63" i="21"/>
  <c r="H64" i="21"/>
  <c r="H65" i="21"/>
  <c r="H66" i="21"/>
  <c r="H67" i="21"/>
  <c r="H68" i="21"/>
  <c r="H69" i="21"/>
  <c r="H70" i="21"/>
  <c r="H71" i="21"/>
  <c r="H72" i="21"/>
  <c r="H73" i="21"/>
  <c r="H74" i="21"/>
  <c r="H75" i="21"/>
  <c r="H76" i="21"/>
  <c r="S8" i="21"/>
  <c r="G8" i="21"/>
  <c r="W8" i="21"/>
  <c r="U8" i="21"/>
  <c r="R8" i="21"/>
  <c r="Q8" i="21"/>
  <c r="P8" i="21"/>
  <c r="O8" i="21"/>
  <c r="G12" i="21"/>
  <c r="H12" i="21" s="1"/>
  <c r="K8" i="21"/>
  <c r="F8" i="21"/>
  <c r="J8" i="21"/>
  <c r="I8" i="21"/>
  <c r="E8" i="21"/>
  <c r="D8" i="21"/>
  <c r="CX5" i="21"/>
  <c r="CX3" i="21"/>
  <c r="CX4" i="21"/>
  <c r="CL5" i="21"/>
  <c r="CL3" i="21"/>
  <c r="CL4" i="21"/>
  <c r="BZ5" i="21"/>
  <c r="BZ3" i="21"/>
  <c r="BZ4" i="21"/>
  <c r="BN5" i="21"/>
  <c r="BN3" i="21"/>
  <c r="BN4" i="21"/>
  <c r="BB5" i="21"/>
  <c r="BB3" i="21"/>
  <c r="BB4" i="21"/>
  <c r="AP5" i="21"/>
  <c r="AP3" i="21"/>
  <c r="AD5" i="21"/>
  <c r="AD3" i="21"/>
  <c r="AD4" i="21"/>
  <c r="R5" i="21"/>
  <c r="R3" i="21"/>
  <c r="R4" i="21"/>
  <c r="F3" i="21"/>
  <c r="F5" i="21"/>
  <c r="F4" i="21"/>
  <c r="L3" i="21"/>
  <c r="DD4" i="21"/>
  <c r="CR4" i="21"/>
  <c r="CF4" i="21"/>
  <c r="BT4" i="21"/>
  <c r="BH4" i="21"/>
  <c r="AV4" i="21"/>
  <c r="AJ4" i="21"/>
  <c r="X4" i="21"/>
  <c r="L4" i="21"/>
  <c r="DD3" i="21"/>
  <c r="CR3" i="21"/>
  <c r="CF3" i="21"/>
  <c r="BT3" i="21"/>
  <c r="BH3" i="21"/>
  <c r="AV3" i="21"/>
  <c r="AJ3" i="21"/>
  <c r="X3" i="21"/>
  <c r="CS74" i="26" l="1"/>
  <c r="Y74" i="26"/>
  <c r="AV71" i="26"/>
  <c r="CR72" i="26"/>
  <c r="AW72" i="26"/>
  <c r="AV73" i="26"/>
  <c r="Y13" i="26"/>
  <c r="X12" i="26"/>
  <c r="M71" i="26"/>
  <c r="AW76" i="26"/>
  <c r="BI74" i="26"/>
  <c r="BT72" i="26"/>
  <c r="AK76" i="26"/>
  <c r="CF70" i="26"/>
  <c r="CG75" i="26"/>
  <c r="BU76" i="26"/>
  <c r="DD74" i="26"/>
  <c r="M74" i="26"/>
  <c r="Y72" i="26"/>
  <c r="AK71" i="26"/>
  <c r="M72" i="26"/>
  <c r="Y71" i="26"/>
  <c r="Y73" i="26"/>
  <c r="Y76" i="26"/>
  <c r="DE72" i="26"/>
  <c r="CR71" i="26"/>
  <c r="DF74" i="26"/>
  <c r="DM74" i="26" s="1"/>
  <c r="DD70" i="26"/>
  <c r="AK74" i="26"/>
  <c r="DF18" i="26"/>
  <c r="DG64" i="26"/>
  <c r="DG66" i="26"/>
  <c r="DG17" i="26"/>
  <c r="DF26" i="26"/>
  <c r="DF64" i="26"/>
  <c r="DG50" i="26"/>
  <c r="DG16" i="26"/>
  <c r="DF32" i="26"/>
  <c r="DF58" i="26"/>
  <c r="DG69" i="26"/>
  <c r="M70" i="26"/>
  <c r="DG74" i="26"/>
  <c r="CF71" i="26"/>
  <c r="CR70" i="26"/>
  <c r="BI69" i="26"/>
  <c r="DH69" i="26" s="1"/>
  <c r="AK58" i="26"/>
  <c r="DH58" i="26" s="1"/>
  <c r="AJ74" i="26"/>
  <c r="DD76" i="26"/>
  <c r="M64" i="26"/>
  <c r="DH64" i="26" s="1"/>
  <c r="DG41" i="26"/>
  <c r="AK32" i="26"/>
  <c r="AW16" i="26"/>
  <c r="DH16" i="26" s="1"/>
  <c r="DG58" i="26"/>
  <c r="AJ70" i="26"/>
  <c r="DG26" i="26"/>
  <c r="DG21" i="26"/>
  <c r="DF15" i="26"/>
  <c r="DG36" i="26"/>
  <c r="DG32" i="26"/>
  <c r="DG30" i="26"/>
  <c r="DF27" i="26"/>
  <c r="DF20" i="26"/>
  <c r="AW74" i="26"/>
  <c r="DG72" i="26"/>
  <c r="CS76" i="26"/>
  <c r="DF53" i="26"/>
  <c r="DG34" i="26"/>
  <c r="DG33" i="26"/>
  <c r="AW26" i="26"/>
  <c r="DH26" i="26" s="1"/>
  <c r="DF34" i="26"/>
  <c r="DF30" i="26"/>
  <c r="DG18" i="26"/>
  <c r="DG15" i="26"/>
  <c r="DG65" i="26"/>
  <c r="BI72" i="26"/>
  <c r="DF69" i="26"/>
  <c r="DF51" i="26"/>
  <c r="DH41" i="26"/>
  <c r="AK20" i="26"/>
  <c r="DH20" i="26" s="1"/>
  <c r="DF14" i="26"/>
  <c r="DF65" i="26"/>
  <c r="CF74" i="26"/>
  <c r="DF72" i="26"/>
  <c r="DM72" i="26" s="1"/>
  <c r="DF56" i="26"/>
  <c r="CG32" i="26"/>
  <c r="DE30" i="26"/>
  <c r="DH30" i="26" s="1"/>
  <c r="DG37" i="26"/>
  <c r="DH43" i="26"/>
  <c r="DF25" i="26"/>
  <c r="M21" i="26"/>
  <c r="DH21" i="26" s="1"/>
  <c r="AW15" i="26"/>
  <c r="DH15" i="26" s="1"/>
  <c r="BI27" i="26"/>
  <c r="DH27" i="26" s="1"/>
  <c r="DF66" i="26"/>
  <c r="DG60" i="26"/>
  <c r="DF22" i="26"/>
  <c r="DG31" i="26"/>
  <c r="DG23" i="26"/>
  <c r="DF24" i="26"/>
  <c r="DF13" i="26"/>
  <c r="DG67" i="26"/>
  <c r="DG76" i="26"/>
  <c r="DH45" i="26"/>
  <c r="AV70" i="26"/>
  <c r="AW66" i="26"/>
  <c r="DH66" i="26" s="1"/>
  <c r="CS65" i="26"/>
  <c r="DH65" i="26" s="1"/>
  <c r="M60" i="26"/>
  <c r="DH60" i="26" s="1"/>
  <c r="DG55" i="26"/>
  <c r="DF40" i="26"/>
  <c r="DG24" i="26"/>
  <c r="DF31" i="26"/>
  <c r="DF23" i="26"/>
  <c r="DG14" i="26"/>
  <c r="DF29" i="26"/>
  <c r="DF21" i="26"/>
  <c r="DG35" i="26"/>
  <c r="DG27" i="26"/>
  <c r="DG19" i="26"/>
  <c r="DF17" i="26"/>
  <c r="DG13" i="26"/>
  <c r="BH76" i="26"/>
  <c r="DF76" i="26"/>
  <c r="DG62" i="26"/>
  <c r="BT73" i="26"/>
  <c r="DD71" i="26"/>
  <c r="AJ75" i="26"/>
  <c r="DF67" i="26"/>
  <c r="DF60" i="26"/>
  <c r="DG59" i="26"/>
  <c r="DF48" i="26"/>
  <c r="DG45" i="26"/>
  <c r="BI67" i="26"/>
  <c r="DH67" i="26" s="1"/>
  <c r="DG56" i="26"/>
  <c r="DF59" i="26"/>
  <c r="DG40" i="26"/>
  <c r="AK24" i="26"/>
  <c r="DH24" i="26" s="1"/>
  <c r="DG22" i="26"/>
  <c r="DF45" i="26"/>
  <c r="DF36" i="26"/>
  <c r="DG20" i="26"/>
  <c r="BI31" i="26"/>
  <c r="BI23" i="26"/>
  <c r="DH23" i="26" s="1"/>
  <c r="DF33" i="26"/>
  <c r="DG25" i="26"/>
  <c r="DF28" i="26"/>
  <c r="DF16" i="26"/>
  <c r="BU13" i="26"/>
  <c r="BU74" i="26"/>
  <c r="DG71" i="26"/>
  <c r="DF70" i="26"/>
  <c r="DM70" i="26" s="1"/>
  <c r="DG43" i="26"/>
  <c r="DF41" i="26"/>
  <c r="DF37" i="26"/>
  <c r="DF43" i="26"/>
  <c r="DG28" i="26"/>
  <c r="DG29" i="26"/>
  <c r="DF35" i="26"/>
  <c r="DF19" i="26"/>
  <c r="DG48" i="26"/>
  <c r="DG46" i="26"/>
  <c r="DF44" i="26"/>
  <c r="DH22" i="26"/>
  <c r="DH25" i="26"/>
  <c r="DF68" i="26"/>
  <c r="DH31" i="26"/>
  <c r="CR16" i="26"/>
  <c r="CS73" i="26"/>
  <c r="CR73" i="26"/>
  <c r="BI70" i="26"/>
  <c r="BH70" i="26"/>
  <c r="DG70" i="26"/>
  <c r="DF63" i="26"/>
  <c r="DH35" i="26"/>
  <c r="DL12" i="26"/>
  <c r="CS75" i="26"/>
  <c r="CR75" i="26"/>
  <c r="DG73" i="26"/>
  <c r="M73" i="26"/>
  <c r="L73" i="26"/>
  <c r="DF73" i="26"/>
  <c r="DM73" i="26" s="1"/>
  <c r="DE61" i="26"/>
  <c r="DH61" i="26" s="1"/>
  <c r="DF71" i="26"/>
  <c r="DM71" i="26" s="1"/>
  <c r="CR69" i="26"/>
  <c r="CR55" i="26"/>
  <c r="CS50" i="26"/>
  <c r="DH50" i="26" s="1"/>
  <c r="CR50" i="26"/>
  <c r="BU49" i="26"/>
  <c r="BU46" i="26"/>
  <c r="CR67" i="26"/>
  <c r="CR37" i="26"/>
  <c r="BD77" i="26"/>
  <c r="BD78" i="26"/>
  <c r="BG12" i="26"/>
  <c r="BH39" i="26" s="1"/>
  <c r="CR41" i="26"/>
  <c r="CR26" i="26"/>
  <c r="CR14" i="26"/>
  <c r="AW75" i="26"/>
  <c r="AV75" i="26"/>
  <c r="DE75" i="26"/>
  <c r="DD75" i="26"/>
  <c r="Y75" i="26"/>
  <c r="X75" i="26"/>
  <c r="AK63" i="26"/>
  <c r="AW53" i="26"/>
  <c r="CS49" i="26"/>
  <c r="CR49" i="26"/>
  <c r="DH59" i="26"/>
  <c r="M57" i="26"/>
  <c r="DG57" i="26"/>
  <c r="DF57" i="26"/>
  <c r="DG53" i="26"/>
  <c r="BU48" i="26"/>
  <c r="CR62" i="26"/>
  <c r="Y47" i="26"/>
  <c r="AW46" i="26"/>
  <c r="AW44" i="26"/>
  <c r="AW42" i="26"/>
  <c r="DF62" i="26"/>
  <c r="DH36" i="26"/>
  <c r="DH28" i="26"/>
  <c r="AF78" i="26"/>
  <c r="AF77" i="26"/>
  <c r="AI12" i="26"/>
  <c r="AR78" i="26"/>
  <c r="AR77" i="26"/>
  <c r="AU12" i="26"/>
  <c r="AV62" i="26" s="1"/>
  <c r="CR51" i="26"/>
  <c r="DH37" i="26"/>
  <c r="DG61" i="26"/>
  <c r="BI39" i="26"/>
  <c r="DH39" i="26" s="1"/>
  <c r="DG39" i="26"/>
  <c r="CR39" i="26"/>
  <c r="CR36" i="26"/>
  <c r="CR17" i="26"/>
  <c r="CR24" i="26"/>
  <c r="CR28" i="26"/>
  <c r="BI71" i="26"/>
  <c r="BH71" i="26"/>
  <c r="BU70" i="26"/>
  <c r="BT70" i="26"/>
  <c r="CR68" i="26"/>
  <c r="DE57" i="26"/>
  <c r="BU42" i="26"/>
  <c r="CR32" i="26"/>
  <c r="CG73" i="26"/>
  <c r="CF73" i="26"/>
  <c r="BI75" i="26"/>
  <c r="BH75" i="26"/>
  <c r="DE73" i="26"/>
  <c r="DD73" i="26"/>
  <c r="Y70" i="26"/>
  <c r="X70" i="26"/>
  <c r="BU68" i="26"/>
  <c r="DG68" i="26"/>
  <c r="CR65" i="26"/>
  <c r="CR60" i="26"/>
  <c r="M49" i="26"/>
  <c r="DF49" i="26"/>
  <c r="DG49" i="26"/>
  <c r="CR64" i="26"/>
  <c r="CR58" i="26"/>
  <c r="BI55" i="26"/>
  <c r="BI48" i="26"/>
  <c r="Y46" i="26"/>
  <c r="Y44" i="26"/>
  <c r="Y42" i="26"/>
  <c r="DH56" i="26"/>
  <c r="CR47" i="26"/>
  <c r="BU38" i="26"/>
  <c r="DH38" i="26" s="1"/>
  <c r="DF38" i="26"/>
  <c r="DH34" i="26"/>
  <c r="CZ77" i="26"/>
  <c r="CZ78" i="26"/>
  <c r="DC12" i="26"/>
  <c r="H77" i="26"/>
  <c r="H78" i="26"/>
  <c r="K12" i="26"/>
  <c r="L54" i="26" s="1"/>
  <c r="T78" i="26"/>
  <c r="T77" i="26"/>
  <c r="X44" i="26"/>
  <c r="CR38" i="26"/>
  <c r="CR35" i="26"/>
  <c r="CR33" i="26"/>
  <c r="CR31" i="26"/>
  <c r="CR29" i="26"/>
  <c r="CR27" i="26"/>
  <c r="CR25" i="26"/>
  <c r="CR23" i="26"/>
  <c r="CR21" i="26"/>
  <c r="CR19" i="26"/>
  <c r="DG42" i="26"/>
  <c r="DH33" i="26"/>
  <c r="CR18" i="26"/>
  <c r="DH14" i="26"/>
  <c r="CR30" i="26"/>
  <c r="DH29" i="26"/>
  <c r="CR20" i="26"/>
  <c r="DH19" i="26"/>
  <c r="BU75" i="26"/>
  <c r="BT75" i="26"/>
  <c r="BU71" i="26"/>
  <c r="BT71" i="26"/>
  <c r="BI63" i="26"/>
  <c r="CG55" i="26"/>
  <c r="DG54" i="26"/>
  <c r="DF54" i="26"/>
  <c r="M54" i="26"/>
  <c r="BU44" i="26"/>
  <c r="CR66" i="26"/>
  <c r="CR57" i="26"/>
  <c r="DF46" i="26"/>
  <c r="BP78" i="26"/>
  <c r="BP77" i="26"/>
  <c r="BS12" i="26"/>
  <c r="BT46" i="26" s="1"/>
  <c r="DF61" i="26"/>
  <c r="DF42" i="26"/>
  <c r="DH17" i="26"/>
  <c r="CK82" i="26"/>
  <c r="CM82" i="26" s="1"/>
  <c r="CK81" i="26"/>
  <c r="CM81" i="26" s="1"/>
  <c r="CQ78" i="26"/>
  <c r="CQ77" i="26"/>
  <c r="CR63" i="26"/>
  <c r="CR54" i="26"/>
  <c r="CR53" i="26"/>
  <c r="CS12" i="26"/>
  <c r="CR45" i="26"/>
  <c r="CR12" i="26"/>
  <c r="AK73" i="26"/>
  <c r="AJ73" i="26"/>
  <c r="M75" i="26"/>
  <c r="DG75" i="26"/>
  <c r="DF75" i="26"/>
  <c r="DM75" i="26" s="1"/>
  <c r="L75" i="26"/>
  <c r="BI73" i="26"/>
  <c r="BH73" i="26"/>
  <c r="Y68" i="26"/>
  <c r="AW62" i="26"/>
  <c r="DH62" i="26" s="1"/>
  <c r="CR61" i="26"/>
  <c r="CR56" i="26"/>
  <c r="DG63" i="26"/>
  <c r="AK51" i="26"/>
  <c r="DH51" i="26" s="1"/>
  <c r="CG47" i="26"/>
  <c r="AK54" i="26"/>
  <c r="DG52" i="26"/>
  <c r="M52" i="26"/>
  <c r="DH52" i="26" s="1"/>
  <c r="DF52" i="26"/>
  <c r="Y53" i="26"/>
  <c r="CR44" i="26"/>
  <c r="CS44" i="26"/>
  <c r="CR42" i="26"/>
  <c r="CS42" i="26"/>
  <c r="CR40" i="26"/>
  <c r="CS40" i="26"/>
  <c r="DH40" i="26" s="1"/>
  <c r="DF55" i="26"/>
  <c r="CR48" i="26"/>
  <c r="DF47" i="26"/>
  <c r="DF50" i="26"/>
  <c r="DG47" i="26"/>
  <c r="CR59" i="26"/>
  <c r="CR52" i="26"/>
  <c r="CB78" i="26"/>
  <c r="CB77" i="26"/>
  <c r="CE12" i="26"/>
  <c r="CF47" i="26" s="1"/>
  <c r="DG51" i="26"/>
  <c r="CR46" i="26"/>
  <c r="DF39" i="26"/>
  <c r="DG44" i="26"/>
  <c r="CR43" i="26"/>
  <c r="DG38" i="26"/>
  <c r="DH18" i="26"/>
  <c r="CR13" i="26"/>
  <c r="CR15" i="26"/>
  <c r="CR22" i="26"/>
  <c r="CR34" i="26"/>
  <c r="BZ6" i="21"/>
  <c r="AP6" i="21"/>
  <c r="CX6" i="21"/>
  <c r="AD6" i="21"/>
  <c r="BN6" i="21"/>
  <c r="CL6" i="21"/>
  <c r="R6" i="21"/>
  <c r="BB6" i="21"/>
  <c r="J77" i="21"/>
  <c r="V77" i="21"/>
  <c r="DC12" i="21"/>
  <c r="DE12" i="21" s="1"/>
  <c r="DB77" i="21"/>
  <c r="CZ77" i="21"/>
  <c r="CQ12" i="21"/>
  <c r="CS12" i="21" s="1"/>
  <c r="CN77" i="21"/>
  <c r="CE12" i="21"/>
  <c r="CG12" i="21" s="1"/>
  <c r="BS12" i="21"/>
  <c r="BU12" i="21" s="1"/>
  <c r="BG12" i="21"/>
  <c r="BI12" i="21" s="1"/>
  <c r="AU12" i="21"/>
  <c r="AW12" i="21" s="1"/>
  <c r="AI12" i="21"/>
  <c r="AK12" i="21" s="1"/>
  <c r="V78" i="21"/>
  <c r="J78" i="21"/>
  <c r="H77" i="21"/>
  <c r="K12" i="21"/>
  <c r="H78" i="21"/>
  <c r="CZ78" i="21"/>
  <c r="DB78" i="21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2" i="23"/>
  <c r="D23" i="23"/>
  <c r="D24" i="23"/>
  <c r="D25" i="23"/>
  <c r="D26" i="23"/>
  <c r="D27" i="23"/>
  <c r="D28" i="23"/>
  <c r="D29" i="23"/>
  <c r="D30" i="23"/>
  <c r="D31" i="23"/>
  <c r="D32" i="23"/>
  <c r="D33" i="23"/>
  <c r="D34" i="23"/>
  <c r="D35" i="23"/>
  <c r="D36" i="23"/>
  <c r="D37" i="23"/>
  <c r="D38" i="23"/>
  <c r="D39" i="23"/>
  <c r="D40" i="23"/>
  <c r="D41" i="23"/>
  <c r="D42" i="23"/>
  <c r="D43" i="23"/>
  <c r="D44" i="23"/>
  <c r="D45" i="23"/>
  <c r="D46" i="23"/>
  <c r="D47" i="23"/>
  <c r="D48" i="23"/>
  <c r="D49" i="23"/>
  <c r="D50" i="23"/>
  <c r="D51" i="23"/>
  <c r="D52" i="23"/>
  <c r="D53" i="23"/>
  <c r="D54" i="23"/>
  <c r="D55" i="23"/>
  <c r="D56" i="23"/>
  <c r="D57" i="23"/>
  <c r="D58" i="23"/>
  <c r="D59" i="23"/>
  <c r="D60" i="23"/>
  <c r="D61" i="23"/>
  <c r="D62" i="23"/>
  <c r="D63" i="23"/>
  <c r="D64" i="23"/>
  <c r="D65" i="23"/>
  <c r="D66" i="23"/>
  <c r="D67" i="23"/>
  <c r="D68" i="23"/>
  <c r="D69" i="23"/>
  <c r="D70" i="23"/>
  <c r="D71" i="23"/>
  <c r="D72" i="23"/>
  <c r="D73" i="23"/>
  <c r="D74" i="23"/>
  <c r="D75" i="23"/>
  <c r="D76" i="23"/>
  <c r="D77" i="23"/>
  <c r="D78" i="23"/>
  <c r="D79" i="23"/>
  <c r="D80" i="23"/>
  <c r="D81" i="23"/>
  <c r="D82" i="23"/>
  <c r="D83" i="23"/>
  <c r="D84" i="23"/>
  <c r="D85" i="23"/>
  <c r="D86" i="23"/>
  <c r="D87" i="23"/>
  <c r="D88" i="23"/>
  <c r="D89" i="23"/>
  <c r="D90" i="23"/>
  <c r="D91" i="23"/>
  <c r="D92" i="23"/>
  <c r="D93" i="23"/>
  <c r="D94" i="23"/>
  <c r="D95" i="23"/>
  <c r="D96" i="23"/>
  <c r="D97" i="23"/>
  <c r="D98" i="23"/>
  <c r="D99" i="23"/>
  <c r="D100" i="23"/>
  <c r="D101" i="23"/>
  <c r="D102" i="23"/>
  <c r="D103" i="23"/>
  <c r="D104" i="23"/>
  <c r="D105" i="23"/>
  <c r="D106" i="23"/>
  <c r="D107" i="23"/>
  <c r="D108" i="23"/>
  <c r="D109" i="23"/>
  <c r="D110" i="23"/>
  <c r="D111" i="23"/>
  <c r="D112" i="23"/>
  <c r="D113" i="23"/>
  <c r="D114" i="23"/>
  <c r="D115" i="23"/>
  <c r="D116" i="23"/>
  <c r="D117" i="23"/>
  <c r="D118" i="23"/>
  <c r="D119" i="23"/>
  <c r="D120" i="23"/>
  <c r="D121" i="23"/>
  <c r="D122" i="23"/>
  <c r="D123" i="23"/>
  <c r="D124" i="23"/>
  <c r="D125" i="23"/>
  <c r="D126" i="23"/>
  <c r="D127" i="23"/>
  <c r="D128" i="23"/>
  <c r="D129" i="23"/>
  <c r="D130" i="23"/>
  <c r="D131" i="23"/>
  <c r="D132" i="23"/>
  <c r="D133" i="23"/>
  <c r="D134" i="23"/>
  <c r="D135" i="23"/>
  <c r="D136" i="23"/>
  <c r="D137" i="23"/>
  <c r="D138" i="23"/>
  <c r="D139" i="23"/>
  <c r="D140" i="23"/>
  <c r="D141" i="23"/>
  <c r="D142" i="23"/>
  <c r="D143" i="23"/>
  <c r="D144" i="23"/>
  <c r="D145" i="23"/>
  <c r="D146" i="23"/>
  <c r="D147" i="23"/>
  <c r="D148" i="23"/>
  <c r="D149" i="23"/>
  <c r="D150" i="23"/>
  <c r="D151" i="23"/>
  <c r="D152" i="23"/>
  <c r="D153" i="23"/>
  <c r="D154" i="23"/>
  <c r="D155" i="23"/>
  <c r="D156" i="23"/>
  <c r="D157" i="23"/>
  <c r="D158" i="23"/>
  <c r="D159" i="23"/>
  <c r="D160" i="23"/>
  <c r="D161" i="23"/>
  <c r="D162" i="23"/>
  <c r="D163" i="23"/>
  <c r="D164" i="23"/>
  <c r="D165" i="23"/>
  <c r="D166" i="23"/>
  <c r="D167" i="23"/>
  <c r="D168" i="23"/>
  <c r="D169" i="23"/>
  <c r="D170" i="23"/>
  <c r="D171" i="23"/>
  <c r="D172" i="23"/>
  <c r="D173" i="23"/>
  <c r="D174" i="23"/>
  <c r="D175" i="23"/>
  <c r="D176" i="23"/>
  <c r="D177" i="23"/>
  <c r="D178" i="23"/>
  <c r="D179" i="23"/>
  <c r="D180" i="23"/>
  <c r="D181" i="23"/>
  <c r="D182" i="23"/>
  <c r="D183" i="23"/>
  <c r="D184" i="23"/>
  <c r="D185" i="23"/>
  <c r="D186" i="23"/>
  <c r="D187" i="23"/>
  <c r="D188" i="23"/>
  <c r="D189" i="23"/>
  <c r="D190" i="23"/>
  <c r="D191" i="23"/>
  <c r="D192" i="23"/>
  <c r="D193" i="23"/>
  <c r="D194" i="23"/>
  <c r="D195" i="23"/>
  <c r="D196" i="23"/>
  <c r="D197" i="23"/>
  <c r="D198" i="23"/>
  <c r="D199" i="23"/>
  <c r="D200" i="23"/>
  <c r="D201" i="23"/>
  <c r="D202" i="23"/>
  <c r="D203" i="23"/>
  <c r="D204" i="23"/>
  <c r="D205" i="23"/>
  <c r="D206" i="23"/>
  <c r="D207" i="23"/>
  <c r="D208" i="23"/>
  <c r="D209" i="23"/>
  <c r="D210" i="23"/>
  <c r="D211" i="23"/>
  <c r="D212" i="23"/>
  <c r="D213" i="23"/>
  <c r="D214" i="23"/>
  <c r="D215" i="23"/>
  <c r="D216" i="23"/>
  <c r="D217" i="23"/>
  <c r="D218" i="23"/>
  <c r="D219" i="23"/>
  <c r="D220" i="23"/>
  <c r="D221" i="23"/>
  <c r="D222" i="23"/>
  <c r="D223" i="23"/>
  <c r="D224" i="23"/>
  <c r="D225" i="23"/>
  <c r="D226" i="23"/>
  <c r="D227" i="23"/>
  <c r="D228" i="23"/>
  <c r="D229" i="23"/>
  <c r="D230" i="23"/>
  <c r="D231" i="23"/>
  <c r="D4" i="23"/>
  <c r="DH13" i="26" l="1"/>
  <c r="L76" i="26"/>
  <c r="DH76" i="26"/>
  <c r="DH46" i="26"/>
  <c r="DH70" i="26"/>
  <c r="DH74" i="26"/>
  <c r="DH72" i="26"/>
  <c r="DH32" i="26"/>
  <c r="X68" i="26"/>
  <c r="X53" i="26"/>
  <c r="DH53" i="26"/>
  <c r="L52" i="26"/>
  <c r="DH71" i="26"/>
  <c r="DH68" i="26"/>
  <c r="BH63" i="26"/>
  <c r="DH75" i="26"/>
  <c r="DH55" i="26"/>
  <c r="DH47" i="26"/>
  <c r="DH48" i="26"/>
  <c r="L49" i="26"/>
  <c r="BT42" i="26"/>
  <c r="DH42" i="26"/>
  <c r="DH63" i="26"/>
  <c r="DH44" i="26"/>
  <c r="N23" i="22"/>
  <c r="M24" i="22"/>
  <c r="N24" i="22"/>
  <c r="M25" i="22"/>
  <c r="M23" i="22"/>
  <c r="P29" i="22"/>
  <c r="O25" i="22"/>
  <c r="O30" i="22"/>
  <c r="N26" i="22"/>
  <c r="N30" i="22"/>
  <c r="O26" i="22"/>
  <c r="O29" i="22"/>
  <c r="O27" i="22"/>
  <c r="N25" i="22"/>
  <c r="N27" i="22"/>
  <c r="M13" i="22"/>
  <c r="N28" i="22"/>
  <c r="M26" i="22"/>
  <c r="M28" i="22"/>
  <c r="M29" i="22"/>
  <c r="M22" i="22"/>
  <c r="O28" i="22"/>
  <c r="M27" i="22"/>
  <c r="O22" i="22"/>
  <c r="O23" i="22"/>
  <c r="Q29" i="22"/>
  <c r="N29" i="22"/>
  <c r="M30" i="22"/>
  <c r="N22" i="22"/>
  <c r="O24" i="22"/>
  <c r="DC78" i="26"/>
  <c r="DC77" i="26"/>
  <c r="CW82" i="26"/>
  <c r="CY82" i="26" s="1"/>
  <c r="CW81" i="26"/>
  <c r="CY81" i="26" s="1"/>
  <c r="DD68" i="26"/>
  <c r="DD63" i="26"/>
  <c r="DD48" i="26"/>
  <c r="DD66" i="26"/>
  <c r="DE12" i="26"/>
  <c r="Q30" i="22" s="1"/>
  <c r="DD12" i="26"/>
  <c r="DD37" i="26"/>
  <c r="DD27" i="26"/>
  <c r="DD33" i="26"/>
  <c r="DD23" i="26"/>
  <c r="DD50" i="26"/>
  <c r="DD60" i="26"/>
  <c r="DD54" i="26"/>
  <c r="DD39" i="26"/>
  <c r="DD52" i="26"/>
  <c r="DD55" i="26"/>
  <c r="DD15" i="26"/>
  <c r="DD29" i="26"/>
  <c r="DD26" i="26"/>
  <c r="DD30" i="26"/>
  <c r="DD67" i="26"/>
  <c r="DD43" i="26"/>
  <c r="DD69" i="26"/>
  <c r="DD35" i="26"/>
  <c r="DD17" i="26"/>
  <c r="DD31" i="26"/>
  <c r="DD24" i="26"/>
  <c r="DD28" i="26"/>
  <c r="DD32" i="26"/>
  <c r="DD51" i="26"/>
  <c r="DD38" i="26"/>
  <c r="DD40" i="26"/>
  <c r="DD36" i="26"/>
  <c r="DD41" i="26"/>
  <c r="DD45" i="26"/>
  <c r="DD46" i="26"/>
  <c r="DD49" i="26"/>
  <c r="DD58" i="26"/>
  <c r="DD64" i="26"/>
  <c r="DD47" i="26"/>
  <c r="DD56" i="26"/>
  <c r="DD53" i="26"/>
  <c r="DD25" i="26"/>
  <c r="DD21" i="26"/>
  <c r="DD14" i="26"/>
  <c r="DD16" i="26"/>
  <c r="DD20" i="26"/>
  <c r="DD42" i="26"/>
  <c r="DD22" i="26"/>
  <c r="DD18" i="26"/>
  <c r="DD65" i="26"/>
  <c r="DD59" i="26"/>
  <c r="DD62" i="26"/>
  <c r="DD13" i="26"/>
  <c r="DD19" i="26"/>
  <c r="DD34" i="26"/>
  <c r="DD44" i="26"/>
  <c r="AI78" i="26"/>
  <c r="AC82" i="26"/>
  <c r="AE82" i="26" s="1"/>
  <c r="AC81" i="26"/>
  <c r="AE81" i="26" s="1"/>
  <c r="AI77" i="26"/>
  <c r="AJ60" i="26"/>
  <c r="AK12" i="26"/>
  <c r="Q24" i="22" s="1"/>
  <c r="AJ12" i="26"/>
  <c r="AJ38" i="26"/>
  <c r="AJ14" i="26"/>
  <c r="AJ25" i="26"/>
  <c r="AJ26" i="26"/>
  <c r="AJ30" i="26"/>
  <c r="AJ34" i="26"/>
  <c r="AJ44" i="26"/>
  <c r="AJ58" i="26"/>
  <c r="AJ43" i="26"/>
  <c r="AJ50" i="26"/>
  <c r="AJ57" i="26"/>
  <c r="AJ15" i="26"/>
  <c r="AJ35" i="26"/>
  <c r="AJ47" i="26"/>
  <c r="AJ56" i="26"/>
  <c r="AJ21" i="26"/>
  <c r="AJ23" i="26"/>
  <c r="AJ17" i="26"/>
  <c r="AJ33" i="26"/>
  <c r="AJ13" i="26"/>
  <c r="AJ19" i="26"/>
  <c r="AJ37" i="26"/>
  <c r="AJ16" i="26"/>
  <c r="AJ18" i="26"/>
  <c r="AJ46" i="26"/>
  <c r="AJ49" i="26"/>
  <c r="AJ22" i="26"/>
  <c r="AJ39" i="26"/>
  <c r="AJ55" i="26"/>
  <c r="AJ52" i="26"/>
  <c r="AJ62" i="26"/>
  <c r="AJ64" i="26"/>
  <c r="AJ66" i="26"/>
  <c r="AJ29" i="26"/>
  <c r="AJ31" i="26"/>
  <c r="AJ27" i="26"/>
  <c r="AJ24" i="26"/>
  <c r="AJ28" i="26"/>
  <c r="AJ32" i="26"/>
  <c r="AJ68" i="26"/>
  <c r="AJ40" i="26"/>
  <c r="AJ42" i="26"/>
  <c r="AJ59" i="26"/>
  <c r="AJ41" i="26"/>
  <c r="AJ45" i="26"/>
  <c r="AJ48" i="26"/>
  <c r="AJ61" i="26"/>
  <c r="AJ65" i="26"/>
  <c r="AJ67" i="26"/>
  <c r="AJ69" i="26"/>
  <c r="AJ36" i="26"/>
  <c r="AJ53" i="26"/>
  <c r="AJ20" i="26"/>
  <c r="BG78" i="26"/>
  <c r="BG77" i="26"/>
  <c r="BA82" i="26"/>
  <c r="BC82" i="26" s="1"/>
  <c r="BA81" i="26"/>
  <c r="BC81" i="26" s="1"/>
  <c r="BH68" i="26"/>
  <c r="BH49" i="26"/>
  <c r="BH60" i="26"/>
  <c r="BH58" i="26"/>
  <c r="BI12" i="26"/>
  <c r="Q26" i="22" s="1"/>
  <c r="BH12" i="26"/>
  <c r="BH16" i="26"/>
  <c r="BH21" i="26"/>
  <c r="BH36" i="26"/>
  <c r="BH42" i="26"/>
  <c r="BH47" i="26"/>
  <c r="BH64" i="26"/>
  <c r="BH54" i="26"/>
  <c r="BH35" i="26"/>
  <c r="BH13" i="26"/>
  <c r="BH22" i="26"/>
  <c r="BH24" i="26"/>
  <c r="BH28" i="26"/>
  <c r="BH32" i="26"/>
  <c r="BH40" i="26"/>
  <c r="BH56" i="26"/>
  <c r="BH19" i="26"/>
  <c r="BH25" i="26"/>
  <c r="BH29" i="26"/>
  <c r="BH17" i="26"/>
  <c r="BH20" i="26"/>
  <c r="BH26" i="26"/>
  <c r="BH30" i="26"/>
  <c r="BH34" i="26"/>
  <c r="BH38" i="26"/>
  <c r="BH18" i="26"/>
  <c r="BH66" i="26"/>
  <c r="BH67" i="26"/>
  <c r="BH43" i="26"/>
  <c r="BH61" i="26"/>
  <c r="BH62" i="26"/>
  <c r="BH69" i="26"/>
  <c r="BH31" i="26"/>
  <c r="BH44" i="26"/>
  <c r="BH41" i="26"/>
  <c r="BH57" i="26"/>
  <c r="BH33" i="26"/>
  <c r="BH27" i="26"/>
  <c r="BH15" i="26"/>
  <c r="BH14" i="26"/>
  <c r="BH23" i="26"/>
  <c r="BH46" i="26"/>
  <c r="BH51" i="26"/>
  <c r="BH65" i="26"/>
  <c r="BH52" i="26"/>
  <c r="BH53" i="26"/>
  <c r="BH37" i="26"/>
  <c r="BH50" i="26"/>
  <c r="BH45" i="26"/>
  <c r="BH59" i="26"/>
  <c r="CE78" i="26"/>
  <c r="BY82" i="26"/>
  <c r="CA82" i="26" s="1"/>
  <c r="BY81" i="26"/>
  <c r="CA81" i="26" s="1"/>
  <c r="CE77" i="26"/>
  <c r="CF58" i="26"/>
  <c r="CF51" i="26"/>
  <c r="CF53" i="26"/>
  <c r="CG12" i="26"/>
  <c r="Q28" i="22" s="1"/>
  <c r="CF12" i="26"/>
  <c r="CF29" i="26"/>
  <c r="CF17" i="26"/>
  <c r="CF31" i="26"/>
  <c r="CF14" i="26"/>
  <c r="CF27" i="26"/>
  <c r="CF24" i="26"/>
  <c r="CF28" i="26"/>
  <c r="CF32" i="26"/>
  <c r="CF20" i="26"/>
  <c r="CF42" i="26"/>
  <c r="CF57" i="26"/>
  <c r="CF41" i="26"/>
  <c r="CF45" i="26"/>
  <c r="CF56" i="26"/>
  <c r="CF63" i="26"/>
  <c r="CF67" i="26"/>
  <c r="CF69" i="26"/>
  <c r="CF15" i="26"/>
  <c r="CF23" i="26"/>
  <c r="CF38" i="26"/>
  <c r="CF39" i="26"/>
  <c r="CF46" i="26"/>
  <c r="CF54" i="26"/>
  <c r="CF59" i="26"/>
  <c r="CF68" i="26"/>
  <c r="CF13" i="26"/>
  <c r="CF35" i="26"/>
  <c r="CF37" i="26"/>
  <c r="CF22" i="26"/>
  <c r="CF64" i="26"/>
  <c r="CF66" i="26"/>
  <c r="CF21" i="26"/>
  <c r="CF19" i="26"/>
  <c r="CF36" i="26"/>
  <c r="CF60" i="26"/>
  <c r="CF61" i="26"/>
  <c r="CF16" i="26"/>
  <c r="CF25" i="26"/>
  <c r="CF40" i="26"/>
  <c r="CF18" i="26"/>
  <c r="CF26" i="26"/>
  <c r="CF30" i="26"/>
  <c r="CF34" i="26"/>
  <c r="CF44" i="26"/>
  <c r="CF49" i="26"/>
  <c r="CF52" i="26"/>
  <c r="CF43" i="26"/>
  <c r="CF50" i="26"/>
  <c r="CF62" i="26"/>
  <c r="CF65" i="26"/>
  <c r="CF33" i="26"/>
  <c r="CF48" i="26"/>
  <c r="BT44" i="26"/>
  <c r="K78" i="26"/>
  <c r="K77" i="26"/>
  <c r="E82" i="26"/>
  <c r="G82" i="26" s="1"/>
  <c r="E81" i="26"/>
  <c r="G81" i="26" s="1"/>
  <c r="L53" i="26"/>
  <c r="M12" i="26"/>
  <c r="Q22" i="22" s="1"/>
  <c r="L12" i="26"/>
  <c r="L68" i="26"/>
  <c r="DF12" i="26"/>
  <c r="DM76" i="26" s="1"/>
  <c r="DG12" i="26"/>
  <c r="P15" i="22" s="1"/>
  <c r="L17" i="26"/>
  <c r="L27" i="26"/>
  <c r="L35" i="26"/>
  <c r="L16" i="26"/>
  <c r="L25" i="26"/>
  <c r="L24" i="26"/>
  <c r="L28" i="26"/>
  <c r="L32" i="26"/>
  <c r="L36" i="26"/>
  <c r="L40" i="26"/>
  <c r="L46" i="26"/>
  <c r="L65" i="26"/>
  <c r="L41" i="26"/>
  <c r="L45" i="26"/>
  <c r="L48" i="26"/>
  <c r="L50" i="26"/>
  <c r="L13" i="26"/>
  <c r="L19" i="26"/>
  <c r="L29" i="26"/>
  <c r="L59" i="26"/>
  <c r="L51" i="26"/>
  <c r="L31" i="26"/>
  <c r="L44" i="26"/>
  <c r="L61" i="26"/>
  <c r="L60" i="26"/>
  <c r="L64" i="26"/>
  <c r="L66" i="26"/>
  <c r="L67" i="26"/>
  <c r="L69" i="26"/>
  <c r="L15" i="26"/>
  <c r="L23" i="26"/>
  <c r="L38" i="26"/>
  <c r="L37" i="26"/>
  <c r="L63" i="26"/>
  <c r="L21" i="26"/>
  <c r="L14" i="26"/>
  <c r="L18" i="26"/>
  <c r="L26" i="26"/>
  <c r="L30" i="26"/>
  <c r="L34" i="26"/>
  <c r="L42" i="26"/>
  <c r="L47" i="26"/>
  <c r="L56" i="26"/>
  <c r="L43" i="26"/>
  <c r="L55" i="26"/>
  <c r="L33" i="26"/>
  <c r="L20" i="26"/>
  <c r="L39" i="26"/>
  <c r="L22" i="26"/>
  <c r="L62" i="26"/>
  <c r="L58" i="26"/>
  <c r="DH49" i="26"/>
  <c r="AO82" i="26"/>
  <c r="AQ82" i="26" s="1"/>
  <c r="AO81" i="26"/>
  <c r="AQ81" i="26" s="1"/>
  <c r="AU78" i="26"/>
  <c r="AU77" i="26"/>
  <c r="AV52" i="26"/>
  <c r="AV43" i="26"/>
  <c r="AV38" i="26"/>
  <c r="AW12" i="26"/>
  <c r="Q25" i="22" s="1"/>
  <c r="AV50" i="26"/>
  <c r="AV12" i="26"/>
  <c r="AV41" i="26"/>
  <c r="AV13" i="26"/>
  <c r="AV15" i="26"/>
  <c r="AV26" i="26"/>
  <c r="AV48" i="26"/>
  <c r="AV56" i="26"/>
  <c r="AV60" i="26"/>
  <c r="AV18" i="26"/>
  <c r="AV30" i="26"/>
  <c r="AV36" i="26"/>
  <c r="AV33" i="26"/>
  <c r="AV47" i="26"/>
  <c r="AV61" i="26"/>
  <c r="AV24" i="26"/>
  <c r="AV16" i="26"/>
  <c r="AV34" i="26"/>
  <c r="AV22" i="26"/>
  <c r="AV20" i="26"/>
  <c r="AV40" i="26"/>
  <c r="AV54" i="26"/>
  <c r="AV51" i="26"/>
  <c r="AV55" i="26"/>
  <c r="AV63" i="26"/>
  <c r="AV65" i="26"/>
  <c r="AV67" i="26"/>
  <c r="AV68" i="26"/>
  <c r="AV69" i="26"/>
  <c r="AV25" i="26"/>
  <c r="AV31" i="26"/>
  <c r="AV45" i="26"/>
  <c r="AV58" i="26"/>
  <c r="AV17" i="26"/>
  <c r="AV32" i="26"/>
  <c r="AV28" i="26"/>
  <c r="AV39" i="26"/>
  <c r="AV49" i="26"/>
  <c r="AV59" i="26"/>
  <c r="AV57" i="26"/>
  <c r="AV64" i="26"/>
  <c r="AV66" i="26"/>
  <c r="AV14" i="26"/>
  <c r="AV37" i="26"/>
  <c r="AV19" i="26"/>
  <c r="AV21" i="26"/>
  <c r="AV23" i="26"/>
  <c r="AV27" i="26"/>
  <c r="AV29" i="26"/>
  <c r="AV35" i="26"/>
  <c r="AV42" i="26"/>
  <c r="AV46" i="26"/>
  <c r="BT48" i="26"/>
  <c r="AJ54" i="26"/>
  <c r="AJ51" i="26"/>
  <c r="BS77" i="26"/>
  <c r="BM82" i="26"/>
  <c r="BO82" i="26" s="1"/>
  <c r="BM81" i="26"/>
  <c r="BO81" i="26" s="1"/>
  <c r="BS78" i="26"/>
  <c r="BT69" i="26"/>
  <c r="BT67" i="26"/>
  <c r="BT52" i="26"/>
  <c r="BT41" i="26"/>
  <c r="BT54" i="26"/>
  <c r="BU12" i="26"/>
  <c r="Q27" i="22" s="1"/>
  <c r="BT12" i="26"/>
  <c r="BT30" i="26"/>
  <c r="BT15" i="26"/>
  <c r="BT26" i="26"/>
  <c r="BT39" i="26"/>
  <c r="BT19" i="26"/>
  <c r="BT21" i="26"/>
  <c r="BT23" i="26"/>
  <c r="BT25" i="26"/>
  <c r="BT27" i="26"/>
  <c r="BT29" i="26"/>
  <c r="BT31" i="26"/>
  <c r="BT33" i="26"/>
  <c r="BT35" i="26"/>
  <c r="BT47" i="26"/>
  <c r="BT56" i="26"/>
  <c r="BT63" i="26"/>
  <c r="BT57" i="26"/>
  <c r="BT28" i="26"/>
  <c r="BT36" i="26"/>
  <c r="BT34" i="26"/>
  <c r="BT50" i="26"/>
  <c r="BT65" i="26"/>
  <c r="BT53" i="26"/>
  <c r="BT59" i="26"/>
  <c r="BT62" i="26"/>
  <c r="BT22" i="26"/>
  <c r="BT32" i="26"/>
  <c r="BT18" i="26"/>
  <c r="BT37" i="26"/>
  <c r="BT45" i="26"/>
  <c r="BT61" i="26"/>
  <c r="BT58" i="26"/>
  <c r="BT13" i="26"/>
  <c r="BT24" i="26"/>
  <c r="BT17" i="26"/>
  <c r="BT40" i="26"/>
  <c r="BT43" i="26"/>
  <c r="BT64" i="26"/>
  <c r="BT66" i="26"/>
  <c r="BT14" i="26"/>
  <c r="BT20" i="26"/>
  <c r="BT16" i="26"/>
  <c r="BT60" i="26"/>
  <c r="BT51" i="26"/>
  <c r="BT55" i="26"/>
  <c r="CF55" i="26"/>
  <c r="W77" i="26"/>
  <c r="Q82" i="26"/>
  <c r="S82" i="26" s="1"/>
  <c r="Q81" i="26"/>
  <c r="S81" i="26" s="1"/>
  <c r="W78" i="26"/>
  <c r="X69" i="26"/>
  <c r="X67" i="26"/>
  <c r="X50" i="26"/>
  <c r="X48" i="26"/>
  <c r="X45" i="26"/>
  <c r="X39" i="26"/>
  <c r="X43" i="26"/>
  <c r="Q23" i="22"/>
  <c r="P23" i="22"/>
  <c r="X13" i="26"/>
  <c r="X15" i="26"/>
  <c r="X34" i="26"/>
  <c r="X16" i="26"/>
  <c r="X30" i="26"/>
  <c r="X40" i="26"/>
  <c r="X38" i="26"/>
  <c r="X52" i="26"/>
  <c r="X51" i="26"/>
  <c r="X61" i="26"/>
  <c r="X56" i="26"/>
  <c r="X59" i="26"/>
  <c r="X36" i="26"/>
  <c r="X22" i="26"/>
  <c r="X32" i="26"/>
  <c r="X14" i="26"/>
  <c r="X20" i="26"/>
  <c r="X49" i="26"/>
  <c r="X65" i="26"/>
  <c r="X58" i="26"/>
  <c r="X60" i="26"/>
  <c r="X24" i="26"/>
  <c r="X18" i="26"/>
  <c r="X54" i="26"/>
  <c r="X57" i="26"/>
  <c r="X17" i="26"/>
  <c r="X28" i="26"/>
  <c r="X41" i="26"/>
  <c r="X19" i="26"/>
  <c r="X21" i="26"/>
  <c r="X23" i="26"/>
  <c r="X25" i="26"/>
  <c r="X27" i="26"/>
  <c r="X29" i="26"/>
  <c r="X31" i="26"/>
  <c r="X33" i="26"/>
  <c r="X35" i="26"/>
  <c r="X37" i="26"/>
  <c r="X55" i="26"/>
  <c r="X64" i="26"/>
  <c r="X66" i="26"/>
  <c r="X63" i="26"/>
  <c r="X26" i="26"/>
  <c r="X62" i="26"/>
  <c r="BT38" i="26"/>
  <c r="X42" i="26"/>
  <c r="X46" i="26"/>
  <c r="BH55" i="26"/>
  <c r="BT68" i="26"/>
  <c r="DD57" i="26"/>
  <c r="X47" i="26"/>
  <c r="DH57" i="26"/>
  <c r="DD61" i="26"/>
  <c r="DH73" i="26"/>
  <c r="AJ63" i="26"/>
  <c r="DH54" i="26"/>
  <c r="BH48" i="26"/>
  <c r="AV44" i="26"/>
  <c r="L57" i="26"/>
  <c r="AV53" i="26"/>
  <c r="BT49" i="26"/>
  <c r="DJ13" i="21"/>
  <c r="DJ14" i="21"/>
  <c r="DJ15" i="21"/>
  <c r="DJ16" i="21"/>
  <c r="DJ17" i="21"/>
  <c r="DJ18" i="21"/>
  <c r="DJ19" i="21"/>
  <c r="DJ20" i="21"/>
  <c r="DJ21" i="21"/>
  <c r="DJ22" i="21"/>
  <c r="DJ23" i="21"/>
  <c r="DJ24" i="21"/>
  <c r="DJ25" i="21"/>
  <c r="DJ26" i="21"/>
  <c r="DJ27" i="21"/>
  <c r="DJ28" i="21"/>
  <c r="DJ29" i="21"/>
  <c r="DJ30" i="21"/>
  <c r="DJ31" i="21"/>
  <c r="DJ32" i="21"/>
  <c r="DJ33" i="21"/>
  <c r="DJ34" i="21"/>
  <c r="DJ35" i="21"/>
  <c r="DJ36" i="21"/>
  <c r="DJ37" i="21"/>
  <c r="DJ38" i="21"/>
  <c r="DJ39" i="21"/>
  <c r="DJ40" i="21"/>
  <c r="DJ41" i="21"/>
  <c r="DJ42" i="21"/>
  <c r="DJ43" i="21"/>
  <c r="DJ44" i="21"/>
  <c r="DJ45" i="21"/>
  <c r="DJ46" i="21"/>
  <c r="DJ47" i="21"/>
  <c r="DJ48" i="21"/>
  <c r="DJ49" i="21"/>
  <c r="DJ50" i="21"/>
  <c r="DJ51" i="21"/>
  <c r="DJ52" i="21"/>
  <c r="DJ53" i="21"/>
  <c r="DJ54" i="21"/>
  <c r="DJ55" i="21"/>
  <c r="DJ56" i="21"/>
  <c r="DJ57" i="21"/>
  <c r="DJ58" i="21"/>
  <c r="DJ59" i="21"/>
  <c r="DJ60" i="21"/>
  <c r="DJ61" i="21"/>
  <c r="DJ62" i="21"/>
  <c r="DJ63" i="21"/>
  <c r="DJ64" i="21"/>
  <c r="DJ65" i="21"/>
  <c r="DJ66" i="21"/>
  <c r="DJ67" i="21"/>
  <c r="DJ68" i="21"/>
  <c r="DJ69" i="21"/>
  <c r="DJ70" i="21"/>
  <c r="DJ71" i="21"/>
  <c r="DJ72" i="21"/>
  <c r="DJ73" i="21"/>
  <c r="DJ74" i="21"/>
  <c r="DJ75" i="21"/>
  <c r="DJ76" i="21"/>
  <c r="DK13" i="21"/>
  <c r="DK14" i="21"/>
  <c r="DK15" i="21"/>
  <c r="DK16" i="21"/>
  <c r="DK17" i="21"/>
  <c r="DK18" i="21"/>
  <c r="DK19" i="21"/>
  <c r="DK20" i="21"/>
  <c r="DK21" i="21"/>
  <c r="DK22" i="21"/>
  <c r="DK23" i="21"/>
  <c r="DK24" i="21"/>
  <c r="DK25" i="21"/>
  <c r="DK26" i="21"/>
  <c r="DK27" i="21"/>
  <c r="DK28" i="21"/>
  <c r="DK29" i="21"/>
  <c r="DK30" i="21"/>
  <c r="DK31" i="21"/>
  <c r="DK32" i="21"/>
  <c r="DK33" i="21"/>
  <c r="DK34" i="21"/>
  <c r="DK35" i="21"/>
  <c r="DK36" i="21"/>
  <c r="DK37" i="21"/>
  <c r="DK38" i="21"/>
  <c r="DK39" i="21"/>
  <c r="DK40" i="21"/>
  <c r="DK41" i="21"/>
  <c r="DK42" i="21"/>
  <c r="DK43" i="21"/>
  <c r="DK44" i="21"/>
  <c r="DK45" i="21"/>
  <c r="DK46" i="21"/>
  <c r="DK47" i="21"/>
  <c r="DK48" i="21"/>
  <c r="DK49" i="21"/>
  <c r="DK50" i="21"/>
  <c r="DK51" i="21"/>
  <c r="DK52" i="21"/>
  <c r="DK53" i="21"/>
  <c r="DK54" i="21"/>
  <c r="DK55" i="21"/>
  <c r="DK56" i="21"/>
  <c r="DK57" i="21"/>
  <c r="DK58" i="21"/>
  <c r="DK59" i="21"/>
  <c r="DK60" i="21"/>
  <c r="DK61" i="21"/>
  <c r="DK62" i="21"/>
  <c r="DK63" i="21"/>
  <c r="DK64" i="21"/>
  <c r="DK65" i="21"/>
  <c r="DK66" i="21"/>
  <c r="DK67" i="21"/>
  <c r="DK68" i="21"/>
  <c r="DK69" i="21"/>
  <c r="DK70" i="21"/>
  <c r="DK71" i="21"/>
  <c r="DK72" i="21"/>
  <c r="DK73" i="21"/>
  <c r="DK74" i="21"/>
  <c r="DK75" i="21"/>
  <c r="DK76" i="21"/>
  <c r="F5" i="23"/>
  <c r="F6" i="23"/>
  <c r="F7" i="23"/>
  <c r="F8" i="23"/>
  <c r="F9" i="23"/>
  <c r="F10" i="23"/>
  <c r="F11" i="23"/>
  <c r="F12" i="23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9" i="23"/>
  <c r="F40" i="23"/>
  <c r="F41" i="23"/>
  <c r="F42" i="23"/>
  <c r="F43" i="23"/>
  <c r="F44" i="23"/>
  <c r="F45" i="23"/>
  <c r="F46" i="23"/>
  <c r="F47" i="23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F101" i="23"/>
  <c r="F102" i="23"/>
  <c r="F103" i="23"/>
  <c r="F104" i="23"/>
  <c r="F105" i="23"/>
  <c r="F106" i="23"/>
  <c r="F107" i="23"/>
  <c r="F108" i="23"/>
  <c r="F109" i="23"/>
  <c r="F110" i="23"/>
  <c r="F111" i="23"/>
  <c r="F112" i="23"/>
  <c r="F113" i="23"/>
  <c r="F114" i="23"/>
  <c r="F115" i="23"/>
  <c r="F116" i="23"/>
  <c r="F117" i="23"/>
  <c r="F118" i="23"/>
  <c r="F119" i="23"/>
  <c r="F120" i="23"/>
  <c r="F121" i="23"/>
  <c r="F122" i="23"/>
  <c r="F123" i="23"/>
  <c r="F124" i="23"/>
  <c r="F125" i="23"/>
  <c r="F126" i="23"/>
  <c r="F127" i="23"/>
  <c r="F128" i="23"/>
  <c r="F129" i="23"/>
  <c r="F130" i="23"/>
  <c r="F131" i="23"/>
  <c r="F132" i="23"/>
  <c r="F133" i="23"/>
  <c r="F134" i="23"/>
  <c r="F135" i="23"/>
  <c r="F136" i="23"/>
  <c r="F137" i="23"/>
  <c r="F138" i="23"/>
  <c r="F139" i="23"/>
  <c r="F140" i="23"/>
  <c r="F141" i="23"/>
  <c r="F142" i="23"/>
  <c r="F143" i="23"/>
  <c r="F144" i="23"/>
  <c r="F145" i="23"/>
  <c r="F146" i="23"/>
  <c r="F147" i="23"/>
  <c r="F148" i="23"/>
  <c r="F149" i="23"/>
  <c r="F150" i="23"/>
  <c r="F151" i="23"/>
  <c r="F152" i="23"/>
  <c r="F153" i="23"/>
  <c r="F154" i="23"/>
  <c r="F155" i="23"/>
  <c r="F156" i="23"/>
  <c r="F157" i="23"/>
  <c r="F158" i="23"/>
  <c r="F159" i="23"/>
  <c r="F160" i="23"/>
  <c r="F161" i="23"/>
  <c r="F162" i="23"/>
  <c r="F163" i="23"/>
  <c r="F164" i="23"/>
  <c r="F165" i="23"/>
  <c r="F166" i="23"/>
  <c r="F167" i="23"/>
  <c r="F168" i="23"/>
  <c r="F169" i="23"/>
  <c r="F170" i="23"/>
  <c r="F171" i="23"/>
  <c r="F172" i="23"/>
  <c r="F173" i="23"/>
  <c r="F174" i="23"/>
  <c r="F175" i="23"/>
  <c r="F176" i="23"/>
  <c r="F177" i="23"/>
  <c r="F178" i="23"/>
  <c r="F179" i="23"/>
  <c r="F180" i="23"/>
  <c r="F181" i="23"/>
  <c r="F182" i="23"/>
  <c r="F183" i="23"/>
  <c r="F184" i="23"/>
  <c r="F185" i="23"/>
  <c r="F186" i="23"/>
  <c r="F187" i="23"/>
  <c r="F188" i="23"/>
  <c r="F189" i="23"/>
  <c r="F190" i="23"/>
  <c r="F191" i="23"/>
  <c r="F192" i="23"/>
  <c r="F193" i="23"/>
  <c r="F194" i="23"/>
  <c r="F195" i="23"/>
  <c r="F196" i="23"/>
  <c r="F197" i="23"/>
  <c r="F198" i="23"/>
  <c r="F199" i="23"/>
  <c r="F200" i="23"/>
  <c r="F201" i="23"/>
  <c r="F202" i="23"/>
  <c r="F203" i="23"/>
  <c r="F204" i="23"/>
  <c r="F205" i="23"/>
  <c r="F206" i="23"/>
  <c r="F207" i="23"/>
  <c r="F208" i="23"/>
  <c r="F209" i="23"/>
  <c r="F210" i="23"/>
  <c r="F211" i="23"/>
  <c r="F212" i="23"/>
  <c r="F213" i="23"/>
  <c r="F214" i="23"/>
  <c r="F215" i="23"/>
  <c r="F216" i="23"/>
  <c r="F217" i="23"/>
  <c r="F218" i="23"/>
  <c r="F219" i="23"/>
  <c r="F220" i="23"/>
  <c r="F221" i="23"/>
  <c r="F222" i="23"/>
  <c r="F223" i="23"/>
  <c r="F224" i="23"/>
  <c r="F225" i="23"/>
  <c r="F226" i="23"/>
  <c r="F227" i="23"/>
  <c r="F228" i="23"/>
  <c r="F229" i="23"/>
  <c r="F230" i="23"/>
  <c r="F231" i="23"/>
  <c r="F4" i="23"/>
  <c r="E231" i="23"/>
  <c r="E230" i="23"/>
  <c r="E229" i="23"/>
  <c r="E228" i="23"/>
  <c r="E227" i="23"/>
  <c r="E226" i="23"/>
  <c r="E225" i="23"/>
  <c r="E224" i="23"/>
  <c r="E223" i="23"/>
  <c r="E222" i="23"/>
  <c r="E221" i="23"/>
  <c r="E220" i="23"/>
  <c r="E219" i="23"/>
  <c r="E218" i="23"/>
  <c r="E217" i="23"/>
  <c r="E216" i="23"/>
  <c r="E215" i="23"/>
  <c r="E214" i="23"/>
  <c r="E213" i="23"/>
  <c r="E212" i="23"/>
  <c r="E211" i="23"/>
  <c r="E210" i="23"/>
  <c r="E209" i="23"/>
  <c r="E208" i="23"/>
  <c r="E207" i="23"/>
  <c r="E206" i="23"/>
  <c r="E205" i="23"/>
  <c r="E204" i="23"/>
  <c r="E203" i="23"/>
  <c r="E202" i="23"/>
  <c r="E201" i="23"/>
  <c r="E200" i="23"/>
  <c r="E199" i="23"/>
  <c r="E198" i="23"/>
  <c r="E197" i="23"/>
  <c r="E196" i="23"/>
  <c r="E195" i="23"/>
  <c r="E194" i="23"/>
  <c r="E193" i="23"/>
  <c r="E192" i="23"/>
  <c r="E191" i="23"/>
  <c r="E190" i="23"/>
  <c r="E189" i="23"/>
  <c r="E188" i="23"/>
  <c r="E187" i="23"/>
  <c r="E186" i="23"/>
  <c r="E185" i="23"/>
  <c r="E184" i="23"/>
  <c r="E183" i="23"/>
  <c r="E182" i="23"/>
  <c r="E181" i="23"/>
  <c r="E180" i="23"/>
  <c r="E179" i="23"/>
  <c r="E178" i="23"/>
  <c r="E177" i="23"/>
  <c r="E176" i="23"/>
  <c r="E175" i="23"/>
  <c r="E174" i="23"/>
  <c r="E173" i="23"/>
  <c r="E172" i="23"/>
  <c r="E171" i="23"/>
  <c r="E170" i="23"/>
  <c r="E169" i="23"/>
  <c r="E168" i="23"/>
  <c r="E167" i="23"/>
  <c r="E166" i="23"/>
  <c r="E165" i="23"/>
  <c r="E164" i="23"/>
  <c r="E163" i="23"/>
  <c r="E162" i="23"/>
  <c r="E161" i="23"/>
  <c r="E160" i="23"/>
  <c r="E159" i="23"/>
  <c r="E158" i="23"/>
  <c r="E157" i="23"/>
  <c r="E156" i="23"/>
  <c r="E155" i="23"/>
  <c r="E154" i="23"/>
  <c r="E153" i="23"/>
  <c r="E152" i="23"/>
  <c r="E151" i="23"/>
  <c r="E150" i="23"/>
  <c r="E149" i="23"/>
  <c r="E148" i="23"/>
  <c r="E147" i="23"/>
  <c r="E146" i="23"/>
  <c r="E145" i="23"/>
  <c r="E144" i="23"/>
  <c r="E143" i="23"/>
  <c r="E142" i="23"/>
  <c r="E141" i="23"/>
  <c r="E140" i="23"/>
  <c r="E139" i="23"/>
  <c r="E138" i="23"/>
  <c r="E137" i="23"/>
  <c r="E136" i="23"/>
  <c r="E135" i="23"/>
  <c r="E134" i="23"/>
  <c r="E133" i="23"/>
  <c r="E132" i="23"/>
  <c r="E131" i="23"/>
  <c r="E130" i="23"/>
  <c r="E129" i="23"/>
  <c r="E128" i="23"/>
  <c r="E127" i="23"/>
  <c r="E126" i="23"/>
  <c r="E125" i="23"/>
  <c r="E124" i="23"/>
  <c r="E123" i="23"/>
  <c r="E122" i="23"/>
  <c r="E121" i="23"/>
  <c r="E120" i="23"/>
  <c r="E119" i="23"/>
  <c r="E118" i="23"/>
  <c r="E117" i="23"/>
  <c r="E116" i="23"/>
  <c r="E115" i="23"/>
  <c r="E114" i="23"/>
  <c r="E113" i="23"/>
  <c r="E112" i="23"/>
  <c r="E111" i="23"/>
  <c r="E110" i="23"/>
  <c r="E109" i="23"/>
  <c r="E108" i="23"/>
  <c r="E107" i="23"/>
  <c r="E106" i="23"/>
  <c r="E105" i="23"/>
  <c r="E104" i="23"/>
  <c r="E103" i="23"/>
  <c r="E102" i="23"/>
  <c r="E101" i="23"/>
  <c r="E100" i="23"/>
  <c r="E99" i="23"/>
  <c r="E98" i="23"/>
  <c r="E97" i="23"/>
  <c r="E96" i="23"/>
  <c r="E95" i="23"/>
  <c r="E94" i="23"/>
  <c r="E93" i="23"/>
  <c r="E92" i="23"/>
  <c r="E91" i="23"/>
  <c r="E90" i="23"/>
  <c r="E89" i="23"/>
  <c r="E88" i="23"/>
  <c r="E87" i="23"/>
  <c r="E86" i="23"/>
  <c r="E85" i="23"/>
  <c r="E84" i="23"/>
  <c r="E83" i="23"/>
  <c r="E82" i="23"/>
  <c r="E81" i="23"/>
  <c r="E80" i="23"/>
  <c r="E79" i="23"/>
  <c r="E78" i="23"/>
  <c r="E77" i="23"/>
  <c r="E76" i="23"/>
  <c r="E75" i="23"/>
  <c r="E74" i="23"/>
  <c r="E73" i="23"/>
  <c r="E72" i="23"/>
  <c r="E71" i="23"/>
  <c r="E70" i="23"/>
  <c r="E69" i="23"/>
  <c r="E68" i="23"/>
  <c r="E67" i="23"/>
  <c r="E66" i="23"/>
  <c r="E65" i="23"/>
  <c r="E64" i="23"/>
  <c r="E63" i="23"/>
  <c r="E62" i="23"/>
  <c r="E61" i="23"/>
  <c r="E60" i="23"/>
  <c r="E59" i="23"/>
  <c r="E58" i="23"/>
  <c r="E57" i="23"/>
  <c r="E56" i="23"/>
  <c r="E55" i="23"/>
  <c r="E54" i="23"/>
  <c r="E53" i="23"/>
  <c r="E52" i="23"/>
  <c r="E51" i="23"/>
  <c r="E50" i="23"/>
  <c r="E49" i="23"/>
  <c r="E48" i="23"/>
  <c r="E47" i="23"/>
  <c r="E46" i="23"/>
  <c r="E45" i="23"/>
  <c r="E44" i="23"/>
  <c r="E43" i="23"/>
  <c r="E42" i="23"/>
  <c r="E41" i="23"/>
  <c r="E40" i="23"/>
  <c r="E39" i="23"/>
  <c r="E38" i="23"/>
  <c r="F38" i="23" s="1"/>
  <c r="E37" i="23"/>
  <c r="E36" i="23"/>
  <c r="E35" i="23"/>
  <c r="E34" i="23"/>
  <c r="E33" i="23"/>
  <c r="E32" i="23"/>
  <c r="E31" i="23"/>
  <c r="E30" i="23"/>
  <c r="E29" i="23"/>
  <c r="E28" i="23"/>
  <c r="E27" i="23"/>
  <c r="E26" i="23"/>
  <c r="E25" i="23"/>
  <c r="E24" i="23"/>
  <c r="E23" i="23"/>
  <c r="E22" i="23"/>
  <c r="E21" i="23"/>
  <c r="E20" i="23"/>
  <c r="E19" i="23"/>
  <c r="E18" i="23"/>
  <c r="E17" i="23"/>
  <c r="E16" i="23"/>
  <c r="E15" i="23"/>
  <c r="E14" i="23"/>
  <c r="E13" i="23"/>
  <c r="E12" i="23"/>
  <c r="E11" i="23"/>
  <c r="E10" i="23"/>
  <c r="E9" i="23"/>
  <c r="E8" i="23"/>
  <c r="E7" i="23"/>
  <c r="E6" i="23"/>
  <c r="E5" i="23"/>
  <c r="E4" i="23"/>
  <c r="S30" i="22"/>
  <c r="S29" i="22"/>
  <c r="S28" i="22"/>
  <c r="S27" i="22"/>
  <c r="S26" i="22"/>
  <c r="S25" i="22"/>
  <c r="S24" i="22"/>
  <c r="S23" i="22"/>
  <c r="S22" i="22"/>
  <c r="S15" i="22"/>
  <c r="S14" i="22"/>
  <c r="R10" i="22"/>
  <c r="P24" i="22" l="1"/>
  <c r="P25" i="22"/>
  <c r="P26" i="22"/>
  <c r="P27" i="22"/>
  <c r="P30" i="22"/>
  <c r="P22" i="22"/>
  <c r="P28" i="22"/>
  <c r="DH82" i="26"/>
  <c r="DI82" i="26" s="1"/>
  <c r="DH81" i="26"/>
  <c r="DI81" i="26" s="1"/>
  <c r="DH12" i="26"/>
  <c r="R11" i="22" s="1"/>
  <c r="G5" i="23"/>
  <c r="G7" i="23"/>
  <c r="G9" i="23"/>
  <c r="G11" i="23"/>
  <c r="G13" i="23"/>
  <c r="G15" i="23"/>
  <c r="G17" i="23"/>
  <c r="G19" i="23"/>
  <c r="G21" i="23"/>
  <c r="G23" i="23"/>
  <c r="G25" i="23"/>
  <c r="G27" i="23"/>
  <c r="G29" i="23"/>
  <c r="G31" i="23"/>
  <c r="G33" i="23"/>
  <c r="G35" i="23"/>
  <c r="G37" i="23"/>
  <c r="G39" i="23"/>
  <c r="G41" i="23"/>
  <c r="G43" i="23"/>
  <c r="G45" i="23"/>
  <c r="G47" i="23"/>
  <c r="G49" i="23"/>
  <c r="G51" i="23"/>
  <c r="G53" i="23"/>
  <c r="G55" i="23"/>
  <c r="G57" i="23"/>
  <c r="G59" i="23"/>
  <c r="G61" i="23"/>
  <c r="G63" i="23"/>
  <c r="G65" i="23"/>
  <c r="G67" i="23"/>
  <c r="G69" i="23"/>
  <c r="G71" i="23"/>
  <c r="G73" i="23"/>
  <c r="G75" i="23"/>
  <c r="G77" i="23"/>
  <c r="G79" i="23"/>
  <c r="G81" i="23"/>
  <c r="G83" i="23"/>
  <c r="G85" i="23"/>
  <c r="G87" i="23"/>
  <c r="G89" i="23"/>
  <c r="G91" i="23"/>
  <c r="G93" i="23"/>
  <c r="G95" i="23"/>
  <c r="G97" i="23"/>
  <c r="G99" i="23"/>
  <c r="G101" i="23"/>
  <c r="G103" i="23"/>
  <c r="G105" i="23"/>
  <c r="G107" i="23"/>
  <c r="G109" i="23"/>
  <c r="G111" i="23"/>
  <c r="G113" i="23"/>
  <c r="G115" i="23"/>
  <c r="G117" i="23"/>
  <c r="G119" i="23"/>
  <c r="G121" i="23"/>
  <c r="G123" i="23"/>
  <c r="G125" i="23"/>
  <c r="G127" i="23"/>
  <c r="G129" i="23"/>
  <c r="G131" i="23"/>
  <c r="G133" i="23"/>
  <c r="G135" i="23"/>
  <c r="G137" i="23"/>
  <c r="G139" i="23"/>
  <c r="G141" i="23"/>
  <c r="G143" i="23"/>
  <c r="G145" i="23"/>
  <c r="G147" i="23"/>
  <c r="G149" i="23"/>
  <c r="G151" i="23"/>
  <c r="G153" i="23"/>
  <c r="G155" i="23"/>
  <c r="G157" i="23"/>
  <c r="G159" i="23"/>
  <c r="G161" i="23"/>
  <c r="G163" i="23"/>
  <c r="G165" i="23"/>
  <c r="G167" i="23"/>
  <c r="G169" i="23"/>
  <c r="G171" i="23"/>
  <c r="G173" i="23"/>
  <c r="G175" i="23"/>
  <c r="G177" i="23"/>
  <c r="G179" i="23"/>
  <c r="G181" i="23"/>
  <c r="G183" i="23"/>
  <c r="G185" i="23"/>
  <c r="G187" i="23"/>
  <c r="G189" i="23"/>
  <c r="G191" i="23"/>
  <c r="G193" i="23"/>
  <c r="G195" i="23"/>
  <c r="G197" i="23"/>
  <c r="G199" i="23"/>
  <c r="G201" i="23"/>
  <c r="G203" i="23"/>
  <c r="G205" i="23"/>
  <c r="G207" i="23"/>
  <c r="G209" i="23"/>
  <c r="G211" i="23"/>
  <c r="G213" i="23"/>
  <c r="G215" i="23"/>
  <c r="G217" i="23"/>
  <c r="G219" i="23"/>
  <c r="G221" i="23"/>
  <c r="G223" i="23"/>
  <c r="G225" i="23"/>
  <c r="G227" i="23"/>
  <c r="G4" i="23"/>
  <c r="P14" i="22" s="1"/>
  <c r="G6" i="23"/>
  <c r="G8" i="23"/>
  <c r="G10" i="23"/>
  <c r="G12" i="23"/>
  <c r="G14" i="23"/>
  <c r="G16" i="23"/>
  <c r="G18" i="23"/>
  <c r="G20" i="23"/>
  <c r="G22" i="23"/>
  <c r="G24" i="23"/>
  <c r="G26" i="23"/>
  <c r="G28" i="23"/>
  <c r="G30" i="23"/>
  <c r="G32" i="23"/>
  <c r="G34" i="23"/>
  <c r="G36" i="23"/>
  <c r="G38" i="23"/>
  <c r="G40" i="23"/>
  <c r="G42" i="23"/>
  <c r="G44" i="23"/>
  <c r="G46" i="23"/>
  <c r="G48" i="23"/>
  <c r="G50" i="23"/>
  <c r="G52" i="23"/>
  <c r="G54" i="23"/>
  <c r="G56" i="23"/>
  <c r="G58" i="23"/>
  <c r="G60" i="23"/>
  <c r="G62" i="23"/>
  <c r="G64" i="23"/>
  <c r="G66" i="23"/>
  <c r="G68" i="23"/>
  <c r="G70" i="23"/>
  <c r="G72" i="23"/>
  <c r="G74" i="23"/>
  <c r="G76" i="23"/>
  <c r="G78" i="23"/>
  <c r="G80" i="23"/>
  <c r="G82" i="23"/>
  <c r="G84" i="23"/>
  <c r="G86" i="23"/>
  <c r="G88" i="23"/>
  <c r="G90" i="23"/>
  <c r="G92" i="23"/>
  <c r="G94" i="23"/>
  <c r="G96" i="23"/>
  <c r="G98" i="23"/>
  <c r="G100" i="23"/>
  <c r="G102" i="23"/>
  <c r="G104" i="23"/>
  <c r="G106" i="23"/>
  <c r="G108" i="23"/>
  <c r="G110" i="23"/>
  <c r="G112" i="23"/>
  <c r="G114" i="23"/>
  <c r="G116" i="23"/>
  <c r="G118" i="23"/>
  <c r="G120" i="23"/>
  <c r="G122" i="23"/>
  <c r="G124" i="23"/>
  <c r="G126" i="23"/>
  <c r="G128" i="23"/>
  <c r="G130" i="23"/>
  <c r="G132" i="23"/>
  <c r="G134" i="23"/>
  <c r="G136" i="23"/>
  <c r="G138" i="23"/>
  <c r="G140" i="23"/>
  <c r="G142" i="23"/>
  <c r="G144" i="23"/>
  <c r="G146" i="23"/>
  <c r="G148" i="23"/>
  <c r="G150" i="23"/>
  <c r="G152" i="23"/>
  <c r="G154" i="23"/>
  <c r="G156" i="23"/>
  <c r="G158" i="23"/>
  <c r="G160" i="23"/>
  <c r="G162" i="23"/>
  <c r="G164" i="23"/>
  <c r="G166" i="23"/>
  <c r="G168" i="23"/>
  <c r="G170" i="23"/>
  <c r="G172" i="23"/>
  <c r="G174" i="23"/>
  <c r="G176" i="23"/>
  <c r="G178" i="23"/>
  <c r="G180" i="23"/>
  <c r="G182" i="23"/>
  <c r="G184" i="23"/>
  <c r="G186" i="23"/>
  <c r="G188" i="23"/>
  <c r="G190" i="23"/>
  <c r="G192" i="23"/>
  <c r="G194" i="23"/>
  <c r="G196" i="23"/>
  <c r="G198" i="23"/>
  <c r="G200" i="23"/>
  <c r="G202" i="23"/>
  <c r="G204" i="23"/>
  <c r="G206" i="23"/>
  <c r="G208" i="23"/>
  <c r="G210" i="23"/>
  <c r="G212" i="23"/>
  <c r="G214" i="23"/>
  <c r="G216" i="23"/>
  <c r="G218" i="23"/>
  <c r="G220" i="23"/>
  <c r="G222" i="23"/>
  <c r="G224" i="23"/>
  <c r="G226" i="23"/>
  <c r="G228" i="23"/>
  <c r="G230" i="23"/>
  <c r="G229" i="23"/>
  <c r="G231" i="23"/>
  <c r="CY59" i="21" l="1"/>
  <c r="DA78" i="21" l="1"/>
  <c r="CX78" i="21"/>
  <c r="CW78" i="21"/>
  <c r="CV78" i="21"/>
  <c r="CU78" i="21"/>
  <c r="DA77" i="21"/>
  <c r="CX77" i="21"/>
  <c r="CW77" i="21"/>
  <c r="CV77" i="21"/>
  <c r="CU77" i="21"/>
  <c r="CO78" i="21"/>
  <c r="CL78" i="21"/>
  <c r="CK78" i="21"/>
  <c r="CJ78" i="21"/>
  <c r="CI78" i="21"/>
  <c r="CO77" i="21"/>
  <c r="CL77" i="21"/>
  <c r="CK77" i="21"/>
  <c r="CJ77" i="21"/>
  <c r="CI77" i="21"/>
  <c r="CC78" i="21"/>
  <c r="BZ78" i="21"/>
  <c r="BY78" i="21"/>
  <c r="BX78" i="21"/>
  <c r="BW78" i="21"/>
  <c r="CC77" i="21"/>
  <c r="BZ77" i="21"/>
  <c r="BY77" i="21"/>
  <c r="BX77" i="21"/>
  <c r="BW77" i="21"/>
  <c r="BQ78" i="21"/>
  <c r="BN78" i="21"/>
  <c r="BM78" i="21"/>
  <c r="BL78" i="21"/>
  <c r="BK78" i="21"/>
  <c r="BQ77" i="21"/>
  <c r="BN77" i="21"/>
  <c r="BM77" i="21"/>
  <c r="BL77" i="21"/>
  <c r="BK77" i="21"/>
  <c r="BE78" i="21"/>
  <c r="BB78" i="21"/>
  <c r="BA78" i="21"/>
  <c r="AZ78" i="21"/>
  <c r="BE77" i="21"/>
  <c r="BB77" i="21"/>
  <c r="BA77" i="21"/>
  <c r="AZ77" i="21"/>
  <c r="AS78" i="21"/>
  <c r="AP78" i="21"/>
  <c r="AO78" i="21"/>
  <c r="AN78" i="21"/>
  <c r="AS77" i="21"/>
  <c r="AP77" i="21"/>
  <c r="AO77" i="21"/>
  <c r="AN77" i="21"/>
  <c r="AG78" i="21"/>
  <c r="AD78" i="21"/>
  <c r="AC78" i="21"/>
  <c r="AB78" i="21"/>
  <c r="AG77" i="21"/>
  <c r="AD77" i="21"/>
  <c r="AC77" i="21"/>
  <c r="AB77" i="21"/>
  <c r="R78" i="21"/>
  <c r="Q78" i="21"/>
  <c r="P78" i="21"/>
  <c r="U77" i="21"/>
  <c r="R77" i="21"/>
  <c r="Q77" i="21"/>
  <c r="P77" i="21"/>
  <c r="D78" i="21"/>
  <c r="E78" i="21"/>
  <c r="F78" i="21"/>
  <c r="D77" i="21" l="1"/>
  <c r="E77" i="21"/>
  <c r="F77" i="21"/>
  <c r="F6" i="21" l="1"/>
  <c r="C78" i="21"/>
  <c r="AY78" i="21" l="1"/>
  <c r="AY77" i="21"/>
  <c r="AM78" i="21"/>
  <c r="AM77" i="21"/>
  <c r="AA78" i="21"/>
  <c r="AA77" i="21"/>
  <c r="O78" i="21"/>
  <c r="O77" i="21"/>
  <c r="C77" i="21"/>
  <c r="CY76" i="21"/>
  <c r="CM76" i="21"/>
  <c r="CA76" i="21"/>
  <c r="BO76" i="21"/>
  <c r="BC76" i="21"/>
  <c r="AQ76" i="21"/>
  <c r="AE76" i="21"/>
  <c r="S76" i="21"/>
  <c r="G76" i="21"/>
  <c r="CY75" i="21"/>
  <c r="CM75" i="21"/>
  <c r="CA75" i="21"/>
  <c r="BO75" i="21"/>
  <c r="BC75" i="21"/>
  <c r="AQ75" i="21"/>
  <c r="AE75" i="21"/>
  <c r="S75" i="21"/>
  <c r="G75" i="21"/>
  <c r="CY74" i="21"/>
  <c r="CM74" i="21"/>
  <c r="CA74" i="21"/>
  <c r="BO74" i="21"/>
  <c r="BC74" i="21"/>
  <c r="AQ74" i="21"/>
  <c r="AE74" i="21"/>
  <c r="S74" i="21"/>
  <c r="G74" i="21"/>
  <c r="CY73" i="21"/>
  <c r="CM73" i="21"/>
  <c r="CA73" i="21"/>
  <c r="BO73" i="21"/>
  <c r="BC73" i="21"/>
  <c r="AQ73" i="21"/>
  <c r="AE73" i="21"/>
  <c r="S73" i="21"/>
  <c r="G73" i="21"/>
  <c r="CY72" i="21"/>
  <c r="CM72" i="21"/>
  <c r="CA72" i="21"/>
  <c r="BO72" i="21"/>
  <c r="BC72" i="21"/>
  <c r="AQ72" i="21"/>
  <c r="AE72" i="21"/>
  <c r="S72" i="21"/>
  <c r="G72" i="21"/>
  <c r="CY71" i="21"/>
  <c r="CM71" i="21"/>
  <c r="CQ71" i="21" s="1"/>
  <c r="CA71" i="21"/>
  <c r="BO71" i="21"/>
  <c r="BC71" i="21"/>
  <c r="AQ71" i="21"/>
  <c r="AE71" i="21"/>
  <c r="S71" i="21"/>
  <c r="G71" i="21"/>
  <c r="CY70" i="21"/>
  <c r="CM70" i="21"/>
  <c r="CA70" i="21"/>
  <c r="BO70" i="21"/>
  <c r="BC70" i="21"/>
  <c r="AQ70" i="21"/>
  <c r="AE70" i="21"/>
  <c r="S70" i="21"/>
  <c r="G70" i="21"/>
  <c r="CY69" i="21"/>
  <c r="CM69" i="21"/>
  <c r="CA69" i="21"/>
  <c r="BO69" i="21"/>
  <c r="BC69" i="21"/>
  <c r="AQ69" i="21"/>
  <c r="AE69" i="21"/>
  <c r="S69" i="21"/>
  <c r="G69" i="21"/>
  <c r="CY68" i="21"/>
  <c r="CM68" i="21"/>
  <c r="CA68" i="21"/>
  <c r="BO68" i="21"/>
  <c r="BC68" i="21"/>
  <c r="AQ68" i="21"/>
  <c r="AE68" i="21"/>
  <c r="S68" i="21"/>
  <c r="G68" i="21"/>
  <c r="CY67" i="21"/>
  <c r="CM67" i="21"/>
  <c r="CA67" i="21"/>
  <c r="BO67" i="21"/>
  <c r="BC67" i="21"/>
  <c r="AQ67" i="21"/>
  <c r="AU67" i="21" s="1"/>
  <c r="AE67" i="21"/>
  <c r="S67" i="21"/>
  <c r="G67" i="21"/>
  <c r="CY66" i="21"/>
  <c r="CM66" i="21"/>
  <c r="CA66" i="21"/>
  <c r="CE66" i="21" s="1"/>
  <c r="BO66" i="21"/>
  <c r="BC66" i="21"/>
  <c r="AQ66" i="21"/>
  <c r="AE66" i="21"/>
  <c r="S66" i="21"/>
  <c r="G66" i="21"/>
  <c r="CY65" i="21"/>
  <c r="CM65" i="21"/>
  <c r="CA65" i="21"/>
  <c r="BO65" i="21"/>
  <c r="BC65" i="21"/>
  <c r="AQ65" i="21"/>
  <c r="AE65" i="21"/>
  <c r="S65" i="21"/>
  <c r="G65" i="21"/>
  <c r="CY64" i="21"/>
  <c r="CM64" i="21"/>
  <c r="CA64" i="21"/>
  <c r="BO64" i="21"/>
  <c r="BC64" i="21"/>
  <c r="AQ64" i="21"/>
  <c r="AE64" i="21"/>
  <c r="S64" i="21"/>
  <c r="G64" i="21"/>
  <c r="CY63" i="21"/>
  <c r="CM63" i="21"/>
  <c r="CA63" i="21"/>
  <c r="BO63" i="21"/>
  <c r="BC63" i="21"/>
  <c r="AQ63" i="21"/>
  <c r="AE63" i="21"/>
  <c r="S63" i="21"/>
  <c r="G63" i="21"/>
  <c r="CY62" i="21"/>
  <c r="CM62" i="21"/>
  <c r="CA62" i="21"/>
  <c r="BO62" i="21"/>
  <c r="BC62" i="21"/>
  <c r="AQ62" i="21"/>
  <c r="AE62" i="21"/>
  <c r="S62" i="21"/>
  <c r="G62" i="21"/>
  <c r="CY61" i="21"/>
  <c r="CM61" i="21"/>
  <c r="CA61" i="21"/>
  <c r="BO61" i="21"/>
  <c r="BS61" i="21" s="1"/>
  <c r="BC61" i="21"/>
  <c r="AQ61" i="21"/>
  <c r="AE61" i="21"/>
  <c r="S61" i="21"/>
  <c r="G61" i="21"/>
  <c r="CY60" i="21"/>
  <c r="CM60" i="21"/>
  <c r="CA60" i="21"/>
  <c r="BO60" i="21"/>
  <c r="BC60" i="21"/>
  <c r="AQ60" i="21"/>
  <c r="AE60" i="21"/>
  <c r="S60" i="21"/>
  <c r="G60" i="21"/>
  <c r="CM59" i="21"/>
  <c r="CA59" i="21"/>
  <c r="BO59" i="21"/>
  <c r="BC59" i="21"/>
  <c r="AQ59" i="21"/>
  <c r="AE59" i="21"/>
  <c r="S59" i="21"/>
  <c r="G59" i="21"/>
  <c r="CY58" i="21"/>
  <c r="CM58" i="21"/>
  <c r="CA58" i="21"/>
  <c r="BO58" i="21"/>
  <c r="BC58" i="21"/>
  <c r="AQ58" i="21"/>
  <c r="AE58" i="21"/>
  <c r="S58" i="21"/>
  <c r="G58" i="21"/>
  <c r="CY57" i="21"/>
  <c r="CM57" i="21"/>
  <c r="CA57" i="21"/>
  <c r="BO57" i="21"/>
  <c r="BC57" i="21"/>
  <c r="AQ57" i="21"/>
  <c r="AE57" i="21"/>
  <c r="S57" i="21"/>
  <c r="G57" i="21"/>
  <c r="CY56" i="21"/>
  <c r="CM56" i="21"/>
  <c r="CA56" i="21"/>
  <c r="BO56" i="21"/>
  <c r="BC56" i="21"/>
  <c r="AQ56" i="21"/>
  <c r="AE56" i="21"/>
  <c r="S56" i="21"/>
  <c r="G56" i="21"/>
  <c r="CY55" i="21"/>
  <c r="CM55" i="21"/>
  <c r="CA55" i="21"/>
  <c r="BO55" i="21"/>
  <c r="BC55" i="21"/>
  <c r="AQ55" i="21"/>
  <c r="AE55" i="21"/>
  <c r="S55" i="21"/>
  <c r="G55" i="21"/>
  <c r="CY54" i="21"/>
  <c r="DC54" i="21" s="1"/>
  <c r="CM54" i="21"/>
  <c r="CA54" i="21"/>
  <c r="BO54" i="21"/>
  <c r="BC54" i="21"/>
  <c r="AQ54" i="21"/>
  <c r="AE54" i="21"/>
  <c r="S54" i="21"/>
  <c r="G54" i="21"/>
  <c r="CY53" i="21"/>
  <c r="CM53" i="21"/>
  <c r="CA53" i="21"/>
  <c r="BO53" i="21"/>
  <c r="BC53" i="21"/>
  <c r="AQ53" i="21"/>
  <c r="AE53" i="21"/>
  <c r="S53" i="21"/>
  <c r="G53" i="21"/>
  <c r="CY52" i="21"/>
  <c r="CM52" i="21"/>
  <c r="CA52" i="21"/>
  <c r="BO52" i="21"/>
  <c r="BC52" i="21"/>
  <c r="AQ52" i="21"/>
  <c r="AE52" i="21"/>
  <c r="S52" i="21"/>
  <c r="G52" i="21"/>
  <c r="CY51" i="21"/>
  <c r="CM51" i="21"/>
  <c r="CA51" i="21"/>
  <c r="BO51" i="21"/>
  <c r="BC51" i="21"/>
  <c r="AQ51" i="21"/>
  <c r="AE51" i="21"/>
  <c r="S51" i="21"/>
  <c r="W51" i="21" s="1"/>
  <c r="G51" i="21"/>
  <c r="CY50" i="21"/>
  <c r="CM50" i="21"/>
  <c r="CA50" i="21"/>
  <c r="BO50" i="21"/>
  <c r="BC50" i="21"/>
  <c r="AQ50" i="21"/>
  <c r="AU50" i="21" s="1"/>
  <c r="AE50" i="21"/>
  <c r="S50" i="21"/>
  <c r="W50" i="21" s="1"/>
  <c r="G50" i="21"/>
  <c r="CY49" i="21"/>
  <c r="CM49" i="21"/>
  <c r="CA49" i="21"/>
  <c r="BO49" i="21"/>
  <c r="BC49" i="21"/>
  <c r="AQ49" i="21"/>
  <c r="AE49" i="21"/>
  <c r="S49" i="21"/>
  <c r="G49" i="21"/>
  <c r="CY48" i="21"/>
  <c r="CM48" i="21"/>
  <c r="CA48" i="21"/>
  <c r="CE48" i="21" s="1"/>
  <c r="BO48" i="21"/>
  <c r="BC48" i="21"/>
  <c r="AQ48" i="21"/>
  <c r="AE48" i="21"/>
  <c r="S48" i="21"/>
  <c r="G48" i="21"/>
  <c r="CY47" i="21"/>
  <c r="CM47" i="21"/>
  <c r="CA47" i="21"/>
  <c r="BO47" i="21"/>
  <c r="BC47" i="21"/>
  <c r="AQ47" i="21"/>
  <c r="AE47" i="21"/>
  <c r="S47" i="21"/>
  <c r="G47" i="21"/>
  <c r="CY46" i="21"/>
  <c r="CM46" i="21"/>
  <c r="CQ46" i="21" s="1"/>
  <c r="CA46" i="21"/>
  <c r="BO46" i="21"/>
  <c r="BC46" i="21"/>
  <c r="AQ46" i="21"/>
  <c r="AE46" i="21"/>
  <c r="S46" i="21"/>
  <c r="G46" i="21"/>
  <c r="CY45" i="21"/>
  <c r="CM45" i="21"/>
  <c r="CA45" i="21"/>
  <c r="BO45" i="21"/>
  <c r="BC45" i="21"/>
  <c r="AQ45" i="21"/>
  <c r="AE45" i="21"/>
  <c r="S45" i="21"/>
  <c r="G45" i="21"/>
  <c r="CY44" i="21"/>
  <c r="CM44" i="21"/>
  <c r="CQ44" i="21" s="1"/>
  <c r="CA44" i="21"/>
  <c r="BO44" i="21"/>
  <c r="BC44" i="21"/>
  <c r="AQ44" i="21"/>
  <c r="AE44" i="21"/>
  <c r="S44" i="21"/>
  <c r="G44" i="21"/>
  <c r="CY43" i="21"/>
  <c r="CM43" i="21"/>
  <c r="CA43" i="21"/>
  <c r="BO43" i="21"/>
  <c r="BC43" i="21"/>
  <c r="AQ43" i="21"/>
  <c r="AE43" i="21"/>
  <c r="S43" i="21"/>
  <c r="G43" i="21"/>
  <c r="CY42" i="21"/>
  <c r="CM42" i="21"/>
  <c r="CA42" i="21"/>
  <c r="BO42" i="21"/>
  <c r="BC42" i="21"/>
  <c r="AQ42" i="21"/>
  <c r="AE42" i="21"/>
  <c r="S42" i="21"/>
  <c r="G42" i="21"/>
  <c r="CY41" i="21"/>
  <c r="CM41" i="21"/>
  <c r="CA41" i="21"/>
  <c r="BO41" i="21"/>
  <c r="BC41" i="21"/>
  <c r="AQ41" i="21"/>
  <c r="AE41" i="21"/>
  <c r="S41" i="21"/>
  <c r="G41" i="21"/>
  <c r="CY40" i="21"/>
  <c r="CM40" i="21"/>
  <c r="CA40" i="21"/>
  <c r="BO40" i="21"/>
  <c r="BC40" i="21"/>
  <c r="AQ40" i="21"/>
  <c r="AE40" i="21"/>
  <c r="S40" i="21"/>
  <c r="G40" i="21"/>
  <c r="CY39" i="21"/>
  <c r="CM39" i="21"/>
  <c r="CA39" i="21"/>
  <c r="BO39" i="21"/>
  <c r="BC39" i="21"/>
  <c r="AQ39" i="21"/>
  <c r="AE39" i="21"/>
  <c r="S39" i="21"/>
  <c r="G39" i="21"/>
  <c r="CY38" i="21"/>
  <c r="CM38" i="21"/>
  <c r="CA38" i="21"/>
  <c r="BO38" i="21"/>
  <c r="BC38" i="21"/>
  <c r="AQ38" i="21"/>
  <c r="AE38" i="21"/>
  <c r="S38" i="21"/>
  <c r="G38" i="21"/>
  <c r="CY37" i="21"/>
  <c r="CM37" i="21"/>
  <c r="CA37" i="21"/>
  <c r="BO37" i="21"/>
  <c r="BC37" i="21"/>
  <c r="AQ37" i="21"/>
  <c r="AE37" i="21"/>
  <c r="S37" i="21"/>
  <c r="G37" i="21"/>
  <c r="CY36" i="21"/>
  <c r="CM36" i="21"/>
  <c r="CA36" i="21"/>
  <c r="BO36" i="21"/>
  <c r="BC36" i="21"/>
  <c r="AQ36" i="21"/>
  <c r="AE36" i="21"/>
  <c r="S36" i="21"/>
  <c r="W36" i="21" s="1"/>
  <c r="G36" i="21"/>
  <c r="CY35" i="21"/>
  <c r="CM35" i="21"/>
  <c r="CA35" i="21"/>
  <c r="BO35" i="21"/>
  <c r="BC35" i="21"/>
  <c r="AQ35" i="21"/>
  <c r="AE35" i="21"/>
  <c r="S35" i="21"/>
  <c r="G35" i="21"/>
  <c r="CY34" i="21"/>
  <c r="CM34" i="21"/>
  <c r="CA34" i="21"/>
  <c r="BO34" i="21"/>
  <c r="BC34" i="21"/>
  <c r="AQ34" i="21"/>
  <c r="AE34" i="21"/>
  <c r="S34" i="21"/>
  <c r="G34" i="21"/>
  <c r="CY33" i="21"/>
  <c r="CM33" i="21"/>
  <c r="CA33" i="21"/>
  <c r="BO33" i="21"/>
  <c r="BC33" i="21"/>
  <c r="AQ33" i="21"/>
  <c r="AE33" i="21"/>
  <c r="S33" i="21"/>
  <c r="G33" i="21"/>
  <c r="CY32" i="21"/>
  <c r="CM32" i="21"/>
  <c r="CA32" i="21"/>
  <c r="BO32" i="21"/>
  <c r="BC32" i="21"/>
  <c r="AQ32" i="21"/>
  <c r="AE32" i="21"/>
  <c r="S32" i="21"/>
  <c r="W32" i="21" s="1"/>
  <c r="G32" i="21"/>
  <c r="CY31" i="21"/>
  <c r="CM31" i="21"/>
  <c r="CA31" i="21"/>
  <c r="BO31" i="21"/>
  <c r="BC31" i="21"/>
  <c r="AQ31" i="21"/>
  <c r="AE31" i="21"/>
  <c r="S31" i="21"/>
  <c r="G31" i="21"/>
  <c r="CY30" i="21"/>
  <c r="CM30" i="21"/>
  <c r="CA30" i="21"/>
  <c r="BO30" i="21"/>
  <c r="BC30" i="21"/>
  <c r="AQ30" i="21"/>
  <c r="AE30" i="21"/>
  <c r="S30" i="21"/>
  <c r="G30" i="21"/>
  <c r="CY29" i="21"/>
  <c r="CM29" i="21"/>
  <c r="CA29" i="21"/>
  <c r="BO29" i="21"/>
  <c r="BC29" i="21"/>
  <c r="AQ29" i="21"/>
  <c r="AE29" i="21"/>
  <c r="S29" i="21"/>
  <c r="G29" i="21"/>
  <c r="CY28" i="21"/>
  <c r="CM28" i="21"/>
  <c r="CA28" i="21"/>
  <c r="BO28" i="21"/>
  <c r="BC28" i="21"/>
  <c r="AQ28" i="21"/>
  <c r="AE28" i="21"/>
  <c r="S28" i="21"/>
  <c r="G28" i="21"/>
  <c r="CY27" i="21"/>
  <c r="CM27" i="21"/>
  <c r="CA27" i="21"/>
  <c r="BO27" i="21"/>
  <c r="BC27" i="21"/>
  <c r="AQ27" i="21"/>
  <c r="AE27" i="21"/>
  <c r="S27" i="21"/>
  <c r="G27" i="21"/>
  <c r="CY26" i="21"/>
  <c r="CM26" i="21"/>
  <c r="CA26" i="21"/>
  <c r="BO26" i="21"/>
  <c r="BC26" i="21"/>
  <c r="AQ26" i="21"/>
  <c r="AE26" i="21"/>
  <c r="S26" i="21"/>
  <c r="G26" i="21"/>
  <c r="CY25" i="21"/>
  <c r="DC25" i="21" s="1"/>
  <c r="CM25" i="21"/>
  <c r="CA25" i="21"/>
  <c r="BO25" i="21"/>
  <c r="BC25" i="21"/>
  <c r="AQ25" i="21"/>
  <c r="AE25" i="21"/>
  <c r="S25" i="21"/>
  <c r="G25" i="21"/>
  <c r="CY24" i="21"/>
  <c r="CM24" i="21"/>
  <c r="CA24" i="21"/>
  <c r="BO24" i="21"/>
  <c r="BC24" i="21"/>
  <c r="AQ24" i="21"/>
  <c r="AE24" i="21"/>
  <c r="S24" i="21"/>
  <c r="G24" i="21"/>
  <c r="CY23" i="21"/>
  <c r="DC23" i="21" s="1"/>
  <c r="CM23" i="21"/>
  <c r="CA23" i="21"/>
  <c r="BO23" i="21"/>
  <c r="BC23" i="21"/>
  <c r="AQ23" i="21"/>
  <c r="AE23" i="21"/>
  <c r="S23" i="21"/>
  <c r="G23" i="21"/>
  <c r="CY22" i="21"/>
  <c r="CM22" i="21"/>
  <c r="CA22" i="21"/>
  <c r="BO22" i="21"/>
  <c r="BC22" i="21"/>
  <c r="AQ22" i="21"/>
  <c r="AE22" i="21"/>
  <c r="S22" i="21"/>
  <c r="G22" i="21"/>
  <c r="CY21" i="21"/>
  <c r="CM21" i="21"/>
  <c r="CA21" i="21"/>
  <c r="BO21" i="21"/>
  <c r="BC21" i="21"/>
  <c r="AQ21" i="21"/>
  <c r="AE21" i="21"/>
  <c r="S21" i="21"/>
  <c r="G21" i="21"/>
  <c r="CY20" i="21"/>
  <c r="CM20" i="21"/>
  <c r="CA20" i="21"/>
  <c r="BO20" i="21"/>
  <c r="BC20" i="21"/>
  <c r="AQ20" i="21"/>
  <c r="AE20" i="21"/>
  <c r="S20" i="21"/>
  <c r="G20" i="21"/>
  <c r="CY19" i="21"/>
  <c r="DC19" i="21" s="1"/>
  <c r="CM19" i="21"/>
  <c r="CA19" i="21"/>
  <c r="BO19" i="21"/>
  <c r="BC19" i="21"/>
  <c r="AQ19" i="21"/>
  <c r="AE19" i="21"/>
  <c r="S19" i="21"/>
  <c r="G19" i="21"/>
  <c r="CY18" i="21"/>
  <c r="CM18" i="21"/>
  <c r="CQ18" i="21" s="1"/>
  <c r="CA18" i="21"/>
  <c r="BO18" i="21"/>
  <c r="BC18" i="21"/>
  <c r="AQ18" i="21"/>
  <c r="AE18" i="21"/>
  <c r="S18" i="21"/>
  <c r="G18" i="21"/>
  <c r="CY17" i="21"/>
  <c r="CM17" i="21"/>
  <c r="CA17" i="21"/>
  <c r="BO17" i="21"/>
  <c r="BC17" i="21"/>
  <c r="AQ17" i="21"/>
  <c r="AE17" i="21"/>
  <c r="S17" i="21"/>
  <c r="G17" i="21"/>
  <c r="CY16" i="21"/>
  <c r="CM16" i="21"/>
  <c r="CA16" i="21"/>
  <c r="BO16" i="21"/>
  <c r="BC16" i="21"/>
  <c r="AQ16" i="21"/>
  <c r="AE16" i="21"/>
  <c r="S16" i="21"/>
  <c r="W16" i="21" s="1"/>
  <c r="G16" i="21"/>
  <c r="CY15" i="21"/>
  <c r="CM15" i="21"/>
  <c r="CA15" i="21"/>
  <c r="BO15" i="21"/>
  <c r="BC15" i="21"/>
  <c r="AQ15" i="21"/>
  <c r="AE15" i="21"/>
  <c r="S15" i="21"/>
  <c r="G15" i="21"/>
  <c r="CY14" i="21"/>
  <c r="CM14" i="21"/>
  <c r="CA14" i="21"/>
  <c r="BO14" i="21"/>
  <c r="BS14" i="21" s="1"/>
  <c r="BC14" i="21"/>
  <c r="AQ14" i="21"/>
  <c r="AE14" i="21"/>
  <c r="S14" i="21"/>
  <c r="G14" i="21"/>
  <c r="CY13" i="21"/>
  <c r="CM13" i="21"/>
  <c r="CA13" i="21"/>
  <c r="BO13" i="21"/>
  <c r="BC13" i="21"/>
  <c r="AQ13" i="21"/>
  <c r="AE13" i="21"/>
  <c r="S13" i="21"/>
  <c r="G13" i="21"/>
  <c r="DJ12" i="21"/>
  <c r="DK12" i="21" s="1"/>
  <c r="S12" i="21"/>
  <c r="T12" i="21" s="1"/>
  <c r="T77" i="21" l="1"/>
  <c r="T78" i="21"/>
  <c r="CQ21" i="21"/>
  <c r="CS21" i="21" s="1"/>
  <c r="CQ23" i="21"/>
  <c r="CS23" i="21" s="1"/>
  <c r="W27" i="21"/>
  <c r="Y27" i="21" s="1"/>
  <c r="W37" i="21"/>
  <c r="Y37" i="21" s="1"/>
  <c r="W41" i="21"/>
  <c r="Y41" i="21" s="1"/>
  <c r="CQ54" i="21"/>
  <c r="CS54" i="21" s="1"/>
  <c r="CQ56" i="21"/>
  <c r="CS56" i="21" s="1"/>
  <c r="CQ68" i="21"/>
  <c r="CS68" i="21" s="1"/>
  <c r="CE69" i="21"/>
  <c r="BS70" i="21"/>
  <c r="BT70" i="21" s="1"/>
  <c r="DC71" i="21"/>
  <c r="DE71" i="21" s="1"/>
  <c r="CQ17" i="21"/>
  <c r="CS17" i="21" s="1"/>
  <c r="CQ31" i="21"/>
  <c r="CS31" i="21" s="1"/>
  <c r="CQ69" i="21"/>
  <c r="CS69" i="21" s="1"/>
  <c r="CQ14" i="21"/>
  <c r="CS14" i="21" s="1"/>
  <c r="CQ38" i="21"/>
  <c r="CS38" i="21" s="1"/>
  <c r="CQ64" i="21"/>
  <c r="CS64" i="21" s="1"/>
  <c r="CQ37" i="21"/>
  <c r="CS37" i="21" s="1"/>
  <c r="CQ25" i="21"/>
  <c r="CS25" i="21" s="1"/>
  <c r="CQ19" i="21"/>
  <c r="CS19" i="21" s="1"/>
  <c r="CQ40" i="21"/>
  <c r="CS40" i="21" s="1"/>
  <c r="CQ15" i="21"/>
  <c r="CS15" i="21" s="1"/>
  <c r="CQ42" i="21"/>
  <c r="CS42" i="21" s="1"/>
  <c r="CQ52" i="21"/>
  <c r="CS52" i="21" s="1"/>
  <c r="CQ13" i="21"/>
  <c r="CQ51" i="21"/>
  <c r="CS51" i="21" s="1"/>
  <c r="CQ35" i="21"/>
  <c r="CS35" i="21" s="1"/>
  <c r="CQ66" i="21"/>
  <c r="CS66" i="21" s="1"/>
  <c r="CQ48" i="21"/>
  <c r="CS48" i="21" s="1"/>
  <c r="CQ39" i="21"/>
  <c r="CS39" i="21" s="1"/>
  <c r="CQ33" i="21"/>
  <c r="CS33" i="21" s="1"/>
  <c r="BS21" i="21"/>
  <c r="BU21" i="21" s="1"/>
  <c r="BS22" i="21"/>
  <c r="BU22" i="21" s="1"/>
  <c r="BS24" i="21"/>
  <c r="BU24" i="21" s="1"/>
  <c r="BS35" i="21"/>
  <c r="BU35" i="21" s="1"/>
  <c r="BS36" i="21"/>
  <c r="BU36" i="21" s="1"/>
  <c r="BS37" i="21"/>
  <c r="BS39" i="21"/>
  <c r="BU39" i="21" s="1"/>
  <c r="BS40" i="21"/>
  <c r="BU40" i="21" s="1"/>
  <c r="BS50" i="21"/>
  <c r="BU50" i="21" s="1"/>
  <c r="BS51" i="21"/>
  <c r="BU51" i="21" s="1"/>
  <c r="BS55" i="21"/>
  <c r="BU55" i="21" s="1"/>
  <c r="BS59" i="21"/>
  <c r="BU59" i="21" s="1"/>
  <c r="BS60" i="21"/>
  <c r="BU60" i="21" s="1"/>
  <c r="BS15" i="21"/>
  <c r="BU15" i="21" s="1"/>
  <c r="BS20" i="21"/>
  <c r="BU20" i="21" s="1"/>
  <c r="BS28" i="21"/>
  <c r="BS44" i="21"/>
  <c r="BU44" i="21" s="1"/>
  <c r="BS45" i="21"/>
  <c r="BU45" i="21" s="1"/>
  <c r="BS46" i="21"/>
  <c r="BU46" i="21" s="1"/>
  <c r="BS49" i="21"/>
  <c r="BU49" i="21" s="1"/>
  <c r="K68" i="21"/>
  <c r="M68" i="21" s="1"/>
  <c r="K37" i="21"/>
  <c r="M37" i="21" s="1"/>
  <c r="K51" i="21"/>
  <c r="M51" i="21" s="1"/>
  <c r="CE15" i="21"/>
  <c r="CG15" i="21" s="1"/>
  <c r="CE19" i="21"/>
  <c r="CG19" i="21" s="1"/>
  <c r="CE27" i="21"/>
  <c r="CG27" i="21" s="1"/>
  <c r="CE29" i="21"/>
  <c r="CG29" i="21" s="1"/>
  <c r="CE31" i="21"/>
  <c r="CG31" i="21" s="1"/>
  <c r="CE34" i="21"/>
  <c r="CG34" i="21" s="1"/>
  <c r="CE40" i="21"/>
  <c r="CG40" i="21" s="1"/>
  <c r="CE43" i="21"/>
  <c r="CG43" i="21" s="1"/>
  <c r="CE46" i="21"/>
  <c r="CG46" i="21" s="1"/>
  <c r="CE21" i="21"/>
  <c r="CG21" i="21" s="1"/>
  <c r="CE25" i="21"/>
  <c r="CG25" i="21" s="1"/>
  <c r="CE35" i="21"/>
  <c r="CG35" i="21" s="1"/>
  <c r="CE36" i="21"/>
  <c r="CE44" i="21"/>
  <c r="CG44" i="21" s="1"/>
  <c r="CE52" i="21"/>
  <c r="CG52" i="21" s="1"/>
  <c r="CE53" i="21"/>
  <c r="CG53" i="21" s="1"/>
  <c r="CE54" i="21"/>
  <c r="CG54" i="21" s="1"/>
  <c r="CE58" i="21"/>
  <c r="CG58" i="21" s="1"/>
  <c r="CE63" i="21"/>
  <c r="CG63" i="21" s="1"/>
  <c r="CE64" i="21"/>
  <c r="CG64" i="21" s="1"/>
  <c r="CE65" i="21"/>
  <c r="CG65" i="21" s="1"/>
  <c r="DC67" i="21"/>
  <c r="DE67" i="21" s="1"/>
  <c r="DC62" i="21"/>
  <c r="DE62" i="21" s="1"/>
  <c r="DC52" i="21"/>
  <c r="DE52" i="21" s="1"/>
  <c r="DC50" i="21"/>
  <c r="DE50" i="21" s="1"/>
  <c r="DC48" i="21"/>
  <c r="DE48" i="21" s="1"/>
  <c r="DC42" i="21"/>
  <c r="DE42" i="21" s="1"/>
  <c r="DC38" i="21"/>
  <c r="DE38" i="21" s="1"/>
  <c r="DC36" i="21"/>
  <c r="DE36" i="21" s="1"/>
  <c r="DC33" i="21"/>
  <c r="DE33" i="21" s="1"/>
  <c r="DC31" i="21"/>
  <c r="DE31" i="21" s="1"/>
  <c r="DC29" i="21"/>
  <c r="DE29" i="21" s="1"/>
  <c r="DC27" i="21"/>
  <c r="DE27" i="21" s="1"/>
  <c r="DC17" i="21"/>
  <c r="DE17" i="21" s="1"/>
  <c r="DC13" i="21"/>
  <c r="DE13" i="21" s="1"/>
  <c r="AU68" i="21"/>
  <c r="AW68" i="21" s="1"/>
  <c r="W18" i="21"/>
  <c r="Y18" i="21" s="1"/>
  <c r="W34" i="21"/>
  <c r="Y34" i="21" s="1"/>
  <c r="W43" i="21"/>
  <c r="Y43" i="21" s="1"/>
  <c r="W68" i="21"/>
  <c r="Y68" i="21" s="1"/>
  <c r="AI68" i="21"/>
  <c r="AK68" i="21" s="1"/>
  <c r="AI62" i="21"/>
  <c r="AK62" i="21" s="1"/>
  <c r="AI50" i="21"/>
  <c r="AK50" i="21" s="1"/>
  <c r="AI47" i="21"/>
  <c r="AK47" i="21" s="1"/>
  <c r="AI37" i="21"/>
  <c r="AK37" i="21" s="1"/>
  <c r="AI36" i="21"/>
  <c r="AK36" i="21" s="1"/>
  <c r="AI27" i="21"/>
  <c r="AK27" i="21" s="1"/>
  <c r="BS13" i="21"/>
  <c r="BU13" i="21" s="1"/>
  <c r="DC14" i="21"/>
  <c r="DE14" i="21" s="1"/>
  <c r="K15" i="21"/>
  <c r="AI16" i="21"/>
  <c r="AK16" i="21" s="1"/>
  <c r="AU16" i="21"/>
  <c r="AW16" i="21" s="1"/>
  <c r="BG16" i="21"/>
  <c r="BI16" i="21" s="1"/>
  <c r="BS16" i="21"/>
  <c r="BU16" i="21" s="1"/>
  <c r="CE16" i="21"/>
  <c r="CG16" i="21" s="1"/>
  <c r="DC16" i="21"/>
  <c r="DE16" i="21" s="1"/>
  <c r="W17" i="21"/>
  <c r="Y17" i="21" s="1"/>
  <c r="BS17" i="21"/>
  <c r="BU17" i="21" s="1"/>
  <c r="DC18" i="21"/>
  <c r="DE18" i="21" s="1"/>
  <c r="CE20" i="21"/>
  <c r="CG20" i="21" s="1"/>
  <c r="CQ20" i="21"/>
  <c r="CE22" i="21"/>
  <c r="CG22" i="21" s="1"/>
  <c r="BS26" i="21"/>
  <c r="BU26" i="21" s="1"/>
  <c r="CE30" i="21"/>
  <c r="CG30" i="21" s="1"/>
  <c r="CQ24" i="21"/>
  <c r="CQ28" i="21"/>
  <c r="CS28" i="21" s="1"/>
  <c r="CQ22" i="21"/>
  <c r="CS22" i="21" s="1"/>
  <c r="K23" i="21"/>
  <c r="W23" i="21"/>
  <c r="Y23" i="21" s="1"/>
  <c r="BS23" i="21"/>
  <c r="BU23" i="21" s="1"/>
  <c r="DC24" i="21"/>
  <c r="DE24" i="21" s="1"/>
  <c r="W25" i="21"/>
  <c r="Y25" i="21" s="1"/>
  <c r="CE26" i="21"/>
  <c r="CQ26" i="21"/>
  <c r="CS26" i="21" s="1"/>
  <c r="AI29" i="21"/>
  <c r="AK29" i="21" s="1"/>
  <c r="DC30" i="21"/>
  <c r="DE30" i="21" s="1"/>
  <c r="AI32" i="21"/>
  <c r="AK32" i="21" s="1"/>
  <c r="AU32" i="21"/>
  <c r="AW32" i="21" s="1"/>
  <c r="BS32" i="21"/>
  <c r="BU32" i="21" s="1"/>
  <c r="CE32" i="21"/>
  <c r="CG32" i="21" s="1"/>
  <c r="DC32" i="21"/>
  <c r="DE32" i="21" s="1"/>
  <c r="K33" i="21"/>
  <c r="W33" i="21"/>
  <c r="Y33" i="21" s="1"/>
  <c r="BS33" i="21"/>
  <c r="BU33" i="21" s="1"/>
  <c r="CQ34" i="21"/>
  <c r="DC34" i="21"/>
  <c r="DE34" i="21" s="1"/>
  <c r="DC37" i="21"/>
  <c r="DE37" i="21" s="1"/>
  <c r="BS38" i="21"/>
  <c r="BU38" i="21" s="1"/>
  <c r="DC39" i="21"/>
  <c r="DE39" i="21" s="1"/>
  <c r="K40" i="21"/>
  <c r="AI41" i="21"/>
  <c r="AK41" i="21" s="1"/>
  <c r="AU41" i="21"/>
  <c r="AW41" i="21" s="1"/>
  <c r="BS41" i="21"/>
  <c r="BU41" i="21" s="1"/>
  <c r="CE41" i="21"/>
  <c r="CG41" i="21" s="1"/>
  <c r="DC41" i="21"/>
  <c r="DE41" i="21" s="1"/>
  <c r="K42" i="21"/>
  <c r="W42" i="21"/>
  <c r="Y42" i="21" s="1"/>
  <c r="BS42" i="21"/>
  <c r="BU42" i="21" s="1"/>
  <c r="CQ43" i="21"/>
  <c r="CS43" i="21" s="1"/>
  <c r="DC43" i="21"/>
  <c r="DE43" i="21" s="1"/>
  <c r="CE45" i="21"/>
  <c r="CG45" i="21" s="1"/>
  <c r="CQ45" i="21"/>
  <c r="CS45" i="21" s="1"/>
  <c r="BS47" i="21"/>
  <c r="BU47" i="21" s="1"/>
  <c r="CE47" i="21"/>
  <c r="DC47" i="21"/>
  <c r="DE47" i="21" s="1"/>
  <c r="K48" i="21"/>
  <c r="W48" i="21"/>
  <c r="Y48" i="21" s="1"/>
  <c r="CE49" i="21"/>
  <c r="CG49" i="21" s="1"/>
  <c r="CQ49" i="21"/>
  <c r="CS49" i="21" s="1"/>
  <c r="DC51" i="21"/>
  <c r="DE51" i="21" s="1"/>
  <c r="CQ53" i="21"/>
  <c r="CS53" i="21" s="1"/>
  <c r="K56" i="21"/>
  <c r="M56" i="21" s="1"/>
  <c r="BS56" i="21"/>
  <c r="BU56" i="21" s="1"/>
  <c r="DC58" i="21"/>
  <c r="DE58" i="21" s="1"/>
  <c r="CQ60" i="21"/>
  <c r="CS60" i="21" s="1"/>
  <c r="CE62" i="21"/>
  <c r="CG62" i="21" s="1"/>
  <c r="DC63" i="21"/>
  <c r="DE63" i="21" s="1"/>
  <c r="CQ65" i="21"/>
  <c r="CS65" i="21" s="1"/>
  <c r="DC65" i="21"/>
  <c r="DE65" i="21" s="1"/>
  <c r="BS67" i="21"/>
  <c r="BU67" i="21" s="1"/>
  <c r="CE67" i="21"/>
  <c r="CG67" i="21" s="1"/>
  <c r="DC68" i="21"/>
  <c r="DE68" i="21" s="1"/>
  <c r="AU69" i="21"/>
  <c r="AW69" i="21" s="1"/>
  <c r="CE70" i="21"/>
  <c r="CF70" i="21" s="1"/>
  <c r="CQ70" i="21"/>
  <c r="CR70" i="21" s="1"/>
  <c r="W71" i="21"/>
  <c r="X71" i="21" s="1"/>
  <c r="AI71" i="21"/>
  <c r="AK71" i="21" s="1"/>
  <c r="CP78" i="21"/>
  <c r="CP77" i="21"/>
  <c r="CD78" i="21"/>
  <c r="CD77" i="21"/>
  <c r="BR78" i="21"/>
  <c r="BR77" i="21"/>
  <c r="BF78" i="21"/>
  <c r="BF77" i="21"/>
  <c r="AT78" i="21"/>
  <c r="AT77" i="21"/>
  <c r="AH77" i="21"/>
  <c r="AH78" i="21"/>
  <c r="CM78" i="21"/>
  <c r="CM77" i="21"/>
  <c r="CA78" i="21"/>
  <c r="CA77" i="21"/>
  <c r="BO78" i="21"/>
  <c r="BO77" i="21"/>
  <c r="CY78" i="21"/>
  <c r="CY77" i="21"/>
  <c r="K17" i="21"/>
  <c r="M17" i="21" s="1"/>
  <c r="K19" i="21"/>
  <c r="K71" i="21"/>
  <c r="K36" i="21"/>
  <c r="M36" i="21" s="1"/>
  <c r="BC78" i="21"/>
  <c r="BC77" i="21"/>
  <c r="AQ78" i="21"/>
  <c r="AQ77" i="21"/>
  <c r="AE78" i="21"/>
  <c r="AE77" i="21"/>
  <c r="S78" i="21"/>
  <c r="S77" i="21"/>
  <c r="G77" i="21"/>
  <c r="G78" i="21"/>
  <c r="CE13" i="21"/>
  <c r="CE14" i="21"/>
  <c r="CG14" i="21" s="1"/>
  <c r="W15" i="21"/>
  <c r="Y15" i="21" s="1"/>
  <c r="DC15" i="21"/>
  <c r="DE15" i="21" s="1"/>
  <c r="CQ16" i="21"/>
  <c r="CS16" i="21" s="1"/>
  <c r="CE17" i="21"/>
  <c r="CG17" i="21" s="1"/>
  <c r="AI18" i="21"/>
  <c r="BG18" i="21"/>
  <c r="BI18" i="21" s="1"/>
  <c r="BS18" i="21"/>
  <c r="BU18" i="21" s="1"/>
  <c r="W19" i="21"/>
  <c r="Y19" i="21" s="1"/>
  <c r="AI19" i="21"/>
  <c r="AK19" i="21" s="1"/>
  <c r="K20" i="21"/>
  <c r="W20" i="21"/>
  <c r="Y20" i="21" s="1"/>
  <c r="AI25" i="21"/>
  <c r="AK25" i="21" s="1"/>
  <c r="K26" i="21"/>
  <c r="CQ27" i="21"/>
  <c r="CS27" i="21" s="1"/>
  <c r="CE28" i="21"/>
  <c r="BS29" i="21"/>
  <c r="BU29" i="21" s="1"/>
  <c r="K30" i="21"/>
  <c r="W30" i="21"/>
  <c r="Y30" i="21" s="1"/>
  <c r="AI30" i="21"/>
  <c r="AK30" i="21" s="1"/>
  <c r="AU30" i="21"/>
  <c r="AW30" i="21" s="1"/>
  <c r="K31" i="21"/>
  <c r="W31" i="21"/>
  <c r="Y31" i="21" s="1"/>
  <c r="AI31" i="21"/>
  <c r="AK31" i="21" s="1"/>
  <c r="BS31" i="21"/>
  <c r="BU31" i="21" s="1"/>
  <c r="K32" i="21"/>
  <c r="CQ32" i="21"/>
  <c r="CE33" i="21"/>
  <c r="AI34" i="21"/>
  <c r="AK34" i="21" s="1"/>
  <c r="BS34" i="21"/>
  <c r="BU34" i="21" s="1"/>
  <c r="K35" i="21"/>
  <c r="W35" i="21"/>
  <c r="Y35" i="21" s="1"/>
  <c r="DC35" i="21"/>
  <c r="DE35" i="21" s="1"/>
  <c r="CQ36" i="21"/>
  <c r="CS36" i="21" s="1"/>
  <c r="CE37" i="21"/>
  <c r="CG37" i="21" s="1"/>
  <c r="CE38" i="21"/>
  <c r="CE39" i="21"/>
  <c r="CG39" i="21" s="1"/>
  <c r="W40" i="21"/>
  <c r="Y40" i="21" s="1"/>
  <c r="DC40" i="21"/>
  <c r="DE40" i="21" s="1"/>
  <c r="CQ41" i="21"/>
  <c r="CS41" i="21" s="1"/>
  <c r="CE42" i="21"/>
  <c r="CG42" i="21" s="1"/>
  <c r="AI43" i="21"/>
  <c r="AK43" i="21" s="1"/>
  <c r="AU43" i="21"/>
  <c r="AW43" i="21" s="1"/>
  <c r="BS43" i="21"/>
  <c r="BU43" i="21" s="1"/>
  <c r="K44" i="21"/>
  <c r="M44" i="21" s="1"/>
  <c r="DC44" i="21"/>
  <c r="DE44" i="21" s="1"/>
  <c r="DC45" i="21"/>
  <c r="DE45" i="21" s="1"/>
  <c r="DC46" i="21"/>
  <c r="DE46" i="21" s="1"/>
  <c r="CQ47" i="21"/>
  <c r="CS47" i="21" s="1"/>
  <c r="AI48" i="21"/>
  <c r="AU48" i="21"/>
  <c r="AW48" i="21" s="1"/>
  <c r="BS48" i="21"/>
  <c r="BU48" i="21" s="1"/>
  <c r="CE50" i="21"/>
  <c r="CG50" i="21" s="1"/>
  <c r="K52" i="21"/>
  <c r="DC53" i="21"/>
  <c r="DE53" i="21" s="1"/>
  <c r="CQ55" i="21"/>
  <c r="W57" i="21"/>
  <c r="Y57" i="21" s="1"/>
  <c r="CQ59" i="21"/>
  <c r="CS59" i="21" s="1"/>
  <c r="CQ61" i="21"/>
  <c r="CS61" i="21" s="1"/>
  <c r="AI63" i="21"/>
  <c r="AK63" i="21" s="1"/>
  <c r="DC64" i="21"/>
  <c r="DE64" i="21" s="1"/>
  <c r="DC66" i="21"/>
  <c r="DE66" i="21" s="1"/>
  <c r="BS68" i="21"/>
  <c r="BU68" i="21" s="1"/>
  <c r="DC69" i="21"/>
  <c r="DE69" i="21" s="1"/>
  <c r="BS71" i="21"/>
  <c r="BT71" i="21" s="1"/>
  <c r="K49" i="21"/>
  <c r="W49" i="21"/>
  <c r="Y49" i="21" s="1"/>
  <c r="DC49" i="21"/>
  <c r="DE49" i="21" s="1"/>
  <c r="CQ50" i="21"/>
  <c r="CS50" i="21" s="1"/>
  <c r="CE51" i="21"/>
  <c r="CG51" i="21" s="1"/>
  <c r="W52" i="21"/>
  <c r="Y52" i="21" s="1"/>
  <c r="AI52" i="21"/>
  <c r="AK52" i="21" s="1"/>
  <c r="AU52" i="21"/>
  <c r="AW52" i="21" s="1"/>
  <c r="BS52" i="21"/>
  <c r="BU52" i="21" s="1"/>
  <c r="K53" i="21"/>
  <c r="W53" i="21"/>
  <c r="Y53" i="21" s="1"/>
  <c r="AI53" i="21"/>
  <c r="AK53" i="21" s="1"/>
  <c r="BS53" i="21"/>
  <c r="BU53" i="21" s="1"/>
  <c r="K54" i="21"/>
  <c r="W54" i="21"/>
  <c r="AI54" i="21"/>
  <c r="AK54" i="21" s="1"/>
  <c r="AU54" i="21"/>
  <c r="AW54" i="21" s="1"/>
  <c r="BS54" i="21"/>
  <c r="BU54" i="21" s="1"/>
  <c r="K55" i="21"/>
  <c r="W55" i="21"/>
  <c r="Y55" i="21" s="1"/>
  <c r="AI55" i="21"/>
  <c r="AK55" i="21" s="1"/>
  <c r="DC55" i="21"/>
  <c r="DE55" i="21" s="1"/>
  <c r="CE56" i="21"/>
  <c r="CG56" i="21" s="1"/>
  <c r="AI57" i="21"/>
  <c r="AK57" i="21" s="1"/>
  <c r="CE57" i="21"/>
  <c r="CG57" i="21" s="1"/>
  <c r="DC57" i="21"/>
  <c r="DE57" i="21" s="1"/>
  <c r="K58" i="21"/>
  <c r="W58" i="21"/>
  <c r="Y58" i="21" s="1"/>
  <c r="AI58" i="21"/>
  <c r="AK58" i="21" s="1"/>
  <c r="AU58" i="21"/>
  <c r="AW58" i="21" s="1"/>
  <c r="BS58" i="21"/>
  <c r="BU58" i="21" s="1"/>
  <c r="DC59" i="21"/>
  <c r="DE59" i="21" s="1"/>
  <c r="DC60" i="21"/>
  <c r="DE60" i="21" s="1"/>
  <c r="DC61" i="21"/>
  <c r="DE61" i="21" s="1"/>
  <c r="CQ62" i="21"/>
  <c r="CS62" i="21" s="1"/>
  <c r="AU63" i="21"/>
  <c r="AW63" i="21" s="1"/>
  <c r="BS63" i="21"/>
  <c r="BU63" i="21" s="1"/>
  <c r="K64" i="21"/>
  <c r="W64" i="21"/>
  <c r="Y64" i="21" s="1"/>
  <c r="AI64" i="21"/>
  <c r="AK64" i="21" s="1"/>
  <c r="BS64" i="21"/>
  <c r="BU64" i="21" s="1"/>
  <c r="K65" i="21"/>
  <c r="W65" i="21"/>
  <c r="Y65" i="21" s="1"/>
  <c r="AI65" i="21"/>
  <c r="AK65" i="21" s="1"/>
  <c r="AU65" i="21"/>
  <c r="AW65" i="21" s="1"/>
  <c r="BS65" i="21"/>
  <c r="BU65" i="21" s="1"/>
  <c r="K66" i="21"/>
  <c r="W66" i="21"/>
  <c r="Y66" i="21" s="1"/>
  <c r="AI66" i="21"/>
  <c r="AK66" i="21" s="1"/>
  <c r="BS66" i="21"/>
  <c r="BU66" i="21" s="1"/>
  <c r="K67" i="21"/>
  <c r="CQ67" i="21"/>
  <c r="CE68" i="21"/>
  <c r="BS69" i="21"/>
  <c r="BU69" i="21" s="1"/>
  <c r="K70" i="21"/>
  <c r="W70" i="21"/>
  <c r="Y70" i="21" s="1"/>
  <c r="AI70" i="21"/>
  <c r="AK70" i="21" s="1"/>
  <c r="DC70" i="21"/>
  <c r="DE70" i="21" s="1"/>
  <c r="CE71" i="21"/>
  <c r="CF71" i="21" s="1"/>
  <c r="BS27" i="21"/>
  <c r="BU27" i="21" s="1"/>
  <c r="K28" i="21"/>
  <c r="DC28" i="21"/>
  <c r="DE28" i="21" s="1"/>
  <c r="CQ29" i="21"/>
  <c r="CS29" i="21" s="1"/>
  <c r="CQ30" i="21"/>
  <c r="DL12" i="21"/>
  <c r="K13" i="21"/>
  <c r="W13" i="21"/>
  <c r="Y13" i="21" s="1"/>
  <c r="AI13" i="21"/>
  <c r="AK13" i="21" s="1"/>
  <c r="AU13" i="21"/>
  <c r="K14" i="21"/>
  <c r="W14" i="21"/>
  <c r="Y14" i="21" s="1"/>
  <c r="AI14" i="21"/>
  <c r="AK14" i="21" s="1"/>
  <c r="AI15" i="21"/>
  <c r="AK15" i="21" s="1"/>
  <c r="AU15" i="21"/>
  <c r="AW15" i="21" s="1"/>
  <c r="K16" i="21"/>
  <c r="AI17" i="21"/>
  <c r="AK17" i="21" s="1"/>
  <c r="K18" i="21"/>
  <c r="CE18" i="21"/>
  <c r="CG18" i="21" s="1"/>
  <c r="BS19" i="21"/>
  <c r="BU19" i="21" s="1"/>
  <c r="AI20" i="21"/>
  <c r="AK20" i="21" s="1"/>
  <c r="DC20" i="21"/>
  <c r="DE20" i="21" s="1"/>
  <c r="DC21" i="21"/>
  <c r="DE21" i="21" s="1"/>
  <c r="DC22" i="21"/>
  <c r="DE22" i="21" s="1"/>
  <c r="CE23" i="21"/>
  <c r="CE24" i="21"/>
  <c r="BS25" i="21"/>
  <c r="BU25" i="21" s="1"/>
  <c r="W26" i="21"/>
  <c r="Y26" i="21" s="1"/>
  <c r="DC26" i="21"/>
  <c r="DE26" i="21" s="1"/>
  <c r="BS30" i="21"/>
  <c r="BU30" i="21" s="1"/>
  <c r="AU20" i="21"/>
  <c r="AW20" i="21" s="1"/>
  <c r="BG20" i="21"/>
  <c r="BI20" i="21" s="1"/>
  <c r="K21" i="21"/>
  <c r="W21" i="21"/>
  <c r="Y21" i="21" s="1"/>
  <c r="AI21" i="21"/>
  <c r="AK21" i="21" s="1"/>
  <c r="AU21" i="21"/>
  <c r="AW21" i="21" s="1"/>
  <c r="BG21" i="21"/>
  <c r="BI21" i="21" s="1"/>
  <c r="K22" i="21"/>
  <c r="W22" i="21"/>
  <c r="Y22" i="21" s="1"/>
  <c r="AI22" i="21"/>
  <c r="AK22" i="21" s="1"/>
  <c r="AU22" i="21"/>
  <c r="AW22" i="21" s="1"/>
  <c r="BG22" i="21"/>
  <c r="BI22" i="21" s="1"/>
  <c r="AI23" i="21"/>
  <c r="AU23" i="21"/>
  <c r="AW23" i="21" s="1"/>
  <c r="BG23" i="21"/>
  <c r="BI23" i="21" s="1"/>
  <c r="K24" i="21"/>
  <c r="AI24" i="21"/>
  <c r="AK24" i="21" s="1"/>
  <c r="AU24" i="21"/>
  <c r="AW24" i="21" s="1"/>
  <c r="K25" i="21"/>
  <c r="AI26" i="21"/>
  <c r="AK26" i="21" s="1"/>
  <c r="K27" i="21"/>
  <c r="W28" i="21"/>
  <c r="Y28" i="21" s="1"/>
  <c r="AI28" i="21"/>
  <c r="AK28" i="21" s="1"/>
  <c r="K29" i="21"/>
  <c r="W29" i="21"/>
  <c r="Y29" i="21" s="1"/>
  <c r="AI33" i="21"/>
  <c r="AK33" i="21" s="1"/>
  <c r="AU33" i="21"/>
  <c r="AW33" i="21" s="1"/>
  <c r="BG33" i="21"/>
  <c r="BI33" i="21" s="1"/>
  <c r="K34" i="21"/>
  <c r="AI35" i="21"/>
  <c r="AK35" i="21" s="1"/>
  <c r="BG35" i="21"/>
  <c r="BI35" i="21" s="1"/>
  <c r="AU37" i="21"/>
  <c r="AW37" i="21" s="1"/>
  <c r="BG37" i="21"/>
  <c r="BI37" i="21" s="1"/>
  <c r="K38" i="21"/>
  <c r="W38" i="21"/>
  <c r="AI38" i="21"/>
  <c r="AK38" i="21" s="1"/>
  <c r="AU38" i="21"/>
  <c r="AW38" i="21" s="1"/>
  <c r="BG38" i="21"/>
  <c r="BI38" i="21" s="1"/>
  <c r="K39" i="21"/>
  <c r="W39" i="21"/>
  <c r="Y39" i="21" s="1"/>
  <c r="AI39" i="21"/>
  <c r="AK39" i="21" s="1"/>
  <c r="AU39" i="21"/>
  <c r="AW39" i="21" s="1"/>
  <c r="BG39" i="21"/>
  <c r="BI39" i="21" s="1"/>
  <c r="AI40" i="21"/>
  <c r="AK40" i="21" s="1"/>
  <c r="AU40" i="21"/>
  <c r="AW40" i="21" s="1"/>
  <c r="BG40" i="21"/>
  <c r="BI40" i="21" s="1"/>
  <c r="K41" i="21"/>
  <c r="AI42" i="21"/>
  <c r="AK42" i="21" s="1"/>
  <c r="AU42" i="21"/>
  <c r="AW42" i="21" s="1"/>
  <c r="BG42" i="21"/>
  <c r="BI42" i="21" s="1"/>
  <c r="K43" i="21"/>
  <c r="W44" i="21"/>
  <c r="Y44" i="21" s="1"/>
  <c r="AI44" i="21"/>
  <c r="BG44" i="21"/>
  <c r="BI44" i="21" s="1"/>
  <c r="K45" i="21"/>
  <c r="W45" i="21"/>
  <c r="Y45" i="21" s="1"/>
  <c r="AI45" i="21"/>
  <c r="AK45" i="21" s="1"/>
  <c r="AU45" i="21"/>
  <c r="AW45" i="21" s="1"/>
  <c r="BG45" i="21"/>
  <c r="BI45" i="21" s="1"/>
  <c r="K46" i="21"/>
  <c r="W46" i="21"/>
  <c r="AI46" i="21"/>
  <c r="AK46" i="21" s="1"/>
  <c r="BG46" i="21"/>
  <c r="BI46" i="21" s="1"/>
  <c r="K47" i="21"/>
  <c r="W47" i="21"/>
  <c r="Y47" i="21" s="1"/>
  <c r="AI49" i="21"/>
  <c r="AK49" i="21" s="1"/>
  <c r="AU49" i="21"/>
  <c r="AW49" i="21" s="1"/>
  <c r="BG49" i="21"/>
  <c r="BI49" i="21" s="1"/>
  <c r="K50" i="21"/>
  <c r="AI51" i="21"/>
  <c r="AK51" i="21" s="1"/>
  <c r="AU51" i="21"/>
  <c r="AW51" i="21" s="1"/>
  <c r="BG51" i="21"/>
  <c r="BI51" i="21" s="1"/>
  <c r="CE55" i="21"/>
  <c r="CG55" i="21" s="1"/>
  <c r="W56" i="21"/>
  <c r="Y56" i="21" s="1"/>
  <c r="DC56" i="21"/>
  <c r="DE56" i="21" s="1"/>
  <c r="CQ58" i="21"/>
  <c r="CS58" i="21" s="1"/>
  <c r="CE59" i="21"/>
  <c r="CE60" i="21"/>
  <c r="CG60" i="21" s="1"/>
  <c r="CE61" i="21"/>
  <c r="BS62" i="21"/>
  <c r="BU62" i="21" s="1"/>
  <c r="K63" i="21"/>
  <c r="CQ63" i="21"/>
  <c r="CS63" i="21" s="1"/>
  <c r="K59" i="21"/>
  <c r="BG55" i="21"/>
  <c r="BI55" i="21" s="1"/>
  <c r="AI56" i="21"/>
  <c r="AU56" i="21"/>
  <c r="AW56" i="21" s="1"/>
  <c r="BG56" i="21"/>
  <c r="BI56" i="21" s="1"/>
  <c r="K57" i="21"/>
  <c r="W59" i="21"/>
  <c r="Y59" i="21" s="1"/>
  <c r="AI59" i="21"/>
  <c r="AK59" i="21" s="1"/>
  <c r="BG59" i="21"/>
  <c r="BI59" i="21" s="1"/>
  <c r="K60" i="21"/>
  <c r="W60" i="21"/>
  <c r="Y60" i="21" s="1"/>
  <c r="AI60" i="21"/>
  <c r="AK60" i="21" s="1"/>
  <c r="BG60" i="21"/>
  <c r="BI60" i="21" s="1"/>
  <c r="K61" i="21"/>
  <c r="W61" i="21"/>
  <c r="Y61" i="21" s="1"/>
  <c r="AI61" i="21"/>
  <c r="AK61" i="21" s="1"/>
  <c r="BG61" i="21"/>
  <c r="BI61" i="21" s="1"/>
  <c r="K62" i="21"/>
  <c r="W62" i="21"/>
  <c r="Y62" i="21" s="1"/>
  <c r="W63" i="21"/>
  <c r="Y63" i="21" s="1"/>
  <c r="W67" i="21"/>
  <c r="Y67" i="21" s="1"/>
  <c r="AI67" i="21"/>
  <c r="AK67" i="21" s="1"/>
  <c r="BG68" i="21"/>
  <c r="BI68" i="21" s="1"/>
  <c r="K69" i="21"/>
  <c r="W69" i="21"/>
  <c r="Y69" i="21" s="1"/>
  <c r="AI69" i="21"/>
  <c r="AK69" i="21" s="1"/>
  <c r="AU70" i="21"/>
  <c r="AW70" i="21" s="1"/>
  <c r="BG70" i="21"/>
  <c r="BI70" i="21" s="1"/>
  <c r="BG71" i="21"/>
  <c r="BI71" i="21" s="1"/>
  <c r="W72" i="21"/>
  <c r="Y72" i="21" s="1"/>
  <c r="AU72" i="21"/>
  <c r="AW72" i="21" s="1"/>
  <c r="BS72" i="21"/>
  <c r="BU72" i="21" s="1"/>
  <c r="CQ72" i="21"/>
  <c r="CS72" i="21" s="1"/>
  <c r="W73" i="21"/>
  <c r="Y73" i="21" s="1"/>
  <c r="AU73" i="21"/>
  <c r="AW73" i="21" s="1"/>
  <c r="BS73" i="21"/>
  <c r="BU73" i="21" s="1"/>
  <c r="CQ73" i="21"/>
  <c r="CS73" i="21" s="1"/>
  <c r="W74" i="21"/>
  <c r="Y74" i="21" s="1"/>
  <c r="BS74" i="21"/>
  <c r="BU74" i="21" s="1"/>
  <c r="CQ74" i="21"/>
  <c r="CS74" i="21" s="1"/>
  <c r="W75" i="21"/>
  <c r="Y75" i="21" s="1"/>
  <c r="BS75" i="21"/>
  <c r="BU75" i="21" s="1"/>
  <c r="CQ75" i="21"/>
  <c r="CS75" i="21" s="1"/>
  <c r="W76" i="21"/>
  <c r="Y76" i="21" s="1"/>
  <c r="BS76" i="21"/>
  <c r="BU76" i="21" s="1"/>
  <c r="CQ76" i="21"/>
  <c r="CS76" i="21" s="1"/>
  <c r="BG13" i="21"/>
  <c r="BG14" i="21"/>
  <c r="BI14" i="21" s="1"/>
  <c r="BG17" i="21"/>
  <c r="BG25" i="21"/>
  <c r="BI25" i="21" s="1"/>
  <c r="BG27" i="21"/>
  <c r="BI27" i="21" s="1"/>
  <c r="BG29" i="21"/>
  <c r="BI29" i="21" s="1"/>
  <c r="BG30" i="21"/>
  <c r="BI30" i="21" s="1"/>
  <c r="BG31" i="21"/>
  <c r="BI31" i="21" s="1"/>
  <c r="BG32" i="21"/>
  <c r="BI32" i="21" s="1"/>
  <c r="BG34" i="21"/>
  <c r="BI34" i="21" s="1"/>
  <c r="BG36" i="21"/>
  <c r="BI36" i="21" s="1"/>
  <c r="BG47" i="21"/>
  <c r="BI47" i="21" s="1"/>
  <c r="BG48" i="21"/>
  <c r="BI48" i="21" s="1"/>
  <c r="BG50" i="21"/>
  <c r="BI50" i="21" s="1"/>
  <c r="BG52" i="21"/>
  <c r="BI52" i="21" s="1"/>
  <c r="BG62" i="21"/>
  <c r="BI62" i="21" s="1"/>
  <c r="BG63" i="21"/>
  <c r="BI63" i="21" s="1"/>
  <c r="BG64" i="21"/>
  <c r="BI64" i="21" s="1"/>
  <c r="BG65" i="21"/>
  <c r="BI65" i="21" s="1"/>
  <c r="BG66" i="21"/>
  <c r="BI66" i="21" s="1"/>
  <c r="BG15" i="21"/>
  <c r="BI15" i="21" s="1"/>
  <c r="BG19" i="21"/>
  <c r="BI19" i="21" s="1"/>
  <c r="BG24" i="21"/>
  <c r="BI24" i="21" s="1"/>
  <c r="BG26" i="21"/>
  <c r="BI26" i="21" s="1"/>
  <c r="BG28" i="21"/>
  <c r="BI28" i="21" s="1"/>
  <c r="BG67" i="21"/>
  <c r="BI67" i="21" s="1"/>
  <c r="BG69" i="21"/>
  <c r="BI69" i="21" s="1"/>
  <c r="BG41" i="21"/>
  <c r="BI41" i="21" s="1"/>
  <c r="BG43" i="21"/>
  <c r="BI43" i="21" s="1"/>
  <c r="BG53" i="21"/>
  <c r="BI53" i="21" s="1"/>
  <c r="BG54" i="21"/>
  <c r="BI54" i="21" s="1"/>
  <c r="BG57" i="21"/>
  <c r="BI57" i="21" s="1"/>
  <c r="BG58" i="21"/>
  <c r="BI58" i="21" s="1"/>
  <c r="AU25" i="21"/>
  <c r="AW25" i="21" s="1"/>
  <c r="AU26" i="21"/>
  <c r="AW26" i="21" s="1"/>
  <c r="AU27" i="21"/>
  <c r="AW27" i="21" s="1"/>
  <c r="AU28" i="21"/>
  <c r="AW28" i="21" s="1"/>
  <c r="AU55" i="21"/>
  <c r="AW55" i="21" s="1"/>
  <c r="AU44" i="21"/>
  <c r="AW44" i="21" s="1"/>
  <c r="AU46" i="21"/>
  <c r="AW46" i="21" s="1"/>
  <c r="AU47" i="21"/>
  <c r="AW47" i="21" s="1"/>
  <c r="AU59" i="21"/>
  <c r="AW59" i="21" s="1"/>
  <c r="AU61" i="21"/>
  <c r="AW61" i="21" s="1"/>
  <c r="AU62" i="21"/>
  <c r="AW62" i="21" s="1"/>
  <c r="AU64" i="21"/>
  <c r="AW64" i="21" s="1"/>
  <c r="AU14" i="21"/>
  <c r="AW14" i="21" s="1"/>
  <c r="AU17" i="21"/>
  <c r="AW17" i="21" s="1"/>
  <c r="AU18" i="21"/>
  <c r="AW18" i="21" s="1"/>
  <c r="AU19" i="21"/>
  <c r="AW19" i="21" s="1"/>
  <c r="AU29" i="21"/>
  <c r="AW29" i="21" s="1"/>
  <c r="AU31" i="21"/>
  <c r="AW31" i="21" s="1"/>
  <c r="AU34" i="21"/>
  <c r="AW34" i="21" s="1"/>
  <c r="AU35" i="21"/>
  <c r="AW35" i="21" s="1"/>
  <c r="AU36" i="21"/>
  <c r="AU60" i="21"/>
  <c r="AW60" i="21" s="1"/>
  <c r="AU74" i="21"/>
  <c r="AW74" i="21" s="1"/>
  <c r="AU75" i="21"/>
  <c r="AW75" i="21" s="1"/>
  <c r="AU76" i="21"/>
  <c r="AW76" i="21" s="1"/>
  <c r="AU53" i="21"/>
  <c r="AW53" i="21" s="1"/>
  <c r="AU66" i="21"/>
  <c r="AW66" i="21" s="1"/>
  <c r="AU71" i="21"/>
  <c r="AW71" i="21" s="1"/>
  <c r="BU14" i="21"/>
  <c r="Y16" i="21"/>
  <c r="CS18" i="21"/>
  <c r="DE19" i="21"/>
  <c r="DE23" i="21"/>
  <c r="BU28" i="21"/>
  <c r="Y32" i="21"/>
  <c r="DE25" i="21"/>
  <c r="CG36" i="21"/>
  <c r="BU37" i="21"/>
  <c r="CG48" i="21"/>
  <c r="Y51" i="21"/>
  <c r="DE54" i="21"/>
  <c r="W24" i="21"/>
  <c r="Y36" i="21"/>
  <c r="CS44" i="21"/>
  <c r="CS46" i="21"/>
  <c r="Y50" i="21"/>
  <c r="AW50" i="21"/>
  <c r="BU61" i="21"/>
  <c r="AW67" i="21"/>
  <c r="CR71" i="21"/>
  <c r="CS71" i="21"/>
  <c r="CG66" i="21"/>
  <c r="CG69" i="21"/>
  <c r="AU57" i="21"/>
  <c r="BS57" i="21"/>
  <c r="CQ57" i="21"/>
  <c r="K72" i="21"/>
  <c r="AI72" i="21"/>
  <c r="BG72" i="21"/>
  <c r="CE72" i="21"/>
  <c r="DC72" i="21"/>
  <c r="K73" i="21"/>
  <c r="AI73" i="21"/>
  <c r="BG73" i="21"/>
  <c r="CE73" i="21"/>
  <c r="DC73" i="21"/>
  <c r="K74" i="21"/>
  <c r="AI74" i="21"/>
  <c r="BG74" i="21"/>
  <c r="CE74" i="21"/>
  <c r="DC74" i="21"/>
  <c r="K75" i="21"/>
  <c r="AI75" i="21"/>
  <c r="BG75" i="21"/>
  <c r="CE75" i="21"/>
  <c r="DC75" i="21"/>
  <c r="K76" i="21"/>
  <c r="AI76" i="21"/>
  <c r="BG76" i="21"/>
  <c r="CE76" i="21"/>
  <c r="DC76" i="21"/>
  <c r="CG70" i="21" l="1"/>
  <c r="BU71" i="21"/>
  <c r="BU70" i="21"/>
  <c r="CR72" i="21"/>
  <c r="BT75" i="21"/>
  <c r="AJ12" i="21"/>
  <c r="AW13" i="21"/>
  <c r="AV12" i="21"/>
  <c r="BH12" i="21"/>
  <c r="BT72" i="21"/>
  <c r="BT12" i="21"/>
  <c r="BT74" i="21"/>
  <c r="BT73" i="21"/>
  <c r="CG13" i="21"/>
  <c r="CF12" i="21"/>
  <c r="CR74" i="21"/>
  <c r="CS70" i="21"/>
  <c r="CS13" i="21"/>
  <c r="CR12" i="21"/>
  <c r="DD12" i="21"/>
  <c r="X76" i="21"/>
  <c r="X75" i="21"/>
  <c r="L76" i="21"/>
  <c r="DG76" i="21"/>
  <c r="M46" i="21"/>
  <c r="DG46" i="21"/>
  <c r="M24" i="21"/>
  <c r="DG24" i="21"/>
  <c r="M22" i="21"/>
  <c r="DH22" i="21" s="1"/>
  <c r="DG22" i="21"/>
  <c r="DG28" i="21"/>
  <c r="M49" i="21"/>
  <c r="DH49" i="21" s="1"/>
  <c r="DG49" i="21"/>
  <c r="DG31" i="21"/>
  <c r="DF36" i="21"/>
  <c r="DG59" i="21"/>
  <c r="M45" i="21"/>
  <c r="DH45" i="21" s="1"/>
  <c r="DG45" i="21"/>
  <c r="DG43" i="21"/>
  <c r="M41" i="21"/>
  <c r="DH41" i="21" s="1"/>
  <c r="DG41" i="21"/>
  <c r="DG39" i="21"/>
  <c r="DG25" i="21"/>
  <c r="DG21" i="21"/>
  <c r="DG44" i="21"/>
  <c r="DG17" i="21"/>
  <c r="DG62" i="21"/>
  <c r="M61" i="21"/>
  <c r="DG61" i="21"/>
  <c r="M57" i="21"/>
  <c r="DG57" i="21"/>
  <c r="M29" i="21"/>
  <c r="DH29" i="21" s="1"/>
  <c r="DG29" i="21"/>
  <c r="M18" i="21"/>
  <c r="DG18" i="21"/>
  <c r="DG52" i="21"/>
  <c r="DG32" i="21"/>
  <c r="DG30" i="21"/>
  <c r="DG26" i="21"/>
  <c r="DG19" i="21"/>
  <c r="M48" i="21"/>
  <c r="DG48" i="21"/>
  <c r="M40" i="21"/>
  <c r="DH40" i="21" s="1"/>
  <c r="DG40" i="21"/>
  <c r="M33" i="21"/>
  <c r="DG33" i="21"/>
  <c r="M15" i="21"/>
  <c r="DH15" i="21" s="1"/>
  <c r="DG15" i="21"/>
  <c r="DG36" i="21"/>
  <c r="DG68" i="21"/>
  <c r="L75" i="21"/>
  <c r="DG75" i="21"/>
  <c r="X74" i="21"/>
  <c r="CR76" i="21"/>
  <c r="BT26" i="21"/>
  <c r="Y71" i="21"/>
  <c r="DH51" i="21"/>
  <c r="L74" i="21"/>
  <c r="DG74" i="21"/>
  <c r="L73" i="21"/>
  <c r="DG73" i="21"/>
  <c r="DH37" i="21"/>
  <c r="M69" i="21"/>
  <c r="DH69" i="21" s="1"/>
  <c r="DG69" i="21"/>
  <c r="M38" i="21"/>
  <c r="DG38" i="21"/>
  <c r="M16" i="21"/>
  <c r="DH16" i="21" s="1"/>
  <c r="DG16" i="21"/>
  <c r="L70" i="21"/>
  <c r="DG70" i="21"/>
  <c r="DG67" i="21"/>
  <c r="DG66" i="21"/>
  <c r="DG58" i="21"/>
  <c r="DG55" i="21"/>
  <c r="DG56" i="21"/>
  <c r="M42" i="21"/>
  <c r="DH42" i="21" s="1"/>
  <c r="DG42" i="21"/>
  <c r="M23" i="21"/>
  <c r="DG23" i="21"/>
  <c r="DG51" i="21"/>
  <c r="M60" i="21"/>
  <c r="DH60" i="21" s="1"/>
  <c r="DG60" i="21"/>
  <c r="M47" i="21"/>
  <c r="DG47" i="21"/>
  <c r="L72" i="21"/>
  <c r="DG72" i="21"/>
  <c r="X73" i="21"/>
  <c r="X72" i="21"/>
  <c r="M62" i="21"/>
  <c r="DH62" i="21" s="1"/>
  <c r="M19" i="21"/>
  <c r="DH19" i="21" s="1"/>
  <c r="DG63" i="21"/>
  <c r="DG50" i="21"/>
  <c r="DG34" i="21"/>
  <c r="DG27" i="21"/>
  <c r="M14" i="21"/>
  <c r="DH14" i="21" s="1"/>
  <c r="DG14" i="21"/>
  <c r="DG13" i="21"/>
  <c r="M65" i="21"/>
  <c r="DH65" i="21" s="1"/>
  <c r="DG65" i="21"/>
  <c r="M64" i="21"/>
  <c r="DH64" i="21" s="1"/>
  <c r="DG64" i="21"/>
  <c r="M54" i="21"/>
  <c r="DG54" i="21"/>
  <c r="DG53" i="21"/>
  <c r="M35" i="21"/>
  <c r="DH35" i="21" s="1"/>
  <c r="DG35" i="21"/>
  <c r="M20" i="21"/>
  <c r="DG20" i="21"/>
  <c r="M71" i="21"/>
  <c r="L71" i="21"/>
  <c r="DG71" i="21"/>
  <c r="DF37" i="21"/>
  <c r="DG37" i="21"/>
  <c r="R30" i="22"/>
  <c r="R28" i="22"/>
  <c r="R26" i="22"/>
  <c r="R24" i="22"/>
  <c r="R29" i="22"/>
  <c r="R27" i="22"/>
  <c r="R25" i="22"/>
  <c r="R23" i="22"/>
  <c r="CR60" i="21"/>
  <c r="BT36" i="21"/>
  <c r="BT56" i="21"/>
  <c r="BT40" i="21"/>
  <c r="BT66" i="21"/>
  <c r="BT63" i="21"/>
  <c r="BT50" i="21"/>
  <c r="BT44" i="21"/>
  <c r="BT67" i="21"/>
  <c r="BT59" i="21"/>
  <c r="BT54" i="21"/>
  <c r="BT62" i="21"/>
  <c r="BT18" i="21"/>
  <c r="BT69" i="21"/>
  <c r="BT65" i="21"/>
  <c r="BT61" i="21"/>
  <c r="BT52" i="21"/>
  <c r="BT48" i="21"/>
  <c r="BT46" i="21"/>
  <c r="BT42" i="21"/>
  <c r="BT38" i="21"/>
  <c r="BT68" i="21"/>
  <c r="BT60" i="21"/>
  <c r="BT55" i="21"/>
  <c r="BT51" i="21"/>
  <c r="BT49" i="21"/>
  <c r="BT47" i="21"/>
  <c r="BT41" i="21"/>
  <c r="BT39" i="21"/>
  <c r="BT32" i="21"/>
  <c r="BT30" i="21"/>
  <c r="BT24" i="21"/>
  <c r="BT23" i="21"/>
  <c r="BT21" i="21"/>
  <c r="BT27" i="21"/>
  <c r="BT13" i="21"/>
  <c r="BT16" i="21"/>
  <c r="BT14" i="21"/>
  <c r="BT25" i="21"/>
  <c r="BT45" i="21"/>
  <c r="BT37" i="21"/>
  <c r="BT35" i="21"/>
  <c r="BT34" i="21"/>
  <c r="BT28" i="21"/>
  <c r="BT33" i="21"/>
  <c r="BT31" i="21"/>
  <c r="BT29" i="21"/>
  <c r="BT22" i="21"/>
  <c r="BT20" i="21"/>
  <c r="BT19" i="21"/>
  <c r="BT17" i="21"/>
  <c r="BT15" i="21"/>
  <c r="BT64" i="21"/>
  <c r="BT58" i="21"/>
  <c r="BT53" i="21"/>
  <c r="BT43" i="21"/>
  <c r="CR69" i="21"/>
  <c r="CR67" i="21"/>
  <c r="CR65" i="21"/>
  <c r="CR68" i="21"/>
  <c r="CR61" i="21"/>
  <c r="CR64" i="21"/>
  <c r="CS67" i="21"/>
  <c r="CR63" i="21"/>
  <c r="CR66" i="21"/>
  <c r="CR62" i="21"/>
  <c r="CR54" i="21"/>
  <c r="CR58" i="21"/>
  <c r="CR59" i="21"/>
  <c r="CR56" i="21"/>
  <c r="CR55" i="21"/>
  <c r="CR50" i="21"/>
  <c r="CS55" i="21"/>
  <c r="CR35" i="21"/>
  <c r="CR34" i="21"/>
  <c r="CR20" i="21"/>
  <c r="CR14" i="21"/>
  <c r="CR29" i="21"/>
  <c r="CR51" i="21"/>
  <c r="CR52" i="21"/>
  <c r="CR53" i="21"/>
  <c r="CR45" i="21"/>
  <c r="CR49" i="21"/>
  <c r="CR48" i="21"/>
  <c r="CR31" i="21"/>
  <c r="CR37" i="21"/>
  <c r="CR46" i="21"/>
  <c r="CR44" i="21"/>
  <c r="CR42" i="21"/>
  <c r="CR40" i="21"/>
  <c r="CR38" i="21"/>
  <c r="CR36" i="21"/>
  <c r="CR47" i="21"/>
  <c r="CR33" i="21"/>
  <c r="CR43" i="21"/>
  <c r="CR39" i="21"/>
  <c r="CR41" i="21"/>
  <c r="CS34" i="21"/>
  <c r="CR32" i="21"/>
  <c r="CS32" i="21"/>
  <c r="CR30" i="21"/>
  <c r="CR28" i="21"/>
  <c r="CR25" i="21"/>
  <c r="CS30" i="21"/>
  <c r="CR13" i="21"/>
  <c r="CR23" i="21"/>
  <c r="CR26" i="21"/>
  <c r="CR24" i="21"/>
  <c r="CR27" i="21"/>
  <c r="CS24" i="21"/>
  <c r="CR18" i="21"/>
  <c r="CR21" i="21"/>
  <c r="CR19" i="21"/>
  <c r="CR22" i="21"/>
  <c r="CR15" i="21"/>
  <c r="CS20" i="21"/>
  <c r="CR17" i="21"/>
  <c r="CR16" i="21"/>
  <c r="DF19" i="21"/>
  <c r="DF68" i="21"/>
  <c r="DF15" i="21"/>
  <c r="CG47" i="21"/>
  <c r="CG38" i="21"/>
  <c r="CG26" i="21"/>
  <c r="CG24" i="21"/>
  <c r="CG23" i="21"/>
  <c r="DD17" i="21"/>
  <c r="DF17" i="21"/>
  <c r="DF71" i="21"/>
  <c r="DF56" i="21"/>
  <c r="DF59" i="21"/>
  <c r="DF63" i="21"/>
  <c r="DF51" i="21"/>
  <c r="DF50" i="21"/>
  <c r="DF44" i="21"/>
  <c r="DF43" i="21"/>
  <c r="DF42" i="21"/>
  <c r="DF39" i="21"/>
  <c r="DF34" i="21"/>
  <c r="DF27" i="21"/>
  <c r="DF25" i="21"/>
  <c r="DF23" i="21"/>
  <c r="DF21" i="21"/>
  <c r="DF14" i="21"/>
  <c r="DF13" i="21"/>
  <c r="DF53" i="21"/>
  <c r="DF28" i="21"/>
  <c r="DF70" i="21"/>
  <c r="DF67" i="21"/>
  <c r="DF66" i="21"/>
  <c r="DF58" i="21"/>
  <c r="DF55" i="21"/>
  <c r="DF52" i="21"/>
  <c r="DF48" i="21"/>
  <c r="DF40" i="21"/>
  <c r="DF32" i="21"/>
  <c r="DF31" i="21"/>
  <c r="DF30" i="21"/>
  <c r="CK82" i="21"/>
  <c r="CM82" i="21" s="1"/>
  <c r="CK81" i="21"/>
  <c r="CM81" i="21" s="1"/>
  <c r="DD27" i="21"/>
  <c r="CW82" i="21"/>
  <c r="CY82" i="21" s="1"/>
  <c r="CW81" i="21"/>
  <c r="CY81" i="21" s="1"/>
  <c r="BM82" i="21"/>
  <c r="BO82" i="21" s="1"/>
  <c r="BM81" i="21"/>
  <c r="BO81" i="21" s="1"/>
  <c r="AO82" i="21"/>
  <c r="AQ82" i="21" s="1"/>
  <c r="AO81" i="21"/>
  <c r="AQ81" i="21" s="1"/>
  <c r="BH51" i="21"/>
  <c r="AJ26" i="21"/>
  <c r="W12" i="21"/>
  <c r="X18" i="21" s="1"/>
  <c r="CQ78" i="21"/>
  <c r="CQ77" i="21"/>
  <c r="CN78" i="21"/>
  <c r="CB77" i="21"/>
  <c r="CB78" i="21"/>
  <c r="CF67" i="21"/>
  <c r="BS78" i="21"/>
  <c r="BS77" i="21"/>
  <c r="BP77" i="21"/>
  <c r="BP78" i="21"/>
  <c r="DD55" i="21"/>
  <c r="DD53" i="21"/>
  <c r="DD51" i="21"/>
  <c r="DD49" i="21"/>
  <c r="DD47" i="21"/>
  <c r="DD45" i="21"/>
  <c r="DD43" i="21"/>
  <c r="DD41" i="21"/>
  <c r="DD37" i="21"/>
  <c r="DD35" i="21"/>
  <c r="DD50" i="21"/>
  <c r="DD48" i="21"/>
  <c r="DD42" i="21"/>
  <c r="DD40" i="21"/>
  <c r="DD36" i="21"/>
  <c r="DD23" i="21"/>
  <c r="DD15" i="21"/>
  <c r="DD13" i="21"/>
  <c r="DD60" i="21"/>
  <c r="DD69" i="21"/>
  <c r="DD66" i="21"/>
  <c r="DD46" i="21"/>
  <c r="DD44" i="21"/>
  <c r="DF26" i="21"/>
  <c r="DD67" i="21"/>
  <c r="DD33" i="21"/>
  <c r="DD25" i="21"/>
  <c r="DD68" i="21"/>
  <c r="DD63" i="21"/>
  <c r="DD34" i="21"/>
  <c r="DD29" i="21"/>
  <c r="DD39" i="21"/>
  <c r="DD54" i="21"/>
  <c r="DD52" i="21"/>
  <c r="DD38" i="21"/>
  <c r="DD22" i="21"/>
  <c r="DD20" i="21"/>
  <c r="DD19" i="21"/>
  <c r="DD18" i="21"/>
  <c r="DD16" i="21"/>
  <c r="DD14" i="21"/>
  <c r="DD56" i="21"/>
  <c r="DD26" i="21"/>
  <c r="DD21" i="21"/>
  <c r="DC78" i="21"/>
  <c r="DC77" i="21"/>
  <c r="DD28" i="21"/>
  <c r="DD70" i="21"/>
  <c r="DD61" i="21"/>
  <c r="DD59" i="21"/>
  <c r="DD57" i="21"/>
  <c r="DD64" i="21"/>
  <c r="DD71" i="21"/>
  <c r="DD62" i="21"/>
  <c r="DD30" i="21"/>
  <c r="DD65" i="21"/>
  <c r="DD58" i="21"/>
  <c r="DD31" i="21"/>
  <c r="DD24" i="21"/>
  <c r="DD32" i="21"/>
  <c r="M53" i="21"/>
  <c r="DH53" i="21" s="1"/>
  <c r="M34" i="21"/>
  <c r="DH34" i="21" s="1"/>
  <c r="M55" i="21"/>
  <c r="M43" i="21"/>
  <c r="DH43" i="21" s="1"/>
  <c r="DF41" i="21"/>
  <c r="M63" i="21"/>
  <c r="DH63" i="21" s="1"/>
  <c r="M25" i="21"/>
  <c r="DH25" i="21" s="1"/>
  <c r="M59" i="21"/>
  <c r="DF45" i="21"/>
  <c r="M39" i="21"/>
  <c r="DH39" i="21" s="1"/>
  <c r="M50" i="21"/>
  <c r="DH50" i="21" s="1"/>
  <c r="M27" i="21"/>
  <c r="DH27" i="21" s="1"/>
  <c r="M21" i="21"/>
  <c r="DH21" i="21" s="1"/>
  <c r="DF54" i="21"/>
  <c r="DF35" i="21"/>
  <c r="M52" i="21"/>
  <c r="DH52" i="21" s="1"/>
  <c r="M13" i="21"/>
  <c r="M70" i="21"/>
  <c r="DH70" i="21" s="1"/>
  <c r="M67" i="21"/>
  <c r="DH67" i="21" s="1"/>
  <c r="M66" i="21"/>
  <c r="DH66" i="21" s="1"/>
  <c r="M58" i="21"/>
  <c r="DH58" i="21" s="1"/>
  <c r="DF49" i="21"/>
  <c r="M32" i="21"/>
  <c r="M31" i="21"/>
  <c r="DH31" i="21" s="1"/>
  <c r="M30" i="21"/>
  <c r="M28" i="21"/>
  <c r="M26" i="21"/>
  <c r="DF18" i="21"/>
  <c r="DF46" i="21"/>
  <c r="DF38" i="21"/>
  <c r="BD77" i="21"/>
  <c r="BD78" i="21"/>
  <c r="AU78" i="21"/>
  <c r="AU77" i="21"/>
  <c r="AR77" i="21"/>
  <c r="AR78" i="21"/>
  <c r="AF77" i="21"/>
  <c r="AF78" i="21"/>
  <c r="BT76" i="21"/>
  <c r="CR75" i="21"/>
  <c r="CR73" i="21"/>
  <c r="AV73" i="21"/>
  <c r="CG71" i="21"/>
  <c r="DF69" i="21"/>
  <c r="CG68" i="21"/>
  <c r="DH68" i="21" s="1"/>
  <c r="DF65" i="21"/>
  <c r="DF64" i="21"/>
  <c r="DF62" i="21"/>
  <c r="CG61" i="21"/>
  <c r="DF61" i="21"/>
  <c r="DF60" i="21"/>
  <c r="CG59" i="21"/>
  <c r="Y54" i="21"/>
  <c r="DF47" i="21"/>
  <c r="Y46" i="21"/>
  <c r="Y38" i="21"/>
  <c r="AW36" i="21"/>
  <c r="DH36" i="21" s="1"/>
  <c r="AK56" i="21"/>
  <c r="DH56" i="21" s="1"/>
  <c r="AK48" i="21"/>
  <c r="AK44" i="21"/>
  <c r="DH44" i="21" s="1"/>
  <c r="CG33" i="21"/>
  <c r="DF33" i="21"/>
  <c r="DF29" i="21"/>
  <c r="CG28" i="21"/>
  <c r="DF22" i="21"/>
  <c r="DF20" i="21"/>
  <c r="AK23" i="21"/>
  <c r="AK18" i="21"/>
  <c r="DF16" i="21"/>
  <c r="BI17" i="21"/>
  <c r="DH17" i="21" s="1"/>
  <c r="BI13" i="21"/>
  <c r="L24" i="21"/>
  <c r="BH55" i="21"/>
  <c r="BH53" i="21"/>
  <c r="BH47" i="21"/>
  <c r="BH45" i="21"/>
  <c r="BH39" i="21"/>
  <c r="BH37" i="21"/>
  <c r="BH50" i="21"/>
  <c r="BH46" i="21"/>
  <c r="BH22" i="21"/>
  <c r="BH21" i="21"/>
  <c r="BH13" i="21"/>
  <c r="BH66" i="21"/>
  <c r="BH31" i="21"/>
  <c r="BH28" i="21"/>
  <c r="BH68" i="21"/>
  <c r="BH60" i="21"/>
  <c r="BH34" i="21"/>
  <c r="BH57" i="21"/>
  <c r="BH48" i="21"/>
  <c r="BH44" i="21"/>
  <c r="BH20" i="21"/>
  <c r="BH23" i="21"/>
  <c r="BH19" i="21"/>
  <c r="BH15" i="21"/>
  <c r="BH71" i="21"/>
  <c r="BH61" i="21"/>
  <c r="BH58" i="21"/>
  <c r="BH25" i="21"/>
  <c r="BH70" i="21"/>
  <c r="BH69" i="21"/>
  <c r="BH63" i="21"/>
  <c r="AV76" i="21"/>
  <c r="AV72" i="21"/>
  <c r="AV13" i="21"/>
  <c r="AV75" i="21"/>
  <c r="AV21" i="21"/>
  <c r="AV74" i="21"/>
  <c r="AV71" i="21"/>
  <c r="AV69" i="21"/>
  <c r="AV67" i="21"/>
  <c r="AV65" i="21"/>
  <c r="AV63" i="21"/>
  <c r="AV61" i="21"/>
  <c r="AV59" i="21"/>
  <c r="AV54" i="21"/>
  <c r="AV50" i="21"/>
  <c r="AV46" i="21"/>
  <c r="AV42" i="21"/>
  <c r="AV38" i="21"/>
  <c r="AV70" i="21"/>
  <c r="AV66" i="21"/>
  <c r="AV62" i="21"/>
  <c r="AV58" i="21"/>
  <c r="AV55" i="21"/>
  <c r="AV53" i="21"/>
  <c r="AV51" i="21"/>
  <c r="AV49" i="21"/>
  <c r="AV47" i="21"/>
  <c r="AV45" i="21"/>
  <c r="AV43" i="21"/>
  <c r="AV41" i="21"/>
  <c r="AV39" i="21"/>
  <c r="AV37" i="21"/>
  <c r="AV35" i="21"/>
  <c r="AV34" i="21"/>
  <c r="AV30" i="21"/>
  <c r="AV26" i="21"/>
  <c r="AV33" i="21"/>
  <c r="AV29" i="21"/>
  <c r="AV25" i="21"/>
  <c r="AV22" i="21"/>
  <c r="AV20" i="21"/>
  <c r="AV18" i="21"/>
  <c r="AV16" i="21"/>
  <c r="AV14" i="21"/>
  <c r="AV56" i="21"/>
  <c r="AV52" i="21"/>
  <c r="AV48" i="21"/>
  <c r="AV44" i="21"/>
  <c r="AV40" i="21"/>
  <c r="AV36" i="21"/>
  <c r="AV68" i="21"/>
  <c r="AV64" i="21"/>
  <c r="AV60" i="21"/>
  <c r="AV32" i="21"/>
  <c r="AV28" i="21"/>
  <c r="AV24" i="21"/>
  <c r="AV23" i="21"/>
  <c r="AV31" i="21"/>
  <c r="AV27" i="21"/>
  <c r="AV19" i="21"/>
  <c r="AV17" i="21"/>
  <c r="AV15" i="21"/>
  <c r="AJ54" i="21"/>
  <c r="AJ17" i="21"/>
  <c r="AJ70" i="21"/>
  <c r="AJ61" i="21"/>
  <c r="AJ53" i="21"/>
  <c r="AJ37" i="21"/>
  <c r="AJ21" i="21"/>
  <c r="AJ71" i="21"/>
  <c r="AJ63" i="21"/>
  <c r="AJ59" i="21"/>
  <c r="X70" i="21"/>
  <c r="CG76" i="21"/>
  <c r="CF76" i="21"/>
  <c r="DE75" i="21"/>
  <c r="DD75" i="21"/>
  <c r="M75" i="21"/>
  <c r="DF75" i="21"/>
  <c r="AK74" i="21"/>
  <c r="AJ74" i="21"/>
  <c r="BI73" i="21"/>
  <c r="BH73" i="21"/>
  <c r="CG72" i="21"/>
  <c r="CF72" i="21"/>
  <c r="BU57" i="21"/>
  <c r="BT57" i="21"/>
  <c r="Y24" i="21"/>
  <c r="DF24" i="21"/>
  <c r="AK76" i="21"/>
  <c r="AJ76" i="21"/>
  <c r="BI75" i="21"/>
  <c r="BH75" i="21"/>
  <c r="CG74" i="21"/>
  <c r="CF74" i="21"/>
  <c r="DE73" i="21"/>
  <c r="DD73" i="21"/>
  <c r="M73" i="21"/>
  <c r="DF73" i="21"/>
  <c r="AK72" i="21"/>
  <c r="AJ72" i="21"/>
  <c r="DE76" i="21"/>
  <c r="DD76" i="21"/>
  <c r="BI76" i="21"/>
  <c r="BH76" i="21"/>
  <c r="M76" i="21"/>
  <c r="DF76" i="21"/>
  <c r="CG75" i="21"/>
  <c r="CF75" i="21"/>
  <c r="AK75" i="21"/>
  <c r="AJ75" i="21"/>
  <c r="DE74" i="21"/>
  <c r="DD74" i="21"/>
  <c r="BI74" i="21"/>
  <c r="BH74" i="21"/>
  <c r="M74" i="21"/>
  <c r="DF74" i="21"/>
  <c r="CG73" i="21"/>
  <c r="CF73" i="21"/>
  <c r="AK73" i="21"/>
  <c r="AJ73" i="21"/>
  <c r="DE72" i="21"/>
  <c r="DD72" i="21"/>
  <c r="BI72" i="21"/>
  <c r="BH72" i="21"/>
  <c r="M72" i="21"/>
  <c r="DF72" i="21"/>
  <c r="CS57" i="21"/>
  <c r="CR57" i="21"/>
  <c r="AW57" i="21"/>
  <c r="AV57" i="21"/>
  <c r="DF57" i="21"/>
  <c r="DI73" i="26" l="1"/>
  <c r="DI72" i="26"/>
  <c r="DI76" i="26"/>
  <c r="DI75" i="26"/>
  <c r="DI71" i="26"/>
  <c r="DI74" i="26"/>
  <c r="DI70" i="26"/>
  <c r="DH30" i="21"/>
  <c r="DH55" i="21"/>
  <c r="X45" i="21"/>
  <c r="X28" i="21"/>
  <c r="X62" i="21"/>
  <c r="X25" i="21"/>
  <c r="X17" i="21"/>
  <c r="X20" i="21"/>
  <c r="X23" i="21"/>
  <c r="X41" i="21"/>
  <c r="X58" i="21"/>
  <c r="X29" i="21"/>
  <c r="X32" i="21"/>
  <c r="X49" i="21"/>
  <c r="X24" i="21"/>
  <c r="X33" i="21"/>
  <c r="X37" i="21"/>
  <c r="X53" i="21"/>
  <c r="X16" i="21"/>
  <c r="X13" i="21"/>
  <c r="X40" i="21"/>
  <c r="X66" i="21"/>
  <c r="DH61" i="21"/>
  <c r="DH47" i="21"/>
  <c r="DH74" i="21"/>
  <c r="DH33" i="21"/>
  <c r="AJ22" i="21"/>
  <c r="AJ39" i="21"/>
  <c r="AJ55" i="21"/>
  <c r="AJ69" i="21"/>
  <c r="AJ16" i="21"/>
  <c r="AJ57" i="21"/>
  <c r="AJ33" i="21"/>
  <c r="AJ58" i="21"/>
  <c r="AJ15" i="21"/>
  <c r="AJ44" i="21"/>
  <c r="AJ45" i="21"/>
  <c r="AJ64" i="21"/>
  <c r="AJ65" i="21"/>
  <c r="AJ38" i="21"/>
  <c r="AJ32" i="21"/>
  <c r="AJ60" i="21"/>
  <c r="AJ19" i="21"/>
  <c r="AJ48" i="21"/>
  <c r="AJ47" i="21"/>
  <c r="AJ25" i="21"/>
  <c r="AJ42" i="21"/>
  <c r="L27" i="21"/>
  <c r="L19" i="21"/>
  <c r="L57" i="21"/>
  <c r="L44" i="21"/>
  <c r="L59" i="21"/>
  <c r="L46" i="21"/>
  <c r="L66" i="21"/>
  <c r="L53" i="21"/>
  <c r="L37" i="21"/>
  <c r="L65" i="21"/>
  <c r="L55" i="21"/>
  <c r="L69" i="21"/>
  <c r="L52" i="21"/>
  <c r="L41" i="21"/>
  <c r="L28" i="21"/>
  <c r="L50" i="21"/>
  <c r="L15" i="21"/>
  <c r="L30" i="21"/>
  <c r="L25" i="21"/>
  <c r="DH75" i="21"/>
  <c r="DH73" i="21"/>
  <c r="AJ67" i="21"/>
  <c r="AJ14" i="21"/>
  <c r="AJ52" i="21"/>
  <c r="AJ49" i="21"/>
  <c r="AJ30" i="21"/>
  <c r="AJ23" i="21"/>
  <c r="BH33" i="21"/>
  <c r="BH64" i="21"/>
  <c r="BH52" i="21"/>
  <c r="BH24" i="21"/>
  <c r="BH17" i="21"/>
  <c r="BH41" i="21"/>
  <c r="L35" i="21"/>
  <c r="L64" i="21"/>
  <c r="L14" i="21"/>
  <c r="L51" i="21"/>
  <c r="L56" i="21"/>
  <c r="L38" i="21"/>
  <c r="L68" i="21"/>
  <c r="L48" i="21"/>
  <c r="L29" i="21"/>
  <c r="DH57" i="21"/>
  <c r="L45" i="21"/>
  <c r="L49" i="21"/>
  <c r="DH46" i="21"/>
  <c r="DH59" i="21"/>
  <c r="DH71" i="21"/>
  <c r="DH23" i="21"/>
  <c r="AJ66" i="21"/>
  <c r="AJ68" i="21"/>
  <c r="AJ36" i="21"/>
  <c r="AJ41" i="21"/>
  <c r="AJ28" i="21"/>
  <c r="AJ31" i="21"/>
  <c r="AJ24" i="21"/>
  <c r="AJ46" i="21"/>
  <c r="BH27" i="21"/>
  <c r="BH14" i="21"/>
  <c r="BH36" i="21"/>
  <c r="BH67" i="21"/>
  <c r="BH59" i="21"/>
  <c r="BH38" i="21"/>
  <c r="BH54" i="21"/>
  <c r="BH49" i="21"/>
  <c r="BH32" i="21"/>
  <c r="DH26" i="21"/>
  <c r="DH32" i="21"/>
  <c r="DH72" i="21"/>
  <c r="DH76" i="21"/>
  <c r="AJ27" i="21"/>
  <c r="AJ29" i="21"/>
  <c r="AJ18" i="21"/>
  <c r="AJ40" i="21"/>
  <c r="AJ56" i="21"/>
  <c r="AJ43" i="21"/>
  <c r="AJ51" i="21"/>
  <c r="AJ34" i="21"/>
  <c r="AJ35" i="21"/>
  <c r="AJ62" i="21"/>
  <c r="AJ13" i="21"/>
  <c r="AJ20" i="21"/>
  <c r="AJ50" i="21"/>
  <c r="BH65" i="21"/>
  <c r="BH29" i="21"/>
  <c r="BH18" i="21"/>
  <c r="BH40" i="21"/>
  <c r="BH56" i="21"/>
  <c r="BH30" i="21"/>
  <c r="BH26" i="21"/>
  <c r="BH62" i="21"/>
  <c r="BH16" i="21"/>
  <c r="BH42" i="21"/>
  <c r="BH35" i="21"/>
  <c r="BH43" i="21"/>
  <c r="E81" i="21"/>
  <c r="G81" i="21" s="1"/>
  <c r="DG12" i="21"/>
  <c r="DH28" i="21"/>
  <c r="L20" i="21"/>
  <c r="L54" i="21"/>
  <c r="L34" i="21"/>
  <c r="L63" i="21"/>
  <c r="L60" i="21"/>
  <c r="L42" i="21"/>
  <c r="L36" i="21"/>
  <c r="L58" i="21"/>
  <c r="L67" i="21"/>
  <c r="L16" i="21"/>
  <c r="DH38" i="21"/>
  <c r="L40" i="21"/>
  <c r="DH48" i="21"/>
  <c r="L26" i="21"/>
  <c r="L32" i="21"/>
  <c r="L18" i="21"/>
  <c r="L62" i="21"/>
  <c r="L17" i="21"/>
  <c r="L21" i="21"/>
  <c r="L39" i="21"/>
  <c r="L22" i="21"/>
  <c r="DH24" i="21"/>
  <c r="DH13" i="21"/>
  <c r="DH20" i="21"/>
  <c r="DH54" i="21"/>
  <c r="L13" i="21"/>
  <c r="L47" i="21"/>
  <c r="L23" i="21"/>
  <c r="L33" i="21"/>
  <c r="DH18" i="21"/>
  <c r="L61" i="21"/>
  <c r="L43" i="21"/>
  <c r="L31" i="21"/>
  <c r="N31" i="22"/>
  <c r="M31" i="22"/>
  <c r="R22" i="22"/>
  <c r="O31" i="22"/>
  <c r="CF18" i="21"/>
  <c r="CF13" i="21"/>
  <c r="CF19" i="21"/>
  <c r="CF15" i="21"/>
  <c r="CF25" i="21"/>
  <c r="CF14" i="21"/>
  <c r="CF20" i="21"/>
  <c r="CF29" i="21"/>
  <c r="CF26" i="21"/>
  <c r="CF30" i="21"/>
  <c r="CF28" i="21"/>
  <c r="CF34" i="21"/>
  <c r="CF38" i="21"/>
  <c r="CF39" i="21"/>
  <c r="CF42" i="21"/>
  <c r="CF35" i="21"/>
  <c r="CF45" i="21"/>
  <c r="CF50" i="21"/>
  <c r="CF51" i="21"/>
  <c r="CF56" i="21"/>
  <c r="CF58" i="21"/>
  <c r="CF60" i="21"/>
  <c r="CF47" i="21"/>
  <c r="CF57" i="21"/>
  <c r="CF65" i="21"/>
  <c r="CF68" i="21"/>
  <c r="CF69" i="21"/>
  <c r="CF52" i="21"/>
  <c r="CF66" i="21"/>
  <c r="CF63" i="21"/>
  <c r="CF48" i="21"/>
  <c r="CF23" i="21"/>
  <c r="CF17" i="21"/>
  <c r="CF21" i="21"/>
  <c r="CF22" i="21"/>
  <c r="CF24" i="21"/>
  <c r="CF16" i="21"/>
  <c r="CF27" i="21"/>
  <c r="CF31" i="21"/>
  <c r="CF32" i="21"/>
  <c r="CF33" i="21"/>
  <c r="CF37" i="21"/>
  <c r="CF36" i="21"/>
  <c r="CF44" i="21"/>
  <c r="CF43" i="21"/>
  <c r="CF40" i="21"/>
  <c r="CF41" i="21"/>
  <c r="CF49" i="21"/>
  <c r="CF46" i="21"/>
  <c r="CF55" i="21"/>
  <c r="CF59" i="21"/>
  <c r="CF54" i="21"/>
  <c r="CF53" i="21"/>
  <c r="CF62" i="21"/>
  <c r="CF64" i="21"/>
  <c r="CF61" i="21"/>
  <c r="X15" i="21"/>
  <c r="X19" i="21"/>
  <c r="X22" i="21"/>
  <c r="X27" i="21"/>
  <c r="X31" i="21"/>
  <c r="X35" i="21"/>
  <c r="X26" i="21"/>
  <c r="X30" i="21"/>
  <c r="X34" i="21"/>
  <c r="X39" i="21"/>
  <c r="X43" i="21"/>
  <c r="X47" i="21"/>
  <c r="X51" i="21"/>
  <c r="X55" i="21"/>
  <c r="X60" i="21"/>
  <c r="X64" i="21"/>
  <c r="X68" i="21"/>
  <c r="X14" i="21"/>
  <c r="X36" i="21"/>
  <c r="X38" i="21"/>
  <c r="X50" i="21"/>
  <c r="X54" i="21"/>
  <c r="X57" i="21"/>
  <c r="X42" i="21"/>
  <c r="X46" i="21"/>
  <c r="X61" i="21"/>
  <c r="X63" i="21"/>
  <c r="X65" i="21"/>
  <c r="X69" i="21"/>
  <c r="X44" i="21"/>
  <c r="X48" i="21"/>
  <c r="X52" i="21"/>
  <c r="X56" i="21"/>
  <c r="X59" i="21"/>
  <c r="X21" i="21"/>
  <c r="X67" i="21"/>
  <c r="DI72" i="21"/>
  <c r="DM72" i="21"/>
  <c r="DI74" i="21"/>
  <c r="DM74" i="21"/>
  <c r="DI76" i="21"/>
  <c r="DM76" i="21"/>
  <c r="DM75" i="21"/>
  <c r="DI75" i="21"/>
  <c r="DM71" i="21"/>
  <c r="DI71" i="21"/>
  <c r="DM73" i="21"/>
  <c r="DI73" i="21"/>
  <c r="DI70" i="21"/>
  <c r="DM70" i="21"/>
  <c r="BY82" i="21"/>
  <c r="CA82" i="21" s="1"/>
  <c r="BY81" i="21"/>
  <c r="CA81" i="21" s="1"/>
  <c r="BA82" i="21"/>
  <c r="BC82" i="21" s="1"/>
  <c r="BA81" i="21"/>
  <c r="BC81" i="21" s="1"/>
  <c r="AC82" i="21"/>
  <c r="AE82" i="21" s="1"/>
  <c r="AC81" i="21"/>
  <c r="AE81" i="21" s="1"/>
  <c r="Q82" i="21"/>
  <c r="S82" i="21" s="1"/>
  <c r="Q81" i="21"/>
  <c r="S81" i="21" s="1"/>
  <c r="AI78" i="21"/>
  <c r="W77" i="21"/>
  <c r="BG78" i="21"/>
  <c r="AI77" i="21"/>
  <c r="BG77" i="21"/>
  <c r="X12" i="21"/>
  <c r="W78" i="21"/>
  <c r="Y12" i="21"/>
  <c r="CE78" i="21"/>
  <c r="CE77" i="21"/>
  <c r="E82" i="21"/>
  <c r="G82" i="21" s="1"/>
  <c r="L12" i="21"/>
  <c r="K78" i="21"/>
  <c r="K77" i="21"/>
  <c r="M12" i="21"/>
  <c r="DF12" i="21"/>
  <c r="DI64" i="26" s="1"/>
  <c r="DI68" i="26" l="1"/>
  <c r="DI27" i="26"/>
  <c r="DI32" i="26"/>
  <c r="DI62" i="26"/>
  <c r="DI13" i="26"/>
  <c r="DI41" i="26"/>
  <c r="DI16" i="26"/>
  <c r="DI39" i="26"/>
  <c r="DI48" i="26"/>
  <c r="DI38" i="26"/>
  <c r="DI33" i="26"/>
  <c r="DI44" i="26"/>
  <c r="DI58" i="26"/>
  <c r="DI60" i="26"/>
  <c r="DI17" i="26"/>
  <c r="DI14" i="26"/>
  <c r="DI26" i="26"/>
  <c r="DI24" i="26"/>
  <c r="DI51" i="26"/>
  <c r="DI67" i="26"/>
  <c r="DI45" i="26"/>
  <c r="DI36" i="26"/>
  <c r="DI23" i="26"/>
  <c r="DI30" i="26"/>
  <c r="DI65" i="26"/>
  <c r="DI20" i="26"/>
  <c r="DI37" i="26"/>
  <c r="DI34" i="26"/>
  <c r="DI40" i="26"/>
  <c r="DI29" i="26"/>
  <c r="DI63" i="26"/>
  <c r="DI18" i="26"/>
  <c r="DI42" i="26"/>
  <c r="DI52" i="26"/>
  <c r="DI46" i="26"/>
  <c r="DI56" i="26"/>
  <c r="DI53" i="26"/>
  <c r="DI54" i="26"/>
  <c r="DI61" i="26"/>
  <c r="DI19" i="26"/>
  <c r="DI21" i="26"/>
  <c r="DI35" i="26"/>
  <c r="DI57" i="26"/>
  <c r="DI43" i="26"/>
  <c r="DI55" i="26"/>
  <c r="DI69" i="26"/>
  <c r="DI15" i="26"/>
  <c r="DI25" i="26"/>
  <c r="DI31" i="26"/>
  <c r="DI22" i="26"/>
  <c r="DI50" i="26"/>
  <c r="DI66" i="26"/>
  <c r="DI49" i="26"/>
  <c r="DI47" i="26"/>
  <c r="DI59" i="26"/>
  <c r="DI28" i="26"/>
  <c r="DI12" i="26"/>
  <c r="DH82" i="21"/>
  <c r="DI82" i="21" s="1"/>
  <c r="M14" i="22"/>
  <c r="DH12" i="21"/>
  <c r="DI41" i="21"/>
  <c r="DI35" i="21"/>
  <c r="DI33" i="21"/>
  <c r="DI63" i="21"/>
  <c r="DI53" i="21"/>
  <c r="DI55" i="21"/>
  <c r="DI49" i="21"/>
  <c r="DI59" i="21"/>
  <c r="DI51" i="21"/>
  <c r="DI67" i="21"/>
  <c r="DI45" i="21"/>
  <c r="DI69" i="21"/>
  <c r="DI65" i="21"/>
  <c r="DI61" i="21"/>
  <c r="DI47" i="21"/>
  <c r="DI57" i="21"/>
  <c r="DI14" i="21"/>
  <c r="DI16" i="21"/>
  <c r="DI19" i="21"/>
  <c r="DI21" i="21"/>
  <c r="DI25" i="21"/>
  <c r="DI23" i="21"/>
  <c r="DI27" i="21"/>
  <c r="DI31" i="21"/>
  <c r="DI29" i="21"/>
  <c r="DI32" i="21"/>
  <c r="DI36" i="21"/>
  <c r="DI37" i="21"/>
  <c r="DI39" i="21"/>
  <c r="DI42" i="21"/>
  <c r="DI38" i="21"/>
  <c r="DI56" i="21"/>
  <c r="DI50" i="21"/>
  <c r="DI66" i="21"/>
  <c r="DI48" i="21"/>
  <c r="DI54" i="21"/>
  <c r="DI64" i="21"/>
  <c r="DI60" i="21"/>
  <c r="DI44" i="21"/>
  <c r="DI58" i="21"/>
  <c r="DI52" i="21"/>
  <c r="DI46" i="21"/>
  <c r="DI62" i="21"/>
  <c r="DI13" i="21"/>
  <c r="DI17" i="21"/>
  <c r="DI15" i="21"/>
  <c r="DI18" i="21"/>
  <c r="DI20" i="21"/>
  <c r="DI24" i="21"/>
  <c r="DI28" i="21"/>
  <c r="DI26" i="21"/>
  <c r="DI22" i="21"/>
  <c r="DI30" i="21"/>
  <c r="DI34" i="21"/>
  <c r="DI40" i="21"/>
  <c r="DI43" i="21"/>
  <c r="DI68" i="21"/>
  <c r="DI12" i="21"/>
  <c r="DH81" i="21"/>
  <c r="DI81" i="21" s="1"/>
</calcChain>
</file>

<file path=xl/sharedStrings.xml><?xml version="1.0" encoding="utf-8"?>
<sst xmlns="http://schemas.openxmlformats.org/spreadsheetml/2006/main" count="652" uniqueCount="370">
  <si>
    <t>AUTOMATED EXAMS SHEET</t>
  </si>
  <si>
    <t>SCHOOL INFORMATION</t>
  </si>
  <si>
    <t>CLASS INFORMATION</t>
  </si>
  <si>
    <t>Please update the information below before you enter data in subjects sheets.</t>
  </si>
  <si>
    <t>Test Name</t>
  </si>
  <si>
    <t xml:space="preserve">Percentage </t>
  </si>
  <si>
    <t>Subject Name</t>
  </si>
  <si>
    <t>GRADE</t>
  </si>
  <si>
    <t>Please enter unique test names.</t>
  </si>
  <si>
    <t>Please enter test names successively without blanks</t>
  </si>
  <si>
    <t>Please enter subjects successively without blanks</t>
  </si>
  <si>
    <t>ADEGBO RICHARD</t>
  </si>
  <si>
    <t>Term:</t>
  </si>
  <si>
    <t>Year:</t>
  </si>
  <si>
    <t xml:space="preserve">Subject: </t>
  </si>
  <si>
    <t>No. on Roll:</t>
  </si>
  <si>
    <t>S/N</t>
  </si>
  <si>
    <t xml:space="preserve">
CANDIDATE’S NAME</t>
  </si>
  <si>
    <t>POS</t>
  </si>
  <si>
    <t>60 MARKS 
SCALED TO
 50 MARKS
 TEST</t>
  </si>
  <si>
    <t>OVER 
TOTAL 
50%  + 50%</t>
  </si>
  <si>
    <t>Grade</t>
  </si>
  <si>
    <t>Date Printed:</t>
  </si>
  <si>
    <t>Aggregate:</t>
  </si>
  <si>
    <t xml:space="preserve">  NAME:</t>
  </si>
  <si>
    <t xml:space="preserve">  GENDER:</t>
  </si>
  <si>
    <t>CLASS</t>
  </si>
  <si>
    <t xml:space="preserve">  POSITION:</t>
  </si>
  <si>
    <t>COMBINED:</t>
  </si>
  <si>
    <t xml:space="preserve">  TERM:</t>
  </si>
  <si>
    <t xml:space="preserve">  VACATION DATE:</t>
  </si>
  <si>
    <t>NEXT TERM:</t>
  </si>
  <si>
    <t>SUBJECTS</t>
  </si>
  <si>
    <t>Overall 
Score
100%</t>
  </si>
  <si>
    <t>Pos
In
Subject</t>
  </si>
  <si>
    <t>Remarks</t>
  </si>
  <si>
    <t xml:space="preserve">  TOTAL</t>
  </si>
  <si>
    <t xml:space="preserve">  CONDUCT/CHARACTER: …………………………………………………………………………………………………..</t>
  </si>
  <si>
    <t xml:space="preserve">  INTEREST: …………………………………………………………………………………………………………………….</t>
  </si>
  <si>
    <t xml:space="preserve">  ATTITUDE: ……………………………………………………………………………………………………………………</t>
  </si>
  <si>
    <t>75 – 100</t>
  </si>
  <si>
    <t>70 – 74</t>
  </si>
  <si>
    <t>65 – 69</t>
  </si>
  <si>
    <t>60 – 64</t>
  </si>
  <si>
    <t>55 – 59</t>
  </si>
  <si>
    <t>50 – 54</t>
  </si>
  <si>
    <t>45 – 49</t>
  </si>
  <si>
    <t>40 – 44</t>
  </si>
  <si>
    <t>0 -39</t>
  </si>
  <si>
    <t>Tel: 0555516190 / 0269381058</t>
  </si>
  <si>
    <t>TOTAL</t>
  </si>
  <si>
    <t>Teacher’s Name:</t>
  </si>
  <si>
    <t>RAW SCORE</t>
  </si>
  <si>
    <t>AGGR</t>
  </si>
  <si>
    <t>AVERAGE</t>
  </si>
  <si>
    <t>PASSED:</t>
  </si>
  <si>
    <t>NUMBER</t>
  </si>
  <si>
    <t>PERCENTAGE</t>
  </si>
  <si>
    <t>FAILED:</t>
  </si>
  <si>
    <t>Class
 Score
50%</t>
  </si>
  <si>
    <t>Exams score
50%</t>
  </si>
  <si>
    <t>NO.</t>
  </si>
  <si>
    <t xml:space="preserve"> %</t>
  </si>
  <si>
    <t>OVERALL</t>
  </si>
  <si>
    <t>ABDUL RAZAK MUSAH</t>
  </si>
  <si>
    <t>ABUBAKAR WAHID</t>
  </si>
  <si>
    <t>ADAMS OSEI BLESSING</t>
  </si>
  <si>
    <t>ADAMU SALUU</t>
  </si>
  <si>
    <t>ADDAI FREDRICK</t>
  </si>
  <si>
    <t>AFEDO FREEMAN CHARLES</t>
  </si>
  <si>
    <t>AGBADEY DERRICK</t>
  </si>
  <si>
    <t>AGYAPONG EMMANUEL BILSON</t>
  </si>
  <si>
    <t>AKANTA EMMANUEL</t>
  </si>
  <si>
    <t>AMANGA EBENEZER</t>
  </si>
  <si>
    <t>ANIM BIO THEOPHILUS</t>
  </si>
  <si>
    <t>ASEMPA MICHAEL KWBENA</t>
  </si>
  <si>
    <t>FRIMPONG BARIMA CHRIS</t>
  </si>
  <si>
    <t>IBRAHIM AWAL MOHAMMED</t>
  </si>
  <si>
    <t>ISSAHAK JAMAL</t>
  </si>
  <si>
    <t>KUSI AGEMANG MAXWEL</t>
  </si>
  <si>
    <t>MENSAH OBED</t>
  </si>
  <si>
    <t>MUNTARI SULEMAN</t>
  </si>
  <si>
    <t>SARPONG KUSI BLESSING</t>
  </si>
  <si>
    <t>MUSAH IMRANA</t>
  </si>
  <si>
    <t>TOUTEGE CEPHAS</t>
  </si>
  <si>
    <t>YEBOAH BOAMPONG EMMANUEL</t>
  </si>
  <si>
    <t>AMOASI MAVIS</t>
  </si>
  <si>
    <t>ANNAN ISSABELLA</t>
  </si>
  <si>
    <t>ANTWI BERNICE</t>
  </si>
  <si>
    <t>APPIAH FAUSTINA</t>
  </si>
  <si>
    <t>ARHIN ESTHER</t>
  </si>
  <si>
    <t>ASAREWAA MODESTA</t>
  </si>
  <si>
    <t>BASHIRU ZAINAB</t>
  </si>
  <si>
    <t>BOAHEN JOSEPHINE</t>
  </si>
  <si>
    <t>BORSIE DIVINA BLESSTINA</t>
  </si>
  <si>
    <t>DANSO CHRISTABEL</t>
  </si>
  <si>
    <t>DEMENYA CHARITY</t>
  </si>
  <si>
    <t>MARIDIYA TANIM</t>
  </si>
  <si>
    <t>MENSAH AMPOMA BLESSING</t>
  </si>
  <si>
    <t>NAAB DORCAS</t>
  </si>
  <si>
    <t>NA-EEMATU NUHU</t>
  </si>
  <si>
    <t>NANA AMA NYARKO DELORIS</t>
  </si>
  <si>
    <t>OWUSU ANSAH ERICA</t>
  </si>
  <si>
    <t>RASHID RAMATU</t>
  </si>
  <si>
    <t>TEYE STEPHANIE EYRAM</t>
  </si>
  <si>
    <t>YEBOAH EMMANUELA</t>
  </si>
  <si>
    <t>YIN ISSABELLA</t>
  </si>
  <si>
    <t>ANNAN COMFORT</t>
  </si>
  <si>
    <t>APPIAGYEI NHYIRA KWABENA</t>
  </si>
  <si>
    <t>`13</t>
  </si>
  <si>
    <t>AKOTO BLESSING GIDEON</t>
  </si>
  <si>
    <t>AMPOSAH AMPONSAH NATHANIEL</t>
  </si>
  <si>
    <t>BOAMAH GYAMFUAH VANESSA</t>
  </si>
  <si>
    <t>ASAMOAH RICHARD SENIOR</t>
  </si>
  <si>
    <t>ANOWAH AFIA GENEVIEVE</t>
  </si>
  <si>
    <t>ADAMS OSAA MARIAM</t>
  </si>
  <si>
    <t>TAKYIWAH RACHEAL EMMA</t>
  </si>
  <si>
    <t>AKOMEAH AMOAKOO MARGARET</t>
  </si>
  <si>
    <t>MAYUBA JOYCE</t>
  </si>
  <si>
    <t>ACHEAMPONG ESTHERBEL</t>
  </si>
  <si>
    <t>ASIAMAH ADOMA ADWOA</t>
  </si>
  <si>
    <t>ASAFO  AGYEI COLOMBUS</t>
  </si>
  <si>
    <t>ACHEAPONG KWABENA EMMMANUEL JR</t>
  </si>
  <si>
    <t>NYAMEKYE SAMUEL</t>
  </si>
  <si>
    <t xml:space="preserve">RAW SCORE: </t>
  </si>
  <si>
    <t xml:space="preserve">  NO. ON ROLL:</t>
  </si>
  <si>
    <t xml:space="preserve">  ATTENDANCE: …………………………</t>
  </si>
  <si>
    <t>OUT OF: …………………..</t>
  </si>
  <si>
    <t>PROMOTED TO: …………………………</t>
  </si>
  <si>
    <t xml:space="preserve">  FORM TEACHER’S REMARK:……..………………..…………………………………………………………………</t>
  </si>
  <si>
    <t xml:space="preserve">  …………………..…………………………………………………………………………………………………………</t>
  </si>
  <si>
    <t xml:space="preserve">  HEADMASTER’S REMARK/SIGNATURE:..………………………………………..…………………………………</t>
  </si>
  <si>
    <t>CHRISTIAN M/A J.H.S</t>
  </si>
  <si>
    <t>FORM ONE COMBINED RESULTS</t>
  </si>
  <si>
    <t>NAMES</t>
  </si>
  <si>
    <t>position</t>
  </si>
  <si>
    <t>FRIMPONG GILBERT</t>
  </si>
  <si>
    <t>ADDO JEFFERY KWAKU</t>
  </si>
  <si>
    <t>ANTWI YAW ACHEAMPONG</t>
  </si>
  <si>
    <t>APPIAH RANDY</t>
  </si>
  <si>
    <t>DANSU ELIZABETH</t>
  </si>
  <si>
    <t>ALHASSAN SALAMATU</t>
  </si>
  <si>
    <t>BOAFO BENELYN</t>
  </si>
  <si>
    <t>ASHIE SHEILA</t>
  </si>
  <si>
    <t>KYEI ISAAC BOATENG</t>
  </si>
  <si>
    <t>MENSAH PRINCESS SERWAA</t>
  </si>
  <si>
    <t>TETTEH JOHN AKWASI</t>
  </si>
  <si>
    <t>ISSAH ABIGAIL</t>
  </si>
  <si>
    <t>ABDUL RAZAK HABIB MALCOLM-X</t>
  </si>
  <si>
    <t>TAWIAH BRITNEY</t>
  </si>
  <si>
    <t>NYAMESEM MARK</t>
  </si>
  <si>
    <t>AYINE KENNEDY SIMON</t>
  </si>
  <si>
    <t>BOAMAH ROMEO</t>
  </si>
  <si>
    <t>ARHIN GODFRED ASIEDU</t>
  </si>
  <si>
    <t>GANIWU EDNA</t>
  </si>
  <si>
    <t>AGYAPOMAA THYWILL</t>
  </si>
  <si>
    <t>KYEI GIFTY</t>
  </si>
  <si>
    <t>BOAKYE YIADOM SETH</t>
  </si>
  <si>
    <t>AMPROFI LAWRENCIA</t>
  </si>
  <si>
    <t>ACQUAH DESMOND</t>
  </si>
  <si>
    <t>MOHAMMED SURAT RAJABI</t>
  </si>
  <si>
    <t>ADEGAH IRENE MAWUENA</t>
  </si>
  <si>
    <t>ADDI THOMAS</t>
  </si>
  <si>
    <t>KONADU RICHMOND</t>
  </si>
  <si>
    <t>OSEI ANGEL</t>
  </si>
  <si>
    <t>UMAR BARRACKA</t>
  </si>
  <si>
    <t>NANA FREMAH CHRISTABEL</t>
  </si>
  <si>
    <t>OKAI KEZIAH</t>
  </si>
  <si>
    <t>ATIE EMMANUELLA</t>
  </si>
  <si>
    <t>AGYEMAN PRISCILLA</t>
  </si>
  <si>
    <t>ABDUL WAKEEL FUSEINI</t>
  </si>
  <si>
    <t>DUAH ELIZABETH</t>
  </si>
  <si>
    <t xml:space="preserve">AGUDEY BEATRICE </t>
  </si>
  <si>
    <t>OSEI NYARKO FRANCISCA</t>
  </si>
  <si>
    <t>DOE JOHN</t>
  </si>
  <si>
    <t>ASIEDU EMMANUEL</t>
  </si>
  <si>
    <t>DUFFOUR SAMUEL</t>
  </si>
  <si>
    <t>NKRUMAH GERRAD</t>
  </si>
  <si>
    <t>ABDUL FARRID ALHASSAN</t>
  </si>
  <si>
    <t>KONADU GLORIA</t>
  </si>
  <si>
    <t>FYNN EVELYN</t>
  </si>
  <si>
    <t>MARFO STEPHEN KWAKU</t>
  </si>
  <si>
    <t>LOGAH GLORIA ESINAM</t>
  </si>
  <si>
    <t>TEYE STEPHEN SEYRAM</t>
  </si>
  <si>
    <t xml:space="preserve">NAAB DORIS </t>
  </si>
  <si>
    <t>OWUSU ATUAHENE ISSABELLA</t>
  </si>
  <si>
    <t>SOGBO CHRISTIAN KOFI</t>
  </si>
  <si>
    <t>OBENG MANU YEBOAH</t>
  </si>
  <si>
    <t xml:space="preserve">FRIMPONG NHYIRA </t>
  </si>
  <si>
    <t xml:space="preserve">OPOKU MARGARET </t>
  </si>
  <si>
    <t xml:space="preserve">AGYEMANG KELVIN OBENG </t>
  </si>
  <si>
    <t xml:space="preserve">BROGYA ISAAC BOATENG </t>
  </si>
  <si>
    <t>SEKYI NEWLOVE</t>
  </si>
  <si>
    <t>OMANE CHRISLYN BOATEMAA</t>
  </si>
  <si>
    <t>APPIAH KUBI ISSAC</t>
  </si>
  <si>
    <t>IDDRISU ABDUL KADIR</t>
  </si>
  <si>
    <t>VORMAWOR SAMUEL</t>
  </si>
  <si>
    <t>ADDAI NANA AKOSUA KEZIA</t>
  </si>
  <si>
    <t>IBRAHIM MOHAMMED BALLY</t>
  </si>
  <si>
    <t>AMEVOR MIRIAM</t>
  </si>
  <si>
    <t>IBRAHIM SALAMATU</t>
  </si>
  <si>
    <t>NKRUMAH ALEX</t>
  </si>
  <si>
    <t>OWUSU KEIZIAH</t>
  </si>
  <si>
    <t>AFADZI AUGUSTINE</t>
  </si>
  <si>
    <t>APELEMBEY PRINCE</t>
  </si>
  <si>
    <t>SLONIPA BEATRICE AMAD</t>
  </si>
  <si>
    <t>SARFO ANITA TWUMWAA</t>
  </si>
  <si>
    <t>ADIZA SHUAIB</t>
  </si>
  <si>
    <t>ENYONAM VORMATU</t>
  </si>
  <si>
    <t>OFOSU CHRISTIAN</t>
  </si>
  <si>
    <t>ABDUL AZIZ AYISHA</t>
  </si>
  <si>
    <t>MBONGO GLADYS</t>
  </si>
  <si>
    <t>ABDUL JAMAL MUSAH</t>
  </si>
  <si>
    <t>BERCHIE OSEI GABRIEL</t>
  </si>
  <si>
    <t>BOATENG OSEI JASON</t>
  </si>
  <si>
    <t>LARYEA BERNETA BROWN</t>
  </si>
  <si>
    <t>OWUSU BENJAMIN AKWASI OSEI</t>
  </si>
  <si>
    <t xml:space="preserve">PADDY OLIVIA </t>
  </si>
  <si>
    <t>DAKPOR EUNICE</t>
  </si>
  <si>
    <t xml:space="preserve">NYABA FRANCIS </t>
  </si>
  <si>
    <t>OWUSU BENEDICTA</t>
  </si>
  <si>
    <t>MUSTAPHA FAHMY</t>
  </si>
  <si>
    <t>BOATENG SARFO EUGENE</t>
  </si>
  <si>
    <t>ASANTEWAA DAVIDA</t>
  </si>
  <si>
    <t>ACHEAMPONG CHRISTABEL</t>
  </si>
  <si>
    <t>KOMFOUR PORTIA</t>
  </si>
  <si>
    <t>ABDULAI RAZAK AMINA</t>
  </si>
  <si>
    <t>AYINABA AUGUSTINE</t>
  </si>
  <si>
    <t>YIN ISHMAEL</t>
  </si>
  <si>
    <t>KARIMATU MASSAWUDU</t>
  </si>
  <si>
    <t>BLANKSON NANCY</t>
  </si>
  <si>
    <t>NIPIIRAH RENATA</t>
  </si>
  <si>
    <t>ACQUAH OFORI GLORIA</t>
  </si>
  <si>
    <t>BOATENG OWUSU KEIZIA</t>
  </si>
  <si>
    <t>ABDUL MUGIS ABDUL AZIZ</t>
  </si>
  <si>
    <t>FATIMATU ABDUL MAJEED</t>
  </si>
  <si>
    <t>BOATENG AFRIYIE CANDIS</t>
  </si>
  <si>
    <t>KWOJAN EUNICE</t>
  </si>
  <si>
    <t>OWUSU ANSAH SAMUEL</t>
  </si>
  <si>
    <t>ACHEAMPONG K. EMMANUEL SRN.</t>
  </si>
  <si>
    <t>NIMOH PEGGY OWUSUWAAH</t>
  </si>
  <si>
    <t>ACQUAH PHILIP EKOW</t>
  </si>
  <si>
    <t>AGGREY PATRICIA ESI</t>
  </si>
  <si>
    <t>NTI FREMAH JACKLINE</t>
  </si>
  <si>
    <t>BOATENG AMANKWAH JANET</t>
  </si>
  <si>
    <t>FAROUK NAJAT</t>
  </si>
  <si>
    <t>OFORI ALEXANDER</t>
  </si>
  <si>
    <t>OSEI ADOMAKO ISAAC</t>
  </si>
  <si>
    <t>AMANKWA COLLINS</t>
  </si>
  <si>
    <t>KEWANU GIFTY</t>
  </si>
  <si>
    <t>CROMWELL BENEDICTA</t>
  </si>
  <si>
    <t>APPIAH BERLINDA</t>
  </si>
  <si>
    <t xml:space="preserve">MAWUENA SOSTHENOUS </t>
  </si>
  <si>
    <t>TAHIRU FAISAL</t>
  </si>
  <si>
    <t>DANKWA THERESAH</t>
  </si>
  <si>
    <t>AMPONSAH ABIGAIL B.</t>
  </si>
  <si>
    <t>OKYERE EDMUND</t>
  </si>
  <si>
    <t>OSEI GRACE</t>
  </si>
  <si>
    <t>BOATENG SARPONG KWABENA.</t>
  </si>
  <si>
    <t>OWUSU ANSAH CHARLES</t>
  </si>
  <si>
    <t>ANDOH BISMARK</t>
  </si>
  <si>
    <t xml:space="preserve"> MOHAMMED FATI</t>
  </si>
  <si>
    <t>AWUNI SHADDRACK</t>
  </si>
  <si>
    <t>MOHAMMED SULEMANA</t>
  </si>
  <si>
    <t>SARPONG SERWAA ADJOA</t>
  </si>
  <si>
    <t>NKETIAH PRINCE</t>
  </si>
  <si>
    <t>SALAMATU FUSEINI</t>
  </si>
  <si>
    <t>IBRAHIM SADAT</t>
  </si>
  <si>
    <t>OKYERE KWADWO</t>
  </si>
  <si>
    <t>ZULEIYA ABUBAKAR</t>
  </si>
  <si>
    <t>AWUNI HELINA</t>
  </si>
  <si>
    <t>FRIMPONG AMOAKOWAA VICTORIA</t>
  </si>
  <si>
    <t>EWUSI RICHARD</t>
  </si>
  <si>
    <t>ADU BOAHEN TERRY</t>
  </si>
  <si>
    <t>BOATENG EMMANUEL</t>
  </si>
  <si>
    <t>AMOAKO SHADDRACK</t>
  </si>
  <si>
    <t>APITIIN  ISSAKA AARON</t>
  </si>
  <si>
    <t>OSEI PRINCE</t>
  </si>
  <si>
    <t>AMINU GADDAFI</t>
  </si>
  <si>
    <t>NAZIRU MOHAMMED</t>
  </si>
  <si>
    <t>ADU GYASI ROCKY</t>
  </si>
  <si>
    <t>MAMAUD SULEMAN</t>
  </si>
  <si>
    <t>KUMAH WILLIAMS DWUBENG</t>
  </si>
  <si>
    <t>OWUSU ANGELO</t>
  </si>
  <si>
    <t>KWARTEMAA LOUISA GYAMFI</t>
  </si>
  <si>
    <t>RAUDA MOHAMMED CHAMBAS</t>
  </si>
  <si>
    <t>KARIBA AWAL MOHHAMMED</t>
  </si>
  <si>
    <t>BOATENG FRIMPONG SAMUEL</t>
  </si>
  <si>
    <t>ASAMOAH RICHARD</t>
  </si>
  <si>
    <t>BASHIRU NAFISA</t>
  </si>
  <si>
    <t>FAUZIA SALIFU</t>
  </si>
  <si>
    <t>AGANDA CHARITY</t>
  </si>
  <si>
    <t>NASIRU ABDUL EKILILU</t>
  </si>
  <si>
    <t xml:space="preserve">TAWIAH HELENA </t>
  </si>
  <si>
    <t>OWUSU ANSAH KNGSLEY</t>
  </si>
  <si>
    <t>FUSEINI MUNIRU MOHAMMED</t>
  </si>
  <si>
    <t>DUAH BRIGHT KOFI</t>
  </si>
  <si>
    <t>KORANKYE ERNESTINA</t>
  </si>
  <si>
    <t>KUSI PRINCE AMANKWAH</t>
  </si>
  <si>
    <t>BOATENG PRECIOUS</t>
  </si>
  <si>
    <t xml:space="preserve">ANANE CHRISTIAN </t>
  </si>
  <si>
    <t>ABDUL GAFFAR BASHIRU</t>
  </si>
  <si>
    <t>AWUNI EBENEZER</t>
  </si>
  <si>
    <t>YEBOAH BRYNA HENEWAAH</t>
  </si>
  <si>
    <t>SUBJECT INFORMATION</t>
  </si>
  <si>
    <t>For Customozation</t>
  </si>
  <si>
    <t>Tel: 0555519160</t>
  </si>
  <si>
    <t>Email bunmalik11@gmail.com</t>
  </si>
  <si>
    <t>INSTRUCTIONS</t>
  </si>
  <si>
    <t>Enter up to 9 different subjects OR less</t>
  </si>
  <si>
    <t>Subject Teacher’s Name</t>
  </si>
  <si>
    <t>Form/Class:</t>
  </si>
  <si>
    <t>Subject One</t>
  </si>
  <si>
    <t>Subject Two</t>
  </si>
  <si>
    <t>Subject Three</t>
  </si>
  <si>
    <t>Subject Four</t>
  </si>
  <si>
    <t>Subject Five</t>
  </si>
  <si>
    <t>Subject Six</t>
  </si>
  <si>
    <t>Subject Seven</t>
  </si>
  <si>
    <t>Subject Eight</t>
  </si>
  <si>
    <t>Subject Nine</t>
  </si>
  <si>
    <t>INDIVIDUAL TEST</t>
  </si>
  <si>
    <t>GROUP WORK</t>
  </si>
  <si>
    <t>CLASS TEST</t>
  </si>
  <si>
    <t>PROJECT (MINI)</t>
  </si>
  <si>
    <t>EXAMS SCORE</t>
  </si>
  <si>
    <t>EXAMS SCALED</t>
  </si>
  <si>
    <t>TEST SCALED</t>
  </si>
  <si>
    <t>TERM INFORMATION</t>
  </si>
  <si>
    <t>CURRENT TERM</t>
  </si>
  <si>
    <t>VACATION DATE</t>
  </si>
  <si>
    <t>REOPENING DATE</t>
  </si>
  <si>
    <t xml:space="preserve">  Designed By Dr. Anas Musah (Maths-Depart, KNUST)  Email: bunmalik11@gmail.com</t>
  </si>
  <si>
    <t xml:space="preserve">  English Language</t>
  </si>
  <si>
    <t xml:space="preserve">  Social Studies</t>
  </si>
  <si>
    <t xml:space="preserve">  Mathematics</t>
  </si>
  <si>
    <t xml:space="preserve">  Integrated Science </t>
  </si>
  <si>
    <t xml:space="preserve">  R. M. E</t>
  </si>
  <si>
    <t xml:space="preserve">  I. C. T</t>
  </si>
  <si>
    <t xml:space="preserve">  Ghanaian Language</t>
  </si>
  <si>
    <t xml:space="preserve">  B. D. T </t>
  </si>
  <si>
    <t xml:space="preserve">  French</t>
  </si>
  <si>
    <t>FORM/CLASS:</t>
  </si>
  <si>
    <t>CLASS TEACHER:</t>
  </si>
  <si>
    <t>YEAR:</t>
  </si>
  <si>
    <t>PLEASE PROVIDE STUDENTS NAMES AND GENDERS</t>
  </si>
  <si>
    <t>PLEASE FILL IN ALL THE NECESSARY INFORMATION</t>
  </si>
  <si>
    <t>Step 2: Enter all necessary information in the SETTINGS page.</t>
  </si>
  <si>
    <t>Step 3: Fill in the results data in the DATA page with students names and gengers.</t>
  </si>
  <si>
    <t>Step 4: In the ASSESSMENT Page, check if all data results are correct and positions and grades are well captured</t>
  </si>
  <si>
    <r>
      <t>Step 5: Go to REPORT_CARD</t>
    </r>
    <r>
      <rPr>
        <b/>
        <i/>
        <sz val="18"/>
        <color rgb="FF000000"/>
        <rFont val="Meiryo"/>
        <family val="2"/>
      </rPr>
      <t xml:space="preserve"> </t>
    </r>
    <r>
      <rPr>
        <b/>
        <sz val="18"/>
        <color rgb="FF000000"/>
        <rFont val="Meiryo"/>
        <family val="2"/>
      </rPr>
      <t>to view and print  Report Card(s)</t>
    </r>
  </si>
  <si>
    <t>Step 1: Download the excel sheet via the link: https://github.com/bunmalik/SBA_FOR_BASIC_SCH_TEACHERS</t>
  </si>
  <si>
    <t>TEST INFORMATION</t>
  </si>
  <si>
    <t>OVERAL TOTAL</t>
  </si>
  <si>
    <t>SCHOOL NAME:</t>
  </si>
  <si>
    <t>SCHOOL ADDRESS:</t>
  </si>
  <si>
    <t>SCHOOL SLOGAN:</t>
  </si>
  <si>
    <t>CURRENT TERM:</t>
  </si>
  <si>
    <t>SCHOOL CONTACT:</t>
  </si>
  <si>
    <t xml:space="preserve">              STUDENT’S TERMINAL REPORT</t>
  </si>
  <si>
    <t xml:space="preserve">                        Ghana Education Service          </t>
  </si>
  <si>
    <t>ENG. LANGUAGE</t>
  </si>
  <si>
    <t>INT. SCIENCE</t>
  </si>
  <si>
    <t>C. MATHEMATICS</t>
  </si>
  <si>
    <t>SOCIAL STUDIES</t>
  </si>
  <si>
    <t>PHYSICS</t>
  </si>
  <si>
    <t>E. MATHEMATICS</t>
  </si>
  <si>
    <t>BIOLOGY</t>
  </si>
  <si>
    <t>CHEMISTRY</t>
  </si>
  <si>
    <t>I.C.T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</si>
</sst>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"/>
    <numFmt numFmtId="165" formatCode="[$-409]d\-mmm\-yy;@"/>
    <numFmt numFmtId="166" formatCode="dd\.mm\.yyyy;@"/>
  </numFmts>
  <fonts count="72">
    <font>
      <sz val="10"/>
      <name val="Arial"/>
      <family val="2"/>
      <charset val="1"/>
    </font>
    <font>
      <sz val="14"/>
      <color rgb="FFFFFFFF"/>
      <name val="Calibri"/>
      <family val="2"/>
      <charset val="1"/>
    </font>
    <font>
      <b/>
      <sz val="20"/>
      <color rgb="FFFFFFFF"/>
      <name val="Meiryo"/>
      <family val="2"/>
      <charset val="1"/>
    </font>
    <font>
      <u/>
      <sz val="11"/>
      <color rgb="FF0563C1"/>
      <name val="Calibri"/>
      <family val="2"/>
      <charset val="1"/>
    </font>
    <font>
      <b/>
      <sz val="12"/>
      <color rgb="FF000000"/>
      <name val="Meiryo"/>
      <family val="2"/>
      <charset val="1"/>
    </font>
    <font>
      <sz val="11"/>
      <color rgb="FF000000"/>
      <name val="Meiryo"/>
      <family val="2"/>
      <charset val="1"/>
    </font>
    <font>
      <sz val="12"/>
      <color rgb="FF000000"/>
      <name val="Meiryo"/>
      <family val="2"/>
      <charset val="1"/>
    </font>
    <font>
      <u/>
      <sz val="12"/>
      <color rgb="FF000000"/>
      <name val="Meiryo"/>
      <family val="2"/>
      <charset val="1"/>
    </font>
    <font>
      <b/>
      <sz val="14"/>
      <color rgb="FF806000"/>
      <name val="Meiryo"/>
      <family val="2"/>
      <charset val="1"/>
    </font>
    <font>
      <sz val="14"/>
      <color rgb="FF000000"/>
      <name val="Meiryo"/>
      <family val="2"/>
      <charset val="1"/>
    </font>
    <font>
      <b/>
      <sz val="14"/>
      <color rgb="FF000000"/>
      <name val="Meiryo"/>
      <family val="2"/>
      <charset val="1"/>
    </font>
    <font>
      <sz val="14"/>
      <color rgb="FF806000"/>
      <name val="Meiryo"/>
      <family val="2"/>
      <charset val="1"/>
    </font>
    <font>
      <sz val="14"/>
      <name val="Arial"/>
      <family val="2"/>
      <charset val="1"/>
    </font>
    <font>
      <b/>
      <sz val="11"/>
      <color rgb="FFC00000"/>
      <name val="Meiryo"/>
      <family val="2"/>
      <charset val="1"/>
    </font>
    <font>
      <b/>
      <i/>
      <sz val="12"/>
      <color rgb="FF000000"/>
      <name val="Meiryo"/>
      <family val="2"/>
      <charset val="1"/>
    </font>
    <font>
      <b/>
      <sz val="11"/>
      <color rgb="FF000000"/>
      <name val="Calibri"/>
      <family val="2"/>
      <charset val="1"/>
    </font>
    <font>
      <sz val="10"/>
      <name val="FreeSans"/>
      <family val="2"/>
      <charset val="1"/>
    </font>
    <font>
      <b/>
      <sz val="12"/>
      <name val="Arial"/>
      <family val="2"/>
      <charset val="1"/>
    </font>
    <font>
      <sz val="12"/>
      <name val="Arial"/>
      <family val="2"/>
      <charset val="1"/>
    </font>
    <font>
      <b/>
      <sz val="14"/>
      <name val="Arial"/>
      <family val="2"/>
      <charset val="1"/>
    </font>
    <font>
      <b/>
      <sz val="9"/>
      <name val="Arial"/>
      <family val="2"/>
      <charset val="1"/>
    </font>
    <font>
      <b/>
      <sz val="15"/>
      <name val="Arial"/>
      <family val="2"/>
      <charset val="1"/>
    </font>
    <font>
      <b/>
      <i/>
      <sz val="14"/>
      <name val="Arial"/>
      <family val="2"/>
      <charset val="1"/>
    </font>
    <font>
      <sz val="12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b/>
      <sz val="12"/>
      <color theme="1"/>
      <name val="Arial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b/>
      <sz val="14"/>
      <color theme="1"/>
      <name val="Arial"/>
      <family val="2"/>
      <charset val="1"/>
    </font>
    <font>
      <b/>
      <sz val="12"/>
      <color theme="0"/>
      <name val="Arial"/>
      <family val="2"/>
      <charset val="1"/>
    </font>
    <font>
      <b/>
      <sz val="14"/>
      <color theme="0"/>
      <name val="Arial"/>
      <family val="2"/>
      <charset val="1"/>
    </font>
    <font>
      <sz val="14"/>
      <color theme="0"/>
      <name val="Arial"/>
      <family val="2"/>
      <charset val="1"/>
    </font>
    <font>
      <b/>
      <sz val="10"/>
      <name val="Arial"/>
      <family val="2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16"/>
      <color rgb="FF0563C1"/>
      <name val="Calibri"/>
      <family val="2"/>
      <charset val="1"/>
    </font>
    <font>
      <b/>
      <u/>
      <sz val="16"/>
      <color rgb="FF806000"/>
      <name val="Meiryo"/>
      <family val="2"/>
      <charset val="1"/>
    </font>
    <font>
      <b/>
      <sz val="16"/>
      <color rgb="FF806000"/>
      <name val="Meiryo"/>
      <family val="2"/>
      <charset val="1"/>
    </font>
    <font>
      <b/>
      <sz val="14"/>
      <color rgb="FF000000"/>
      <name val="Meiryo"/>
      <family val="2"/>
    </font>
    <font>
      <b/>
      <sz val="16"/>
      <color rgb="FF0563C1"/>
      <name val="Meiryo"/>
      <family val="2"/>
    </font>
    <font>
      <sz val="14"/>
      <name val="Arial"/>
      <family val="2"/>
    </font>
    <font>
      <b/>
      <sz val="18"/>
      <name val="Arial"/>
      <family val="2"/>
    </font>
    <font>
      <sz val="14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0080"/>
      <name val="Arial"/>
      <family val="2"/>
    </font>
    <font>
      <sz val="16"/>
      <color rgb="FF0563C1"/>
      <name val="Meiryo"/>
      <family val="2"/>
    </font>
    <font>
      <u/>
      <sz val="16"/>
      <color rgb="FF0563C1"/>
      <name val="Meiryo"/>
      <family val="2"/>
    </font>
    <font>
      <b/>
      <i/>
      <sz val="14"/>
      <color rgb="FFFF0000"/>
      <name val="Calibri"/>
      <family val="2"/>
    </font>
    <font>
      <b/>
      <i/>
      <sz val="14"/>
      <color rgb="FFC00000"/>
      <name val="Meiryo"/>
      <family val="2"/>
    </font>
    <font>
      <b/>
      <u/>
      <sz val="14"/>
      <color rgb="FF806000"/>
      <name val="Meiryo"/>
      <family val="2"/>
    </font>
    <font>
      <i/>
      <sz val="16"/>
      <color rgb="FF000000"/>
      <name val="Calibri"/>
      <family val="2"/>
      <charset val="1"/>
    </font>
    <font>
      <sz val="16"/>
      <color rgb="FFFF0000"/>
      <name val="Meiryo"/>
      <family val="2"/>
      <charset val="1"/>
    </font>
    <font>
      <sz val="10"/>
      <name val="Arial"/>
      <family val="2"/>
      <charset val="1"/>
    </font>
    <font>
      <b/>
      <sz val="16"/>
      <color theme="0"/>
      <name val="Calibri"/>
      <family val="2"/>
      <scheme val="minor"/>
    </font>
    <font>
      <b/>
      <sz val="14"/>
      <color rgb="FF0563C1"/>
      <name val="Meiryo"/>
      <family val="2"/>
      <charset val="1"/>
    </font>
    <font>
      <b/>
      <u/>
      <sz val="16"/>
      <color rgb="FF0563C1"/>
      <name val="Meiryo"/>
      <family val="2"/>
    </font>
    <font>
      <b/>
      <sz val="16"/>
      <name val="Meiryo"/>
      <family val="2"/>
    </font>
    <font>
      <u/>
      <sz val="14"/>
      <color rgb="FF806000"/>
      <name val="Meiryo"/>
      <family val="2"/>
      <charset val="1"/>
    </font>
    <font>
      <b/>
      <u/>
      <sz val="22"/>
      <color rgb="FF0563C1"/>
      <name val="Meiryo"/>
      <family val="2"/>
    </font>
    <font>
      <b/>
      <u/>
      <sz val="20"/>
      <color rgb="FF806000"/>
      <name val="Meiryo"/>
      <family val="2"/>
      <charset val="1"/>
    </font>
    <font>
      <b/>
      <sz val="20"/>
      <color rgb="FF806000"/>
      <name val="Meiryo"/>
      <family val="2"/>
      <charset val="1"/>
    </font>
    <font>
      <b/>
      <sz val="18"/>
      <color rgb="FF000000"/>
      <name val="Meiryo"/>
      <family val="2"/>
    </font>
    <font>
      <b/>
      <i/>
      <sz val="18"/>
      <color rgb="FF000000"/>
      <name val="Meiryo"/>
      <family val="2"/>
    </font>
    <font>
      <b/>
      <sz val="9"/>
      <color theme="0"/>
      <name val="Arial"/>
      <family val="2"/>
    </font>
    <font>
      <b/>
      <sz val="14"/>
      <color theme="0"/>
      <name val="Arial"/>
      <family val="2"/>
    </font>
    <font>
      <b/>
      <sz val="9"/>
      <name val="Arial"/>
      <family val="2"/>
    </font>
    <font>
      <b/>
      <u/>
      <sz val="18"/>
      <color rgb="FF806000"/>
      <name val="Meiryo"/>
      <family val="2"/>
      <charset val="1"/>
    </font>
    <font>
      <b/>
      <i/>
      <sz val="14"/>
      <color rgb="FF000000"/>
      <name val="Meiryo"/>
      <family val="2"/>
      <charset val="1"/>
    </font>
    <font>
      <sz val="10"/>
      <color theme="1" tint="0.34998626667073579"/>
      <name val="Arial"/>
      <family val="2"/>
      <charset val="1"/>
    </font>
    <font>
      <b/>
      <sz val="16"/>
      <color rgb="FF000000"/>
      <name val="Meiryo"/>
      <family val="2"/>
      <charset val="1"/>
    </font>
    <font>
      <b/>
      <sz val="16"/>
      <color rgb="FF000000"/>
      <name val="Meiryo"/>
      <family val="2"/>
    </font>
  </fonts>
  <fills count="25">
    <fill>
      <patternFill patternType="none"/>
    </fill>
    <fill>
      <patternFill patternType="gray125"/>
    </fill>
    <fill>
      <patternFill patternType="solid">
        <fgColor rgb="FFFFFFFF"/>
        <bgColor rgb="FFF2F2F2"/>
      </patternFill>
    </fill>
    <fill>
      <patternFill patternType="solid">
        <fgColor rgb="FF806000"/>
        <bgColor rgb="FF996600"/>
      </patternFill>
    </fill>
    <fill>
      <patternFill patternType="solid">
        <fgColor rgb="FFFFF2CC"/>
        <bgColor rgb="FFF2F2F2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rgb="FFD9D9D9"/>
      </patternFill>
    </fill>
    <fill>
      <patternFill patternType="solid">
        <fgColor theme="1"/>
        <bgColor rgb="FFF2F2F2"/>
      </patternFill>
    </fill>
    <fill>
      <patternFill patternType="solid">
        <fgColor theme="0" tint="-0.499984740745262"/>
        <bgColor rgb="FFD9D9D9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0"/>
        <bgColor rgb="FFF2F2F2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34998626667073579"/>
        <bgColor rgb="FFF2F2F2"/>
      </patternFill>
    </fill>
    <fill>
      <patternFill patternType="solid">
        <fgColor rgb="FF806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theme="1" tint="0.499984740745262"/>
        <bgColor rgb="FFF2F2F2"/>
      </patternFill>
    </fill>
  </fills>
  <borders count="49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ck">
        <color auto="1"/>
      </right>
      <top/>
      <bottom/>
      <diagonal/>
    </border>
    <border>
      <left style="medium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/>
      <bottom style="medium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thick">
        <color auto="1"/>
      </right>
      <top/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n">
        <color auto="1"/>
      </left>
      <right style="thick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/>
      <diagonal/>
    </border>
    <border>
      <left style="medium">
        <color auto="1"/>
      </left>
      <right style="thick">
        <color auto="1"/>
      </right>
      <top/>
      <bottom style="thick">
        <color auto="1"/>
      </bottom>
      <diagonal/>
    </border>
    <border>
      <left style="medium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5">
    <xf numFmtId="0" fontId="0" fillId="0" borderId="0"/>
    <xf numFmtId="9" fontId="16" fillId="0" borderId="0" applyBorder="0" applyProtection="0"/>
    <xf numFmtId="0" fontId="3" fillId="0" borderId="0" applyBorder="0" applyProtection="0"/>
    <xf numFmtId="0" fontId="53" fillId="0" borderId="0"/>
    <xf numFmtId="9" fontId="16" fillId="0" borderId="0" applyBorder="0" applyProtection="0"/>
  </cellStyleXfs>
  <cellXfs count="343">
    <xf numFmtId="0" fontId="0" fillId="0" borderId="0" xfId="0"/>
    <xf numFmtId="0" fontId="0" fillId="0" borderId="0" xfId="0" applyProtection="1">
      <protection hidden="1"/>
    </xf>
    <xf numFmtId="0" fontId="0" fillId="0" borderId="9" xfId="0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2" borderId="17" xfId="0" applyFill="1" applyBorder="1" applyProtection="1">
      <protection hidden="1"/>
    </xf>
    <xf numFmtId="0" fontId="0" fillId="2" borderId="18" xfId="0" applyFill="1" applyBorder="1" applyProtection="1">
      <protection hidden="1"/>
    </xf>
    <xf numFmtId="0" fontId="0" fillId="2" borderId="18" xfId="0" applyFill="1" applyBorder="1" applyAlignment="1" applyProtection="1">
      <alignment horizontal="center"/>
      <protection hidden="1"/>
    </xf>
    <xf numFmtId="1" fontId="0" fillId="2" borderId="18" xfId="0" applyNumberFormat="1" applyFill="1" applyBorder="1" applyAlignment="1" applyProtection="1">
      <alignment horizontal="center"/>
      <protection hidden="1"/>
    </xf>
    <xf numFmtId="1" fontId="0" fillId="2" borderId="19" xfId="0" applyNumberFormat="1" applyFill="1" applyBorder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2" borderId="7" xfId="0" applyFill="1" applyBorder="1" applyProtection="1">
      <protection hidden="1"/>
    </xf>
    <xf numFmtId="0" fontId="0" fillId="2" borderId="0" xfId="0" applyFill="1" applyProtection="1">
      <protection hidden="1"/>
    </xf>
    <xf numFmtId="1" fontId="0" fillId="2" borderId="0" xfId="0" applyNumberFormat="1" applyFill="1" applyAlignment="1" applyProtection="1">
      <alignment horizontal="center"/>
      <protection hidden="1"/>
    </xf>
    <xf numFmtId="1" fontId="0" fillId="2" borderId="9" xfId="0" applyNumberFormat="1" applyFill="1" applyBorder="1" applyAlignment="1" applyProtection="1">
      <alignment horizontal="center"/>
      <protection hidden="1"/>
    </xf>
    <xf numFmtId="0" fontId="21" fillId="2" borderId="0" xfId="0" applyFont="1" applyFill="1" applyAlignment="1" applyProtection="1">
      <alignment horizontal="left" vertical="center"/>
      <protection hidden="1"/>
    </xf>
    <xf numFmtId="0" fontId="21" fillId="2" borderId="0" xfId="0" applyFont="1" applyFill="1" applyAlignment="1" applyProtection="1">
      <alignment horizontal="center" vertical="center"/>
      <protection hidden="1"/>
    </xf>
    <xf numFmtId="1" fontId="19" fillId="2" borderId="0" xfId="0" applyNumberFormat="1" applyFont="1" applyFill="1" applyBorder="1" applyAlignment="1" applyProtection="1">
      <alignment horizontal="left"/>
      <protection hidden="1"/>
    </xf>
    <xf numFmtId="1" fontId="12" fillId="2" borderId="9" xfId="0" applyNumberFormat="1" applyFont="1" applyFill="1" applyBorder="1" applyAlignment="1" applyProtection="1">
      <alignment horizontal="left"/>
      <protection hidden="1"/>
    </xf>
    <xf numFmtId="0" fontId="0" fillId="2" borderId="20" xfId="0" applyFill="1" applyBorder="1" applyProtection="1">
      <protection hidden="1"/>
    </xf>
    <xf numFmtId="0" fontId="22" fillId="2" borderId="21" xfId="0" applyFont="1" applyFill="1" applyBorder="1" applyAlignment="1" applyProtection="1">
      <alignment vertical="center"/>
      <protection hidden="1"/>
    </xf>
    <xf numFmtId="0" fontId="22" fillId="2" borderId="21" xfId="0" applyFont="1" applyFill="1" applyBorder="1" applyAlignment="1" applyProtection="1">
      <alignment horizontal="center" vertical="center"/>
      <protection hidden="1"/>
    </xf>
    <xf numFmtId="1" fontId="19" fillId="2" borderId="21" xfId="0" applyNumberFormat="1" applyFont="1" applyFill="1" applyBorder="1" applyAlignment="1" applyProtection="1">
      <alignment horizontal="left"/>
      <protection hidden="1"/>
    </xf>
    <xf numFmtId="0" fontId="19" fillId="2" borderId="7" xfId="0" applyFont="1" applyFill="1" applyBorder="1" applyProtection="1">
      <protection hidden="1"/>
    </xf>
    <xf numFmtId="0" fontId="12" fillId="2" borderId="0" xfId="0" applyFont="1" applyFill="1" applyBorder="1" applyAlignment="1" applyProtection="1">
      <alignment horizontal="left"/>
      <protection hidden="1"/>
    </xf>
    <xf numFmtId="0" fontId="12" fillId="2" borderId="0" xfId="0" applyFont="1" applyFill="1" applyAlignment="1" applyProtection="1">
      <alignment horizontal="left"/>
      <protection hidden="1"/>
    </xf>
    <xf numFmtId="0" fontId="19" fillId="2" borderId="0" xfId="0" applyFont="1" applyFill="1" applyAlignment="1" applyProtection="1">
      <alignment horizontal="left"/>
      <protection hidden="1"/>
    </xf>
    <xf numFmtId="0" fontId="19" fillId="2" borderId="7" xfId="0" applyFont="1" applyFill="1" applyBorder="1" applyAlignment="1" applyProtection="1">
      <alignment horizontal="left"/>
      <protection hidden="1"/>
    </xf>
    <xf numFmtId="4" fontId="12" fillId="2" borderId="23" xfId="0" applyNumberFormat="1" applyFont="1" applyFill="1" applyBorder="1" applyAlignment="1" applyProtection="1">
      <alignment horizontal="left"/>
      <protection hidden="1"/>
    </xf>
    <xf numFmtId="1" fontId="12" fillId="2" borderId="0" xfId="0" applyNumberFormat="1" applyFont="1" applyFill="1" applyAlignment="1" applyProtection="1">
      <alignment horizontal="left"/>
      <protection hidden="1"/>
    </xf>
    <xf numFmtId="164" fontId="18" fillId="2" borderId="9" xfId="0" applyNumberFormat="1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left"/>
      <protection hidden="1"/>
    </xf>
    <xf numFmtId="0" fontId="0" fillId="0" borderId="7" xfId="0" applyBorder="1" applyProtection="1">
      <protection hidden="1"/>
    </xf>
    <xf numFmtId="1" fontId="18" fillId="2" borderId="9" xfId="0" applyNumberFormat="1" applyFont="1" applyFill="1" applyBorder="1" applyAlignment="1" applyProtection="1">
      <alignment horizontal="center"/>
      <protection hidden="1"/>
    </xf>
    <xf numFmtId="0" fontId="12" fillId="2" borderId="26" xfId="0" applyFont="1" applyFill="1" applyBorder="1" applyAlignment="1" applyProtection="1">
      <alignment horizontal="left" vertical="center"/>
      <protection hidden="1"/>
    </xf>
    <xf numFmtId="1" fontId="12" fillId="2" borderId="26" xfId="0" applyNumberFormat="1" applyFont="1" applyFill="1" applyBorder="1" applyAlignment="1" applyProtection="1">
      <alignment horizontal="center" vertical="center"/>
      <protection hidden="1"/>
    </xf>
    <xf numFmtId="1" fontId="12" fillId="2" borderId="23" xfId="0" applyNumberFormat="1" applyFont="1" applyFill="1" applyBorder="1" applyAlignment="1" applyProtection="1">
      <alignment horizontal="left" vertical="center"/>
      <protection hidden="1"/>
    </xf>
    <xf numFmtId="4" fontId="12" fillId="2" borderId="27" xfId="0" applyNumberFormat="1" applyFont="1" applyFill="1" applyBorder="1" applyAlignment="1" applyProtection="1">
      <alignment horizontal="center" vertical="center"/>
      <protection hidden="1"/>
    </xf>
    <xf numFmtId="0" fontId="12" fillId="2" borderId="28" xfId="0" applyFont="1" applyFill="1" applyBorder="1" applyAlignment="1" applyProtection="1">
      <alignment horizontal="left" vertical="center"/>
      <protection hidden="1"/>
    </xf>
    <xf numFmtId="4" fontId="12" fillId="2" borderId="12" xfId="0" applyNumberFormat="1" applyFont="1" applyFill="1" applyBorder="1" applyAlignment="1" applyProtection="1">
      <alignment horizontal="center" vertical="center"/>
      <protection hidden="1"/>
    </xf>
    <xf numFmtId="0" fontId="12" fillId="2" borderId="7" xfId="0" applyFont="1" applyFill="1" applyBorder="1" applyProtection="1">
      <protection hidden="1"/>
    </xf>
    <xf numFmtId="0" fontId="12" fillId="2" borderId="0" xfId="0" applyFont="1" applyFill="1" applyProtection="1">
      <protection hidden="1"/>
    </xf>
    <xf numFmtId="0" fontId="12" fillId="2" borderId="0" xfId="0" applyFont="1" applyFill="1" applyAlignment="1" applyProtection="1">
      <alignment horizontal="center"/>
      <protection hidden="1"/>
    </xf>
    <xf numFmtId="1" fontId="12" fillId="2" borderId="0" xfId="0" applyNumberFormat="1" applyFont="1" applyFill="1" applyAlignment="1" applyProtection="1">
      <alignment horizontal="center"/>
      <protection hidden="1"/>
    </xf>
    <xf numFmtId="1" fontId="12" fillId="2" borderId="9" xfId="0" applyNumberFormat="1" applyFont="1" applyFill="1" applyBorder="1" applyAlignment="1" applyProtection="1">
      <alignment horizontal="center"/>
      <protection hidden="1"/>
    </xf>
    <xf numFmtId="0" fontId="12" fillId="2" borderId="7" xfId="0" applyFont="1" applyFill="1" applyBorder="1" applyAlignment="1" applyProtection="1">
      <alignment horizontal="left" vertical="center"/>
      <protection hidden="1"/>
    </xf>
    <xf numFmtId="0" fontId="12" fillId="2" borderId="9" xfId="0" applyFont="1" applyFill="1" applyBorder="1" applyAlignment="1" applyProtection="1">
      <alignment horizontal="left" vertical="center"/>
      <protection hidden="1"/>
    </xf>
    <xf numFmtId="0" fontId="12" fillId="2" borderId="0" xfId="0" applyFont="1" applyFill="1" applyBorder="1" applyProtection="1">
      <protection hidden="1"/>
    </xf>
    <xf numFmtId="0" fontId="0" fillId="2" borderId="21" xfId="0" applyFill="1" applyBorder="1" applyProtection="1">
      <protection hidden="1"/>
    </xf>
    <xf numFmtId="0" fontId="0" fillId="2" borderId="21" xfId="0" applyFill="1" applyBorder="1" applyAlignment="1" applyProtection="1">
      <alignment horizontal="center"/>
      <protection hidden="1"/>
    </xf>
    <xf numFmtId="1" fontId="0" fillId="2" borderId="21" xfId="0" applyNumberFormat="1" applyFill="1" applyBorder="1" applyAlignment="1" applyProtection="1">
      <alignment horizontal="center"/>
      <protection hidden="1"/>
    </xf>
    <xf numFmtId="1" fontId="0" fillId="2" borderId="22" xfId="0" applyNumberFormat="1" applyFill="1" applyBorder="1" applyAlignment="1" applyProtection="1">
      <alignment horizontal="center"/>
      <protection hidden="1"/>
    </xf>
    <xf numFmtId="1" fontId="0" fillId="0" borderId="9" xfId="0" applyNumberFormat="1" applyBorder="1" applyAlignment="1" applyProtection="1">
      <alignment horizontal="center"/>
      <protection hidden="1"/>
    </xf>
    <xf numFmtId="0" fontId="0" fillId="0" borderId="29" xfId="0" applyBorder="1" applyAlignment="1" applyProtection="1">
      <alignment horizontal="center"/>
      <protection hidden="1"/>
    </xf>
    <xf numFmtId="1" fontId="0" fillId="0" borderId="29" xfId="0" applyNumberFormat="1" applyBorder="1" applyAlignment="1" applyProtection="1">
      <alignment horizontal="center"/>
      <protection hidden="1"/>
    </xf>
    <xf numFmtId="0" fontId="17" fillId="0" borderId="0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1" xfId="0" applyBorder="1" applyAlignment="1" applyProtection="1">
      <alignment horizontal="center"/>
      <protection hidden="1"/>
    </xf>
    <xf numFmtId="1" fontId="0" fillId="0" borderId="21" xfId="0" applyNumberFormat="1" applyBorder="1" applyAlignment="1" applyProtection="1">
      <alignment horizontal="center"/>
      <protection hidden="1"/>
    </xf>
    <xf numFmtId="1" fontId="0" fillId="0" borderId="22" xfId="0" applyNumberFormat="1" applyBorder="1" applyAlignment="1" applyProtection="1">
      <alignment horizontal="center"/>
      <protection hidden="1"/>
    </xf>
    <xf numFmtId="1" fontId="0" fillId="0" borderId="0" xfId="0" applyNumberFormat="1" applyAlignment="1" applyProtection="1">
      <alignment horizontal="center"/>
      <protection hidden="1"/>
    </xf>
    <xf numFmtId="1" fontId="18" fillId="0" borderId="8" xfId="0" applyNumberFormat="1" applyFont="1" applyBorder="1" applyAlignment="1" applyProtection="1">
      <alignment vertical="center"/>
      <protection hidden="1"/>
    </xf>
    <xf numFmtId="1" fontId="0" fillId="0" borderId="0" xfId="0" applyNumberFormat="1" applyProtection="1">
      <protection hidden="1"/>
    </xf>
    <xf numFmtId="1" fontId="24" fillId="0" borderId="8" xfId="0" applyNumberFormat="1" applyFont="1" applyBorder="1" applyAlignment="1" applyProtection="1">
      <alignment vertical="center"/>
      <protection hidden="1"/>
    </xf>
    <xf numFmtId="1" fontId="18" fillId="0" borderId="0" xfId="0" applyNumberFormat="1" applyFont="1" applyAlignment="1" applyProtection="1">
      <alignment horizontal="center"/>
      <protection hidden="1"/>
    </xf>
    <xf numFmtId="1" fontId="23" fillId="0" borderId="0" xfId="0" applyNumberFormat="1" applyFont="1" applyBorder="1" applyAlignment="1" applyProtection="1">
      <alignment horizontal="center"/>
      <protection hidden="1"/>
    </xf>
    <xf numFmtId="1" fontId="18" fillId="0" borderId="8" xfId="0" applyNumberFormat="1" applyFont="1" applyBorder="1" applyAlignment="1" applyProtection="1">
      <alignment horizontal="center"/>
      <protection hidden="1"/>
    </xf>
    <xf numFmtId="1" fontId="0" fillId="0" borderId="8" xfId="0" applyNumberFormat="1" applyBorder="1" applyAlignment="1" applyProtection="1">
      <alignment horizontal="center"/>
      <protection hidden="1"/>
    </xf>
    <xf numFmtId="1" fontId="18" fillId="0" borderId="0" xfId="0" applyNumberFormat="1" applyFont="1" applyProtection="1">
      <protection hidden="1"/>
    </xf>
    <xf numFmtId="1" fontId="24" fillId="8" borderId="38" xfId="0" applyNumberFormat="1" applyFont="1" applyFill="1" applyBorder="1" applyAlignment="1" applyProtection="1">
      <protection hidden="1"/>
    </xf>
    <xf numFmtId="1" fontId="0" fillId="0" borderId="13" xfId="0" applyNumberFormat="1" applyBorder="1" applyProtection="1">
      <protection hidden="1"/>
    </xf>
    <xf numFmtId="1" fontId="0" fillId="0" borderId="0" xfId="0" applyNumberFormat="1" applyBorder="1" applyProtection="1">
      <protection hidden="1"/>
    </xf>
    <xf numFmtId="1" fontId="24" fillId="6" borderId="38" xfId="0" applyNumberFormat="1" applyFont="1" applyFill="1" applyBorder="1" applyAlignment="1" applyProtection="1">
      <alignment horizontal="left"/>
      <protection hidden="1"/>
    </xf>
    <xf numFmtId="1" fontId="24" fillId="6" borderId="39" xfId="0" applyNumberFormat="1" applyFont="1" applyFill="1" applyBorder="1" applyAlignment="1" applyProtection="1">
      <alignment horizontal="left"/>
      <protection hidden="1"/>
    </xf>
    <xf numFmtId="1" fontId="18" fillId="0" borderId="38" xfId="0" applyNumberFormat="1" applyFont="1" applyBorder="1" applyAlignment="1" applyProtection="1">
      <protection hidden="1"/>
    </xf>
    <xf numFmtId="1" fontId="12" fillId="2" borderId="22" xfId="0" applyNumberFormat="1" applyFont="1" applyFill="1" applyBorder="1" applyAlignment="1" applyProtection="1">
      <alignment horizontal="left"/>
      <protection hidden="1"/>
    </xf>
    <xf numFmtId="0" fontId="19" fillId="2" borderId="0" xfId="0" applyFont="1" applyFill="1" applyBorder="1" applyProtection="1">
      <protection hidden="1"/>
    </xf>
    <xf numFmtId="165" fontId="12" fillId="2" borderId="0" xfId="0" applyNumberFormat="1" applyFont="1" applyFill="1" applyAlignment="1" applyProtection="1">
      <protection hidden="1"/>
    </xf>
    <xf numFmtId="0" fontId="28" fillId="0" borderId="7" xfId="0" applyFont="1" applyBorder="1" applyProtection="1">
      <protection hidden="1"/>
    </xf>
    <xf numFmtId="0" fontId="12" fillId="0" borderId="0" xfId="0" applyFont="1" applyAlignment="1" applyProtection="1">
      <alignment horizontal="left"/>
      <protection hidden="1"/>
    </xf>
    <xf numFmtId="0" fontId="28" fillId="0" borderId="0" xfId="0" applyFont="1" applyAlignment="1" applyProtection="1">
      <alignment horizontal="left"/>
      <protection hidden="1"/>
    </xf>
    <xf numFmtId="0" fontId="30" fillId="11" borderId="29" xfId="0" applyFont="1" applyFill="1" applyBorder="1" applyAlignment="1" applyProtection="1">
      <alignment horizontal="left" vertical="center"/>
      <protection hidden="1"/>
    </xf>
    <xf numFmtId="0" fontId="31" fillId="11" borderId="22" xfId="0" applyFont="1" applyFill="1" applyBorder="1" applyAlignment="1" applyProtection="1">
      <alignment horizontal="center" vertical="center"/>
      <protection hidden="1"/>
    </xf>
    <xf numFmtId="1" fontId="31" fillId="11" borderId="22" xfId="0" applyNumberFormat="1" applyFont="1" applyFill="1" applyBorder="1" applyAlignment="1" applyProtection="1">
      <alignment horizontal="center" vertical="center"/>
      <protection hidden="1"/>
    </xf>
    <xf numFmtId="1" fontId="32" fillId="11" borderId="29" xfId="0" applyNumberFormat="1" applyFont="1" applyFill="1" applyBorder="1" applyAlignment="1" applyProtection="1">
      <alignment horizontal="center"/>
      <protection hidden="1"/>
    </xf>
    <xf numFmtId="1" fontId="32" fillId="11" borderId="22" xfId="0" applyNumberFormat="1" applyFont="1" applyFill="1" applyBorder="1" applyAlignment="1" applyProtection="1">
      <alignment horizontal="center"/>
      <protection hidden="1"/>
    </xf>
    <xf numFmtId="0" fontId="33" fillId="12" borderId="31" xfId="0" applyFont="1" applyFill="1" applyBorder="1" applyAlignment="1" applyProtection="1">
      <alignment horizontal="center"/>
      <protection hidden="1"/>
    </xf>
    <xf numFmtId="1" fontId="33" fillId="12" borderId="31" xfId="0" applyNumberFormat="1" applyFont="1" applyFill="1" applyBorder="1" applyAlignment="1" applyProtection="1">
      <alignment horizontal="center"/>
      <protection hidden="1"/>
    </xf>
    <xf numFmtId="0" fontId="17" fillId="0" borderId="7" xfId="0" applyFont="1" applyBorder="1" applyAlignment="1" applyProtection="1">
      <protection hidden="1"/>
    </xf>
    <xf numFmtId="0" fontId="17" fillId="0" borderId="0" xfId="0" applyFont="1" applyBorder="1" applyAlignment="1" applyProtection="1">
      <protection hidden="1"/>
    </xf>
    <xf numFmtId="0" fontId="27" fillId="13" borderId="8" xfId="0" applyFont="1" applyFill="1" applyBorder="1" applyAlignment="1">
      <alignment horizontal="center"/>
    </xf>
    <xf numFmtId="0" fontId="35" fillId="13" borderId="8" xfId="0" applyFont="1" applyFill="1" applyBorder="1" applyAlignment="1">
      <alignment horizontal="center"/>
    </xf>
    <xf numFmtId="0" fontId="0" fillId="0" borderId="8" xfId="0" applyFill="1" applyBorder="1"/>
    <xf numFmtId="1" fontId="0" fillId="0" borderId="8" xfId="0" applyNumberFormat="1" applyFont="1" applyFill="1" applyBorder="1" applyAlignment="1" applyProtection="1">
      <protection locked="0"/>
    </xf>
    <xf numFmtId="1" fontId="0" fillId="0" borderId="8" xfId="0" applyNumberFormat="1" applyFill="1" applyBorder="1" applyAlignment="1" applyProtection="1">
      <alignment horizontal="center"/>
      <protection hidden="1"/>
    </xf>
    <xf numFmtId="0" fontId="0" fillId="14" borderId="8" xfId="0" applyFill="1" applyBorder="1"/>
    <xf numFmtId="0" fontId="0" fillId="15" borderId="8" xfId="0" applyFill="1" applyBorder="1"/>
    <xf numFmtId="1" fontId="28" fillId="0" borderId="15" xfId="0" applyNumberFormat="1" applyFont="1" applyFill="1" applyBorder="1" applyAlignment="1" applyProtection="1">
      <alignment horizontal="center" wrapText="1"/>
      <protection hidden="1"/>
    </xf>
    <xf numFmtId="1" fontId="28" fillId="0" borderId="33" xfId="0" applyNumberFormat="1" applyFont="1" applyFill="1" applyBorder="1" applyAlignment="1" applyProtection="1">
      <alignment horizontal="center"/>
      <protection hidden="1"/>
    </xf>
    <xf numFmtId="1" fontId="41" fillId="0" borderId="33" xfId="0" applyNumberFormat="1" applyFont="1" applyFill="1" applyBorder="1" applyAlignment="1" applyProtection="1">
      <alignment horizontal="center"/>
      <protection locked="0"/>
    </xf>
    <xf numFmtId="1" fontId="41" fillId="0" borderId="33" xfId="0" applyNumberFormat="1" applyFont="1" applyFill="1" applyBorder="1" applyAlignment="1" applyProtection="1">
      <alignment horizontal="center"/>
      <protection hidden="1"/>
    </xf>
    <xf numFmtId="1" fontId="41" fillId="0" borderId="34" xfId="0" applyNumberFormat="1" applyFont="1" applyFill="1" applyBorder="1" applyAlignment="1" applyProtection="1">
      <alignment horizontal="center"/>
      <protection hidden="1"/>
    </xf>
    <xf numFmtId="1" fontId="28" fillId="0" borderId="14" xfId="0" applyNumberFormat="1" applyFont="1" applyFill="1" applyBorder="1" applyAlignment="1" applyProtection="1">
      <alignment horizontal="center" wrapText="1"/>
      <protection hidden="1"/>
    </xf>
    <xf numFmtId="1" fontId="41" fillId="0" borderId="15" xfId="0" applyNumberFormat="1" applyFont="1" applyFill="1" applyBorder="1" applyAlignment="1" applyProtection="1">
      <alignment horizontal="center"/>
      <protection hidden="1"/>
    </xf>
    <xf numFmtId="1" fontId="41" fillId="0" borderId="40" xfId="0" applyNumberFormat="1" applyFont="1" applyBorder="1" applyAlignment="1" applyProtection="1">
      <alignment horizontal="center"/>
      <protection hidden="1"/>
    </xf>
    <xf numFmtId="1" fontId="41" fillId="0" borderId="15" xfId="0" applyNumberFormat="1" applyFont="1" applyFill="1" applyBorder="1" applyAlignment="1" applyProtection="1">
      <alignment horizontal="center"/>
      <protection locked="0"/>
    </xf>
    <xf numFmtId="1" fontId="28" fillId="0" borderId="15" xfId="0" applyNumberFormat="1" applyFont="1" applyFill="1" applyBorder="1" applyAlignment="1" applyProtection="1">
      <alignment horizontal="center"/>
      <protection hidden="1"/>
    </xf>
    <xf numFmtId="1" fontId="41" fillId="0" borderId="35" xfId="0" applyNumberFormat="1" applyFont="1" applyFill="1" applyBorder="1" applyAlignment="1" applyProtection="1">
      <alignment horizontal="center"/>
      <protection hidden="1"/>
    </xf>
    <xf numFmtId="1" fontId="41" fillId="0" borderId="36" xfId="0" applyNumberFormat="1" applyFont="1" applyFill="1" applyBorder="1" applyAlignment="1" applyProtection="1">
      <alignment horizontal="center"/>
      <protection hidden="1"/>
    </xf>
    <xf numFmtId="1" fontId="41" fillId="0" borderId="35" xfId="0" applyNumberFormat="1" applyFont="1" applyBorder="1" applyAlignment="1" applyProtection="1">
      <alignment horizontal="center"/>
      <protection hidden="1"/>
    </xf>
    <xf numFmtId="1" fontId="41" fillId="9" borderId="15" xfId="0" applyNumberFormat="1" applyFont="1" applyFill="1" applyBorder="1" applyAlignment="1" applyProtection="1">
      <alignment horizontal="center"/>
      <protection locked="0"/>
    </xf>
    <xf numFmtId="1" fontId="41" fillId="0" borderId="15" xfId="0" applyNumberFormat="1" applyFont="1" applyFill="1" applyBorder="1" applyAlignment="1" applyProtection="1">
      <protection locked="0"/>
    </xf>
    <xf numFmtId="1" fontId="41" fillId="0" borderId="16" xfId="0" applyNumberFormat="1" applyFont="1" applyFill="1" applyBorder="1" applyAlignment="1" applyProtection="1">
      <protection locked="0"/>
    </xf>
    <xf numFmtId="1" fontId="28" fillId="0" borderId="16" xfId="0" applyNumberFormat="1" applyFont="1" applyFill="1" applyBorder="1" applyAlignment="1" applyProtection="1">
      <alignment horizontal="center" wrapText="1"/>
      <protection hidden="1"/>
    </xf>
    <xf numFmtId="1" fontId="28" fillId="0" borderId="16" xfId="0" applyNumberFormat="1" applyFont="1" applyFill="1" applyBorder="1" applyAlignment="1" applyProtection="1">
      <alignment horizontal="center"/>
      <protection hidden="1"/>
    </xf>
    <xf numFmtId="1" fontId="41" fillId="0" borderId="16" xfId="0" applyNumberFormat="1" applyFont="1" applyFill="1" applyBorder="1" applyAlignment="1" applyProtection="1">
      <alignment horizontal="center"/>
      <protection locked="0"/>
    </xf>
    <xf numFmtId="1" fontId="41" fillId="0" borderId="16" xfId="0" applyNumberFormat="1" applyFont="1" applyFill="1" applyBorder="1" applyAlignment="1" applyProtection="1">
      <alignment horizontal="center"/>
      <protection hidden="1"/>
    </xf>
    <xf numFmtId="1" fontId="41" fillId="0" borderId="11" xfId="0" applyNumberFormat="1" applyFont="1" applyFill="1" applyBorder="1" applyAlignment="1" applyProtection="1">
      <alignment horizontal="center"/>
      <protection hidden="1"/>
    </xf>
    <xf numFmtId="1" fontId="41" fillId="0" borderId="37" xfId="0" applyNumberFormat="1" applyFont="1" applyFill="1" applyBorder="1" applyAlignment="1" applyProtection="1">
      <alignment horizontal="center"/>
      <protection hidden="1"/>
    </xf>
    <xf numFmtId="1" fontId="41" fillId="0" borderId="11" xfId="0" applyNumberFormat="1" applyFont="1" applyBorder="1" applyAlignment="1" applyProtection="1">
      <alignment horizontal="center"/>
      <protection hidden="1"/>
    </xf>
    <xf numFmtId="1" fontId="12" fillId="0" borderId="8" xfId="0" applyNumberFormat="1" applyFont="1" applyBorder="1" applyProtection="1">
      <protection hidden="1"/>
    </xf>
    <xf numFmtId="1" fontId="18" fillId="18" borderId="0" xfId="0" applyNumberFormat="1" applyFont="1" applyFill="1" applyBorder="1" applyAlignment="1" applyProtection="1">
      <alignment horizontal="center"/>
      <protection hidden="1"/>
    </xf>
    <xf numFmtId="1" fontId="18" fillId="18" borderId="0" xfId="0" applyNumberFormat="1" applyFont="1" applyFill="1" applyBorder="1" applyProtection="1">
      <protection hidden="1"/>
    </xf>
    <xf numFmtId="1" fontId="0" fillId="18" borderId="0" xfId="0" applyNumberFormat="1" applyFill="1" applyBorder="1" applyProtection="1">
      <protection hidden="1"/>
    </xf>
    <xf numFmtId="1" fontId="18" fillId="18" borderId="13" xfId="0" applyNumberFormat="1" applyFont="1" applyFill="1" applyBorder="1" applyAlignment="1" applyProtection="1">
      <alignment horizontal="center"/>
      <protection hidden="1"/>
    </xf>
    <xf numFmtId="1" fontId="0" fillId="18" borderId="0" xfId="0" applyNumberFormat="1" applyFill="1" applyProtection="1">
      <protection hidden="1"/>
    </xf>
    <xf numFmtId="1" fontId="0" fillId="18" borderId="0" xfId="0" applyNumberFormat="1" applyFont="1" applyFill="1" applyBorder="1" applyAlignment="1" applyProtection="1">
      <alignment horizontal="left" vertical="center"/>
      <protection hidden="1"/>
    </xf>
    <xf numFmtId="1" fontId="0" fillId="18" borderId="0" xfId="0" applyNumberFormat="1" applyFill="1" applyAlignment="1" applyProtection="1">
      <alignment horizontal="center"/>
      <protection hidden="1"/>
    </xf>
    <xf numFmtId="1" fontId="18" fillId="18" borderId="0" xfId="0" applyNumberFormat="1" applyFont="1" applyFill="1" applyAlignment="1" applyProtection="1">
      <alignment horizontal="center"/>
      <protection hidden="1"/>
    </xf>
    <xf numFmtId="1" fontId="28" fillId="18" borderId="0" xfId="0" applyNumberFormat="1" applyFont="1" applyFill="1" applyProtection="1">
      <protection hidden="1"/>
    </xf>
    <xf numFmtId="1" fontId="41" fillId="18" borderId="0" xfId="0" applyNumberFormat="1" applyFont="1" applyFill="1" applyProtection="1">
      <protection hidden="1"/>
    </xf>
    <xf numFmtId="1" fontId="24" fillId="8" borderId="8" xfId="0" applyNumberFormat="1" applyFont="1" applyFill="1" applyBorder="1" applyAlignment="1" applyProtection="1">
      <protection hidden="1"/>
    </xf>
    <xf numFmtId="1" fontId="16" fillId="0" borderId="8" xfId="1" applyNumberFormat="1" applyBorder="1" applyAlignment="1" applyProtection="1">
      <protection hidden="1"/>
    </xf>
    <xf numFmtId="1" fontId="18" fillId="18" borderId="0" xfId="0" applyNumberFormat="1" applyFont="1" applyFill="1" applyProtection="1">
      <protection hidden="1"/>
    </xf>
    <xf numFmtId="1" fontId="28" fillId="18" borderId="0" xfId="0" applyNumberFormat="1" applyFont="1" applyFill="1" applyAlignment="1" applyProtection="1">
      <alignment horizontal="center"/>
      <protection hidden="1"/>
    </xf>
    <xf numFmtId="1" fontId="41" fillId="18" borderId="0" xfId="0" applyNumberFormat="1" applyFont="1" applyFill="1" applyAlignment="1" applyProtection="1">
      <alignment horizontal="center"/>
      <protection hidden="1"/>
    </xf>
    <xf numFmtId="1" fontId="41" fillId="18" borderId="0" xfId="0" applyNumberFormat="1" applyFont="1" applyFill="1" applyAlignment="1" applyProtection="1">
      <protection hidden="1"/>
    </xf>
    <xf numFmtId="1" fontId="0" fillId="18" borderId="32" xfId="0" applyNumberFormat="1" applyFill="1" applyBorder="1" applyProtection="1">
      <protection hidden="1"/>
    </xf>
    <xf numFmtId="1" fontId="0" fillId="18" borderId="0" xfId="0" applyNumberFormat="1" applyFill="1" applyBorder="1" applyAlignment="1" applyProtection="1">
      <alignment horizontal="center"/>
      <protection hidden="1"/>
    </xf>
    <xf numFmtId="1" fontId="41" fillId="0" borderId="14" xfId="0" applyNumberFormat="1" applyFont="1" applyFill="1" applyBorder="1" applyAlignment="1" applyProtection="1">
      <alignment horizontal="center" wrapText="1"/>
      <protection locked="0"/>
    </xf>
    <xf numFmtId="1" fontId="12" fillId="0" borderId="15" xfId="0" applyNumberFormat="1" applyFont="1" applyFill="1" applyBorder="1" applyAlignment="1" applyProtection="1">
      <alignment horizontal="left"/>
      <protection locked="0"/>
    </xf>
    <xf numFmtId="0" fontId="12" fillId="2" borderId="0" xfId="0" applyFont="1" applyFill="1" applyBorder="1" applyAlignment="1" applyProtection="1">
      <alignment horizontal="left" vertical="center"/>
      <protection hidden="1"/>
    </xf>
    <xf numFmtId="1" fontId="12" fillId="2" borderId="0" xfId="0" applyNumberFormat="1" applyFont="1" applyFill="1" applyBorder="1" applyAlignment="1" applyProtection="1">
      <alignment horizontal="left"/>
      <protection hidden="1"/>
    </xf>
    <xf numFmtId="0" fontId="0" fillId="19" borderId="0" xfId="0" applyFill="1" applyProtection="1">
      <protection hidden="1"/>
    </xf>
    <xf numFmtId="0" fontId="0" fillId="20" borderId="0" xfId="0" applyFill="1" applyAlignment="1" applyProtection="1">
      <alignment horizontal="center"/>
      <protection hidden="1"/>
    </xf>
    <xf numFmtId="14" fontId="0" fillId="19" borderId="0" xfId="0" applyNumberFormat="1" applyFill="1" applyProtection="1">
      <protection hidden="1"/>
    </xf>
    <xf numFmtId="0" fontId="0" fillId="19" borderId="0" xfId="0" applyFill="1" applyAlignment="1" applyProtection="1">
      <alignment horizontal="left"/>
      <protection hidden="1"/>
    </xf>
    <xf numFmtId="0" fontId="0" fillId="19" borderId="0" xfId="0" applyFont="1" applyFill="1" applyBorder="1" applyAlignment="1" applyProtection="1">
      <alignment horizontal="center"/>
      <protection hidden="1"/>
    </xf>
    <xf numFmtId="0" fontId="0" fillId="19" borderId="0" xfId="0" applyFill="1" applyAlignment="1" applyProtection="1">
      <alignment horizontal="center"/>
      <protection hidden="1"/>
    </xf>
    <xf numFmtId="1" fontId="0" fillId="19" borderId="0" xfId="0" applyNumberFormat="1" applyFill="1" applyAlignment="1" applyProtection="1">
      <alignment horizontal="center"/>
      <protection hidden="1"/>
    </xf>
    <xf numFmtId="9" fontId="46" fillId="17" borderId="5" xfId="1" applyFont="1" applyFill="1" applyBorder="1" applyAlignment="1" applyProtection="1">
      <alignment horizontal="center" vertical="center"/>
      <protection locked="0"/>
    </xf>
    <xf numFmtId="9" fontId="40" fillId="17" borderId="5" xfId="1" applyFont="1" applyFill="1" applyBorder="1" applyAlignment="1" applyProtection="1">
      <alignment horizontal="center" vertical="center"/>
      <protection locked="0"/>
    </xf>
    <xf numFmtId="9" fontId="47" fillId="17" borderId="5" xfId="1" applyFont="1" applyFill="1" applyBorder="1" applyAlignment="1" applyProtection="1">
      <alignment horizontal="center" vertical="center"/>
      <protection locked="0"/>
    </xf>
    <xf numFmtId="1" fontId="42" fillId="0" borderId="0" xfId="0" applyNumberFormat="1" applyFont="1" applyFill="1" applyBorder="1" applyAlignment="1" applyProtection="1">
      <alignment horizontal="left"/>
      <protection hidden="1"/>
    </xf>
    <xf numFmtId="166" fontId="43" fillId="17" borderId="0" xfId="0" applyNumberFormat="1" applyFont="1" applyFill="1" applyBorder="1" applyAlignment="1" applyProtection="1">
      <alignment horizontal="left" vertical="center"/>
      <protection hidden="1"/>
    </xf>
    <xf numFmtId="0" fontId="1" fillId="4" borderId="1" xfId="0" applyFont="1" applyFill="1" applyBorder="1" applyAlignment="1" applyProtection="1">
      <protection hidden="1"/>
    </xf>
    <xf numFmtId="0" fontId="0" fillId="4" borderId="1" xfId="0" applyFill="1" applyBorder="1" applyProtection="1">
      <protection hidden="1"/>
    </xf>
    <xf numFmtId="0" fontId="0" fillId="4" borderId="0" xfId="0" applyFill="1" applyBorder="1" applyProtection="1">
      <protection hidden="1"/>
    </xf>
    <xf numFmtId="0" fontId="0" fillId="16" borderId="0" xfId="0" applyFill="1" applyProtection="1">
      <protection hidden="1"/>
    </xf>
    <xf numFmtId="0" fontId="36" fillId="4" borderId="0" xfId="2" applyFont="1" applyFill="1" applyBorder="1" applyAlignment="1" applyProtection="1">
      <alignment vertical="center" wrapText="1"/>
      <protection hidden="1"/>
    </xf>
    <xf numFmtId="0" fontId="37" fillId="4" borderId="0" xfId="0" applyFont="1" applyFill="1" applyBorder="1" applyProtection="1">
      <protection hidden="1"/>
    </xf>
    <xf numFmtId="0" fontId="38" fillId="4" borderId="0" xfId="0" applyFont="1" applyFill="1" applyBorder="1" applyProtection="1">
      <protection hidden="1"/>
    </xf>
    <xf numFmtId="0" fontId="5" fillId="4" borderId="0" xfId="0" applyFont="1" applyFill="1" applyBorder="1" applyProtection="1">
      <protection hidden="1"/>
    </xf>
    <xf numFmtId="0" fontId="9" fillId="4" borderId="0" xfId="0" applyFont="1" applyFill="1" applyBorder="1" applyProtection="1">
      <protection hidden="1"/>
    </xf>
    <xf numFmtId="0" fontId="8" fillId="4" borderId="3" xfId="0" applyFont="1" applyFill="1" applyBorder="1" applyProtection="1">
      <protection hidden="1"/>
    </xf>
    <xf numFmtId="0" fontId="11" fillId="4" borderId="0" xfId="0" applyFont="1" applyFill="1" applyBorder="1" applyAlignment="1" applyProtection="1">
      <alignment vertical="center"/>
      <protection hidden="1"/>
    </xf>
    <xf numFmtId="0" fontId="10" fillId="4" borderId="0" xfId="0" applyFont="1" applyFill="1" applyBorder="1" applyAlignment="1" applyProtection="1">
      <alignment horizontal="right"/>
      <protection hidden="1"/>
    </xf>
    <xf numFmtId="0" fontId="13" fillId="4" borderId="0" xfId="0" applyFont="1" applyFill="1" applyBorder="1" applyAlignment="1" applyProtection="1">
      <protection hidden="1"/>
    </xf>
    <xf numFmtId="0" fontId="14" fillId="4" borderId="0" xfId="0" applyFont="1" applyFill="1" applyBorder="1" applyProtection="1">
      <protection hidden="1"/>
    </xf>
    <xf numFmtId="0" fontId="6" fillId="4" borderId="0" xfId="0" applyFont="1" applyFill="1" applyBorder="1" applyProtection="1">
      <protection hidden="1"/>
    </xf>
    <xf numFmtId="0" fontId="4" fillId="4" borderId="0" xfId="0" applyFont="1" applyFill="1" applyBorder="1" applyAlignment="1" applyProtection="1">
      <alignment horizontal="center"/>
      <protection hidden="1"/>
    </xf>
    <xf numFmtId="0" fontId="39" fillId="4" borderId="5" xfId="0" applyFont="1" applyFill="1" applyBorder="1" applyAlignment="1" applyProtection="1">
      <alignment horizontal="left" vertical="center"/>
      <protection hidden="1"/>
    </xf>
    <xf numFmtId="0" fontId="50" fillId="4" borderId="5" xfId="0" applyFont="1" applyFill="1" applyBorder="1" applyAlignment="1" applyProtection="1">
      <alignment horizontal="left" vertical="center"/>
      <protection hidden="1"/>
    </xf>
    <xf numFmtId="0" fontId="50" fillId="4" borderId="43" xfId="0" applyFont="1" applyFill="1" applyBorder="1" applyAlignment="1" applyProtection="1">
      <alignment horizontal="left" vertical="center"/>
      <protection hidden="1"/>
    </xf>
    <xf numFmtId="9" fontId="7" fillId="4" borderId="2" xfId="1" applyFont="1" applyFill="1" applyBorder="1" applyAlignment="1" applyProtection="1">
      <alignment horizontal="center" vertical="center"/>
      <protection hidden="1"/>
    </xf>
    <xf numFmtId="9" fontId="6" fillId="4" borderId="0" xfId="1" applyFont="1" applyFill="1" applyBorder="1" applyAlignment="1" applyProtection="1">
      <alignment horizontal="center" vertical="center"/>
      <protection hidden="1"/>
    </xf>
    <xf numFmtId="0" fontId="0" fillId="4" borderId="0" xfId="0" applyFill="1" applyBorder="1" applyAlignment="1" applyProtection="1">
      <alignment horizontal="center"/>
      <protection hidden="1"/>
    </xf>
    <xf numFmtId="0" fontId="0" fillId="4" borderId="4" xfId="0" applyFill="1" applyBorder="1" applyProtection="1">
      <protection hidden="1"/>
    </xf>
    <xf numFmtId="1" fontId="18" fillId="23" borderId="0" xfId="0" applyNumberFormat="1" applyFont="1" applyFill="1" applyAlignment="1" applyProtection="1">
      <alignment horizontal="center"/>
      <protection hidden="1"/>
    </xf>
    <xf numFmtId="1" fontId="18" fillId="23" borderId="0" xfId="0" applyNumberFormat="1" applyFont="1" applyFill="1" applyProtection="1">
      <protection hidden="1"/>
    </xf>
    <xf numFmtId="1" fontId="0" fillId="23" borderId="0" xfId="0" applyNumberFormat="1" applyFill="1" applyProtection="1">
      <protection hidden="1"/>
    </xf>
    <xf numFmtId="1" fontId="0" fillId="23" borderId="0" xfId="0" applyNumberFormat="1" applyFill="1" applyAlignment="1" applyProtection="1">
      <alignment horizontal="center"/>
      <protection hidden="1"/>
    </xf>
    <xf numFmtId="1" fontId="18" fillId="22" borderId="0" xfId="0" applyNumberFormat="1" applyFont="1" applyFill="1" applyAlignment="1" applyProtection="1">
      <alignment horizontal="center"/>
      <protection hidden="1"/>
    </xf>
    <xf numFmtId="1" fontId="18" fillId="22" borderId="0" xfId="0" applyNumberFormat="1" applyFont="1" applyFill="1" applyProtection="1">
      <protection hidden="1"/>
    </xf>
    <xf numFmtId="1" fontId="0" fillId="22" borderId="0" xfId="0" applyNumberFormat="1" applyFill="1" applyProtection="1">
      <protection hidden="1"/>
    </xf>
    <xf numFmtId="1" fontId="0" fillId="22" borderId="0" xfId="0" applyNumberFormat="1" applyFill="1" applyAlignment="1" applyProtection="1">
      <alignment horizontal="center"/>
      <protection hidden="1"/>
    </xf>
    <xf numFmtId="1" fontId="23" fillId="23" borderId="0" xfId="0" applyNumberFormat="1" applyFont="1" applyFill="1" applyBorder="1" applyAlignment="1" applyProtection="1">
      <alignment horizontal="center"/>
      <protection hidden="1"/>
    </xf>
    <xf numFmtId="1" fontId="12" fillId="0" borderId="15" xfId="0" applyNumberFormat="1" applyFont="1" applyFill="1" applyBorder="1" applyAlignment="1" applyProtection="1">
      <alignment horizontal="left"/>
      <protection hidden="1"/>
    </xf>
    <xf numFmtId="1" fontId="41" fillId="0" borderId="14" xfId="3" applyNumberFormat="1" applyFont="1" applyFill="1" applyBorder="1" applyAlignment="1" applyProtection="1">
      <alignment horizontal="center" wrapText="1"/>
      <protection hidden="1"/>
    </xf>
    <xf numFmtId="1" fontId="41" fillId="0" borderId="33" xfId="3" applyNumberFormat="1" applyFont="1" applyFill="1" applyBorder="1" applyAlignment="1" applyProtection="1">
      <alignment horizontal="center" wrapText="1"/>
      <protection hidden="1"/>
    </xf>
    <xf numFmtId="1" fontId="41" fillId="0" borderId="15" xfId="3" applyNumberFormat="1" applyFont="1" applyFill="1" applyBorder="1" applyAlignment="1" applyProtection="1">
      <alignment horizontal="center" wrapText="1"/>
      <protection hidden="1"/>
    </xf>
    <xf numFmtId="1" fontId="41" fillId="0" borderId="16" xfId="3" applyNumberFormat="1" applyFont="1" applyFill="1" applyBorder="1" applyAlignment="1" applyProtection="1">
      <alignment horizontal="center" wrapText="1"/>
      <protection hidden="1"/>
    </xf>
    <xf numFmtId="1" fontId="18" fillId="22" borderId="0" xfId="3" applyNumberFormat="1" applyFont="1" applyFill="1" applyAlignment="1" applyProtection="1">
      <alignment horizontal="center"/>
      <protection hidden="1"/>
    </xf>
    <xf numFmtId="1" fontId="18" fillId="22" borderId="0" xfId="3" applyNumberFormat="1" applyFont="1" applyFill="1" applyProtection="1">
      <protection hidden="1"/>
    </xf>
    <xf numFmtId="1" fontId="53" fillId="22" borderId="0" xfId="3" applyNumberFormat="1" applyFill="1" applyProtection="1">
      <protection hidden="1"/>
    </xf>
    <xf numFmtId="0" fontId="0" fillId="22" borderId="0" xfId="0" applyFill="1"/>
    <xf numFmtId="0" fontId="55" fillId="17" borderId="4" xfId="0" applyFont="1" applyFill="1" applyBorder="1" applyAlignment="1" applyProtection="1">
      <alignment horizontal="left" vertical="center"/>
      <protection locked="0"/>
    </xf>
    <xf numFmtId="0" fontId="55" fillId="17" borderId="0" xfId="0" applyFont="1" applyFill="1" applyBorder="1" applyAlignment="1" applyProtection="1">
      <alignment horizontal="left" vertical="center"/>
      <protection locked="0"/>
    </xf>
    <xf numFmtId="0" fontId="48" fillId="4" borderId="0" xfId="0" applyFont="1" applyFill="1" applyBorder="1" applyProtection="1">
      <protection hidden="1"/>
    </xf>
    <xf numFmtId="0" fontId="0" fillId="16" borderId="0" xfId="0" applyFill="1"/>
    <xf numFmtId="0" fontId="15" fillId="16" borderId="0" xfId="0" applyFont="1" applyFill="1" applyProtection="1">
      <protection hidden="1"/>
    </xf>
    <xf numFmtId="0" fontId="0" fillId="22" borderId="0" xfId="0" applyFill="1" applyProtection="1">
      <protection hidden="1"/>
    </xf>
    <xf numFmtId="0" fontId="0" fillId="24" borderId="0" xfId="0" applyFill="1" applyProtection="1">
      <protection hidden="1"/>
    </xf>
    <xf numFmtId="0" fontId="0" fillId="24" borderId="1" xfId="0" applyFill="1" applyBorder="1" applyProtection="1">
      <protection hidden="1"/>
    </xf>
    <xf numFmtId="0" fontId="3" fillId="24" borderId="0" xfId="2" applyFill="1" applyBorder="1" applyAlignment="1" applyProtection="1">
      <alignment horizontal="left"/>
      <protection hidden="1"/>
    </xf>
    <xf numFmtId="0" fontId="0" fillId="22" borderId="1" xfId="0" applyFill="1" applyBorder="1" applyProtection="1">
      <protection hidden="1"/>
    </xf>
    <xf numFmtId="0" fontId="48" fillId="24" borderId="0" xfId="0" applyFont="1" applyFill="1" applyBorder="1" applyProtection="1">
      <protection hidden="1"/>
    </xf>
    <xf numFmtId="0" fontId="0" fillId="24" borderId="0" xfId="0" applyFill="1" applyBorder="1" applyProtection="1">
      <protection hidden="1"/>
    </xf>
    <xf numFmtId="0" fontId="49" fillId="4" borderId="0" xfId="0" applyFont="1" applyFill="1" applyBorder="1" applyAlignment="1" applyProtection="1">
      <protection hidden="1"/>
    </xf>
    <xf numFmtId="0" fontId="0" fillId="16" borderId="0" xfId="0" applyFill="1" applyBorder="1" applyProtection="1">
      <protection hidden="1"/>
    </xf>
    <xf numFmtId="9" fontId="7" fillId="4" borderId="4" xfId="1" applyFont="1" applyFill="1" applyBorder="1" applyAlignment="1" applyProtection="1">
      <alignment horizontal="center" vertical="center"/>
      <protection hidden="1"/>
    </xf>
    <xf numFmtId="0" fontId="58" fillId="4" borderId="4" xfId="0" applyFont="1" applyFill="1" applyBorder="1" applyAlignment="1" applyProtection="1">
      <alignment vertical="center"/>
      <protection locked="0"/>
    </xf>
    <xf numFmtId="0" fontId="10" fillId="4" borderId="5" xfId="0" applyFont="1" applyFill="1" applyBorder="1" applyAlignment="1" applyProtection="1">
      <alignment horizontal="left"/>
      <protection hidden="1"/>
    </xf>
    <xf numFmtId="0" fontId="51" fillId="4" borderId="2" xfId="0" applyFont="1" applyFill="1" applyBorder="1" applyProtection="1">
      <protection hidden="1"/>
    </xf>
    <xf numFmtId="0" fontId="52" fillId="4" borderId="0" xfId="0" applyFont="1" applyFill="1" applyBorder="1" applyAlignment="1" applyProtection="1">
      <alignment vertical="center"/>
      <protection hidden="1"/>
    </xf>
    <xf numFmtId="0" fontId="10" fillId="4" borderId="43" xfId="0" applyFont="1" applyFill="1" applyBorder="1" applyAlignment="1" applyProtection="1">
      <alignment horizontal="left"/>
      <protection hidden="1"/>
    </xf>
    <xf numFmtId="0" fontId="60" fillId="4" borderId="3" xfId="0" applyFont="1" applyFill="1" applyBorder="1" applyProtection="1">
      <protection hidden="1"/>
    </xf>
    <xf numFmtId="0" fontId="60" fillId="4" borderId="0" xfId="0" applyFont="1" applyFill="1" applyBorder="1" applyProtection="1">
      <protection hidden="1"/>
    </xf>
    <xf numFmtId="0" fontId="61" fillId="4" borderId="0" xfId="0" applyFont="1" applyFill="1" applyBorder="1" applyProtection="1">
      <protection hidden="1"/>
    </xf>
    <xf numFmtId="0" fontId="62" fillId="4" borderId="3" xfId="0" applyFont="1" applyFill="1" applyBorder="1" applyProtection="1">
      <protection hidden="1"/>
    </xf>
    <xf numFmtId="1" fontId="18" fillId="16" borderId="0" xfId="3" applyNumberFormat="1" applyFont="1" applyFill="1" applyBorder="1" applyAlignment="1" applyProtection="1">
      <alignment horizontal="center"/>
      <protection hidden="1"/>
    </xf>
    <xf numFmtId="1" fontId="18" fillId="16" borderId="0" xfId="3" applyNumberFormat="1" applyFont="1" applyFill="1" applyBorder="1" applyProtection="1">
      <protection hidden="1"/>
    </xf>
    <xf numFmtId="1" fontId="18" fillId="16" borderId="0" xfId="3" applyNumberFormat="1" applyFont="1" applyFill="1" applyAlignment="1" applyProtection="1">
      <alignment horizontal="center"/>
      <protection hidden="1"/>
    </xf>
    <xf numFmtId="1" fontId="18" fillId="16" borderId="0" xfId="3" applyNumberFormat="1" applyFont="1" applyFill="1" applyProtection="1">
      <protection hidden="1"/>
    </xf>
    <xf numFmtId="1" fontId="53" fillId="16" borderId="0" xfId="3" applyNumberFormat="1" applyFill="1" applyProtection="1">
      <protection hidden="1"/>
    </xf>
    <xf numFmtId="1" fontId="53" fillId="16" borderId="0" xfId="3" applyNumberFormat="1" applyFill="1" applyBorder="1" applyProtection="1">
      <protection hidden="1"/>
    </xf>
    <xf numFmtId="1" fontId="18" fillId="16" borderId="13" xfId="3" applyNumberFormat="1" applyFont="1" applyFill="1" applyBorder="1" applyAlignment="1" applyProtection="1">
      <alignment horizontal="center"/>
      <protection hidden="1"/>
    </xf>
    <xf numFmtId="1" fontId="12" fillId="0" borderId="46" xfId="3" applyNumberFormat="1" applyFont="1" applyFill="1" applyBorder="1" applyAlignment="1" applyProtection="1">
      <alignment horizontal="left"/>
      <protection locked="0"/>
    </xf>
    <xf numFmtId="1" fontId="53" fillId="16" borderId="46" xfId="3" applyNumberFormat="1" applyFill="1" applyBorder="1" applyProtection="1">
      <protection hidden="1"/>
    </xf>
    <xf numFmtId="1" fontId="53" fillId="16" borderId="46" xfId="3" applyNumberFormat="1" applyFont="1" applyFill="1" applyBorder="1" applyAlignment="1" applyProtection="1">
      <alignment horizontal="left" vertical="center"/>
      <protection hidden="1"/>
    </xf>
    <xf numFmtId="1" fontId="53" fillId="16" borderId="44" xfId="3" applyNumberFormat="1" applyFill="1" applyBorder="1" applyProtection="1">
      <protection hidden="1"/>
    </xf>
    <xf numFmtId="1" fontId="53" fillId="16" borderId="44" xfId="3" applyNumberFormat="1" applyFont="1" applyFill="1" applyBorder="1" applyAlignment="1" applyProtection="1">
      <alignment horizontal="left" vertical="center"/>
      <protection hidden="1"/>
    </xf>
    <xf numFmtId="0" fontId="67" fillId="4" borderId="4" xfId="0" applyFont="1" applyFill="1" applyBorder="1" applyProtection="1">
      <protection hidden="1"/>
    </xf>
    <xf numFmtId="0" fontId="68" fillId="4" borderId="0" xfId="0" applyFont="1" applyFill="1" applyBorder="1" applyProtection="1">
      <protection hidden="1"/>
    </xf>
    <xf numFmtId="0" fontId="69" fillId="19" borderId="0" xfId="0" applyFont="1" applyFill="1" applyProtection="1">
      <protection hidden="1"/>
    </xf>
    <xf numFmtId="0" fontId="70" fillId="4" borderId="0" xfId="0" applyFont="1" applyFill="1" applyBorder="1" applyAlignment="1" applyProtection="1">
      <alignment horizontal="center"/>
      <protection hidden="1"/>
    </xf>
    <xf numFmtId="0" fontId="71" fillId="4" borderId="4" xfId="0" applyFont="1" applyFill="1" applyBorder="1" applyAlignment="1" applyProtection="1">
      <alignment horizontal="center"/>
      <protection hidden="1"/>
    </xf>
    <xf numFmtId="0" fontId="71" fillId="4" borderId="4" xfId="0" applyFont="1" applyFill="1" applyBorder="1" applyAlignment="1" applyProtection="1">
      <protection hidden="1"/>
    </xf>
    <xf numFmtId="0" fontId="2" fillId="3" borderId="3" xfId="0" applyFont="1" applyFill="1" applyBorder="1" applyAlignment="1" applyProtection="1">
      <alignment horizontal="center" vertical="center"/>
      <protection hidden="1"/>
    </xf>
    <xf numFmtId="0" fontId="2" fillId="3" borderId="0" xfId="0" applyFont="1" applyFill="1" applyBorder="1" applyAlignment="1" applyProtection="1">
      <alignment horizontal="center" vertical="center"/>
      <protection hidden="1"/>
    </xf>
    <xf numFmtId="0" fontId="57" fillId="4" borderId="6" xfId="0" applyFont="1" applyFill="1" applyBorder="1" applyAlignment="1" applyProtection="1">
      <alignment horizontal="center" vertical="center"/>
      <protection hidden="1"/>
    </xf>
    <xf numFmtId="0" fontId="57" fillId="4" borderId="4" xfId="0" applyFont="1" applyFill="1" applyBorder="1" applyAlignment="1" applyProtection="1">
      <alignment horizontal="center" vertical="center"/>
      <protection hidden="1"/>
    </xf>
    <xf numFmtId="14" fontId="40" fillId="2" borderId="5" xfId="0" applyNumberFormat="1" applyFont="1" applyFill="1" applyBorder="1" applyAlignment="1" applyProtection="1">
      <alignment horizontal="center" vertical="center"/>
      <protection locked="0"/>
    </xf>
    <xf numFmtId="0" fontId="40" fillId="2" borderId="5" xfId="0" applyFont="1" applyFill="1" applyBorder="1" applyAlignment="1" applyProtection="1">
      <alignment horizontal="center" vertical="center"/>
      <protection locked="0"/>
    </xf>
    <xf numFmtId="0" fontId="59" fillId="16" borderId="0" xfId="0" applyFont="1" applyFill="1" applyAlignment="1" applyProtection="1">
      <alignment horizontal="center"/>
      <protection hidden="1"/>
    </xf>
    <xf numFmtId="0" fontId="40" fillId="2" borderId="5" xfId="0" applyFont="1" applyFill="1" applyBorder="1" applyAlignment="1" applyProtection="1">
      <alignment horizontal="left" vertical="center"/>
      <protection locked="0"/>
    </xf>
    <xf numFmtId="0" fontId="55" fillId="17" borderId="5" xfId="0" applyFont="1" applyFill="1" applyBorder="1" applyAlignment="1" applyProtection="1">
      <alignment horizontal="left" vertical="center"/>
      <protection locked="0"/>
    </xf>
    <xf numFmtId="0" fontId="56" fillId="22" borderId="0" xfId="0" applyFont="1" applyFill="1" applyAlignment="1" applyProtection="1">
      <alignment horizontal="center"/>
      <protection hidden="1"/>
    </xf>
    <xf numFmtId="0" fontId="56" fillId="24" borderId="0" xfId="2" applyFont="1" applyFill="1" applyBorder="1" applyAlignment="1" applyProtection="1">
      <alignment horizontal="center" vertical="center"/>
      <protection hidden="1"/>
    </xf>
    <xf numFmtId="0" fontId="56" fillId="24" borderId="0" xfId="0" applyFont="1" applyFill="1" applyBorder="1" applyAlignment="1" applyProtection="1">
      <alignment horizontal="center"/>
      <protection hidden="1"/>
    </xf>
    <xf numFmtId="0" fontId="59" fillId="4" borderId="0" xfId="2" applyFont="1" applyFill="1" applyBorder="1" applyAlignment="1" applyProtection="1">
      <alignment horizontal="center" vertical="center"/>
      <protection hidden="1"/>
    </xf>
    <xf numFmtId="0" fontId="59" fillId="4" borderId="0" xfId="0" applyFont="1" applyFill="1" applyBorder="1" applyAlignment="1" applyProtection="1">
      <alignment horizontal="center"/>
      <protection hidden="1"/>
    </xf>
    <xf numFmtId="0" fontId="55" fillId="17" borderId="43" xfId="0" applyFont="1" applyFill="1" applyBorder="1" applyAlignment="1" applyProtection="1">
      <alignment horizontal="center" vertical="center"/>
      <protection locked="0"/>
    </xf>
    <xf numFmtId="0" fontId="55" fillId="17" borderId="5" xfId="0" applyFont="1" applyFill="1" applyBorder="1" applyAlignment="1" applyProtection="1">
      <alignment horizontal="center" vertical="center"/>
      <protection locked="0"/>
    </xf>
    <xf numFmtId="1" fontId="18" fillId="0" borderId="44" xfId="3" applyNumberFormat="1" applyFont="1" applyBorder="1" applyAlignment="1" applyProtection="1">
      <alignment horizontal="center" vertical="center"/>
      <protection hidden="1"/>
    </xf>
    <xf numFmtId="0" fontId="64" fillId="21" borderId="45" xfId="3" applyNumberFormat="1" applyFont="1" applyFill="1" applyBorder="1" applyAlignment="1" applyProtection="1">
      <alignment horizontal="center" vertical="center" wrapText="1"/>
      <protection hidden="1"/>
    </xf>
    <xf numFmtId="0" fontId="64" fillId="21" borderId="46" xfId="3" applyNumberFormat="1" applyFont="1" applyFill="1" applyBorder="1" applyAlignment="1" applyProtection="1">
      <alignment horizontal="center" vertical="center" wrapText="1"/>
      <protection hidden="1"/>
    </xf>
    <xf numFmtId="0" fontId="64" fillId="21" borderId="47" xfId="3" applyNumberFormat="1" applyFont="1" applyFill="1" applyBorder="1" applyAlignment="1" applyProtection="1">
      <alignment horizontal="center" vertical="center" wrapText="1"/>
      <protection hidden="1"/>
    </xf>
    <xf numFmtId="1" fontId="64" fillId="21" borderId="45" xfId="3" applyNumberFormat="1" applyFont="1" applyFill="1" applyBorder="1" applyAlignment="1" applyProtection="1">
      <alignment horizontal="center" vertical="center" wrapText="1"/>
      <protection hidden="1"/>
    </xf>
    <xf numFmtId="1" fontId="64" fillId="21" borderId="46" xfId="3" applyNumberFormat="1" applyFont="1" applyFill="1" applyBorder="1" applyAlignment="1" applyProtection="1">
      <alignment horizontal="center" vertical="center" wrapText="1"/>
      <protection hidden="1"/>
    </xf>
    <xf numFmtId="1" fontId="64" fillId="21" borderId="47" xfId="3" applyNumberFormat="1" applyFont="1" applyFill="1" applyBorder="1" applyAlignment="1" applyProtection="1">
      <alignment horizontal="center" vertical="center" wrapText="1"/>
      <protection hidden="1"/>
    </xf>
    <xf numFmtId="1" fontId="65" fillId="21" borderId="45" xfId="3" applyNumberFormat="1" applyFont="1" applyFill="1" applyBorder="1" applyAlignment="1" applyProtection="1">
      <alignment horizontal="center" vertical="center"/>
      <protection hidden="1"/>
    </xf>
    <xf numFmtId="1" fontId="65" fillId="21" borderId="46" xfId="3" applyNumberFormat="1" applyFont="1" applyFill="1" applyBorder="1" applyAlignment="1" applyProtection="1">
      <alignment horizontal="center" vertical="center"/>
      <protection hidden="1"/>
    </xf>
    <xf numFmtId="1" fontId="65" fillId="21" borderId="47" xfId="3" applyNumberFormat="1" applyFont="1" applyFill="1" applyBorder="1" applyAlignment="1" applyProtection="1">
      <alignment horizontal="center" vertical="center"/>
      <protection hidden="1"/>
    </xf>
    <xf numFmtId="1" fontId="65" fillId="21" borderId="45" xfId="3" applyNumberFormat="1" applyFont="1" applyFill="1" applyBorder="1" applyAlignment="1" applyProtection="1">
      <alignment horizontal="center" vertical="center" wrapText="1"/>
      <protection hidden="1"/>
    </xf>
    <xf numFmtId="1" fontId="65" fillId="21" borderId="46" xfId="3" applyNumberFormat="1" applyFont="1" applyFill="1" applyBorder="1" applyAlignment="1" applyProtection="1">
      <alignment horizontal="center" vertical="center" wrapText="1"/>
      <protection hidden="1"/>
    </xf>
    <xf numFmtId="1" fontId="65" fillId="21" borderId="47" xfId="3" applyNumberFormat="1" applyFont="1" applyFill="1" applyBorder="1" applyAlignment="1" applyProtection="1">
      <alignment horizontal="center" vertical="center" wrapText="1"/>
      <protection hidden="1"/>
    </xf>
    <xf numFmtId="0" fontId="35" fillId="21" borderId="0" xfId="0" applyFont="1" applyFill="1" applyAlignment="1" applyProtection="1">
      <alignment horizontal="center" vertical="center" wrapText="1"/>
      <protection hidden="1"/>
    </xf>
    <xf numFmtId="1" fontId="54" fillId="21" borderId="0" xfId="3" applyNumberFormat="1" applyFont="1" applyFill="1" applyAlignment="1" applyProtection="1">
      <alignment horizontal="center" vertical="center"/>
      <protection hidden="1"/>
    </xf>
    <xf numFmtId="1" fontId="18" fillId="0" borderId="43" xfId="3" applyNumberFormat="1" applyFont="1" applyBorder="1" applyAlignment="1" applyProtection="1">
      <alignment horizontal="center" vertical="center"/>
      <protection hidden="1"/>
    </xf>
    <xf numFmtId="1" fontId="18" fillId="0" borderId="5" xfId="3" applyNumberFormat="1" applyFont="1" applyBorder="1" applyAlignment="1" applyProtection="1">
      <alignment horizontal="center" vertical="center"/>
      <protection hidden="1"/>
    </xf>
    <xf numFmtId="1" fontId="18" fillId="0" borderId="48" xfId="3" applyNumberFormat="1" applyFont="1" applyBorder="1" applyAlignment="1" applyProtection="1">
      <alignment horizontal="center" vertical="center"/>
      <protection hidden="1"/>
    </xf>
    <xf numFmtId="1" fontId="18" fillId="0" borderId="38" xfId="0" applyNumberFormat="1" applyFont="1" applyBorder="1" applyAlignment="1" applyProtection="1">
      <alignment horizontal="center"/>
      <protection hidden="1"/>
    </xf>
    <xf numFmtId="1" fontId="18" fillId="0" borderId="39" xfId="0" applyNumberFormat="1" applyFont="1" applyBorder="1" applyAlignment="1" applyProtection="1">
      <alignment horizontal="center"/>
      <protection hidden="1"/>
    </xf>
    <xf numFmtId="1" fontId="16" fillId="0" borderId="38" xfId="1" applyNumberFormat="1" applyBorder="1" applyAlignment="1" applyProtection="1">
      <alignment horizontal="center"/>
      <protection hidden="1"/>
    </xf>
    <xf numFmtId="1" fontId="16" fillId="0" borderId="32" xfId="1" applyNumberFormat="1" applyBorder="1" applyAlignment="1" applyProtection="1">
      <alignment horizontal="center"/>
      <protection hidden="1"/>
    </xf>
    <xf numFmtId="1" fontId="16" fillId="0" borderId="39" xfId="1" applyNumberFormat="1" applyBorder="1" applyAlignment="1" applyProtection="1">
      <alignment horizontal="center"/>
      <protection hidden="1"/>
    </xf>
    <xf numFmtId="1" fontId="18" fillId="0" borderId="8" xfId="0" applyNumberFormat="1" applyFont="1" applyBorder="1" applyAlignment="1" applyProtection="1">
      <alignment horizontal="center" vertical="center"/>
      <protection hidden="1"/>
    </xf>
    <xf numFmtId="1" fontId="18" fillId="0" borderId="32" xfId="0" applyNumberFormat="1" applyFont="1" applyBorder="1" applyAlignment="1" applyProtection="1">
      <alignment horizontal="center" vertical="center"/>
      <protection locked="0"/>
    </xf>
    <xf numFmtId="1" fontId="18" fillId="0" borderId="39" xfId="0" applyNumberFormat="1" applyFont="1" applyBorder="1" applyAlignment="1" applyProtection="1">
      <alignment horizontal="center" vertical="center"/>
      <protection locked="0"/>
    </xf>
    <xf numFmtId="1" fontId="24" fillId="0" borderId="32" xfId="0" applyNumberFormat="1" applyFont="1" applyBorder="1" applyAlignment="1" applyProtection="1">
      <alignment horizontal="left" vertical="center" wrapText="1"/>
      <protection hidden="1"/>
    </xf>
    <xf numFmtId="1" fontId="24" fillId="0" borderId="39" xfId="0" applyNumberFormat="1" applyFont="1" applyBorder="1" applyAlignment="1" applyProtection="1">
      <alignment horizontal="left" vertical="center" wrapText="1"/>
      <protection hidden="1"/>
    </xf>
    <xf numFmtId="1" fontId="24" fillId="0" borderId="38" xfId="0" applyNumberFormat="1" applyFont="1" applyBorder="1" applyAlignment="1" applyProtection="1">
      <alignment horizontal="left" vertical="center" wrapText="1"/>
      <protection hidden="1"/>
    </xf>
    <xf numFmtId="1" fontId="18" fillId="0" borderId="38" xfId="0" applyNumberFormat="1" applyFont="1" applyBorder="1" applyAlignment="1" applyProtection="1">
      <alignment horizontal="center" vertical="center"/>
      <protection hidden="1"/>
    </xf>
    <xf numFmtId="1" fontId="18" fillId="0" borderId="39" xfId="0" applyNumberFormat="1" applyFont="1" applyBorder="1" applyAlignment="1" applyProtection="1">
      <alignment horizontal="center" vertical="center"/>
      <protection hidden="1"/>
    </xf>
    <xf numFmtId="1" fontId="18" fillId="0" borderId="32" xfId="0" applyNumberFormat="1" applyFont="1" applyBorder="1" applyAlignment="1" applyProtection="1">
      <alignment horizontal="center" vertical="center"/>
      <protection hidden="1"/>
    </xf>
    <xf numFmtId="1" fontId="24" fillId="0" borderId="8" xfId="0" applyNumberFormat="1" applyFont="1" applyBorder="1" applyAlignment="1" applyProtection="1">
      <alignment horizontal="center" vertical="center"/>
      <protection hidden="1"/>
    </xf>
    <xf numFmtId="1" fontId="26" fillId="7" borderId="8" xfId="0" applyNumberFormat="1" applyFont="1" applyFill="1" applyBorder="1" applyAlignment="1" applyProtection="1">
      <alignment horizontal="center" vertical="center" wrapText="1"/>
      <protection hidden="1"/>
    </xf>
    <xf numFmtId="1" fontId="20" fillId="7" borderId="8" xfId="0" applyNumberFormat="1" applyFont="1" applyFill="1" applyBorder="1" applyAlignment="1" applyProtection="1">
      <alignment horizontal="center" vertical="center" wrapText="1"/>
      <protection hidden="1"/>
    </xf>
    <xf numFmtId="0" fontId="20" fillId="7" borderId="8" xfId="0" applyNumberFormat="1" applyFont="1" applyFill="1" applyBorder="1" applyAlignment="1" applyProtection="1">
      <alignment horizontal="center" vertical="center" wrapText="1"/>
      <protection hidden="1"/>
    </xf>
    <xf numFmtId="1" fontId="20" fillId="7" borderId="10" xfId="0" applyNumberFormat="1" applyFont="1" applyFill="1" applyBorder="1" applyAlignment="1" applyProtection="1">
      <alignment horizontal="center" vertical="center"/>
      <protection hidden="1"/>
    </xf>
    <xf numFmtId="1" fontId="20" fillId="7" borderId="14" xfId="0" applyNumberFormat="1" applyFont="1" applyFill="1" applyBorder="1" applyAlignment="1" applyProtection="1">
      <alignment horizontal="center" vertical="center" wrapText="1"/>
      <protection hidden="1"/>
    </xf>
    <xf numFmtId="1" fontId="20" fillId="7" borderId="15" xfId="0" applyNumberFormat="1" applyFont="1" applyFill="1" applyBorder="1" applyAlignment="1" applyProtection="1">
      <alignment horizontal="center" vertical="center" wrapText="1"/>
      <protection hidden="1"/>
    </xf>
    <xf numFmtId="1" fontId="20" fillId="7" borderId="16" xfId="0" applyNumberFormat="1" applyFont="1" applyFill="1" applyBorder="1" applyAlignment="1" applyProtection="1">
      <alignment horizontal="center" vertical="center" wrapText="1"/>
      <protection hidden="1"/>
    </xf>
    <xf numFmtId="1" fontId="20" fillId="7" borderId="42" xfId="0" applyNumberFormat="1" applyFont="1" applyFill="1" applyBorder="1" applyAlignment="1" applyProtection="1">
      <alignment horizontal="center" vertical="center" wrapText="1"/>
      <protection hidden="1"/>
    </xf>
    <xf numFmtId="0" fontId="20" fillId="7" borderId="14" xfId="0" applyNumberFormat="1" applyFont="1" applyFill="1" applyBorder="1" applyAlignment="1" applyProtection="1">
      <alignment horizontal="center" vertical="center" wrapText="1"/>
      <protection hidden="1"/>
    </xf>
    <xf numFmtId="0" fontId="20" fillId="7" borderId="15" xfId="0" applyNumberFormat="1" applyFont="1" applyFill="1" applyBorder="1" applyAlignment="1" applyProtection="1">
      <alignment horizontal="center" vertical="center" wrapText="1"/>
      <protection hidden="1"/>
    </xf>
    <xf numFmtId="0" fontId="20" fillId="7" borderId="42" xfId="0" applyNumberFormat="1" applyFont="1" applyFill="1" applyBorder="1" applyAlignment="1" applyProtection="1">
      <alignment horizontal="center" vertical="center" wrapText="1"/>
      <protection hidden="1"/>
    </xf>
    <xf numFmtId="1" fontId="20" fillId="7" borderId="40" xfId="0" applyNumberFormat="1" applyFont="1" applyFill="1" applyBorder="1" applyAlignment="1" applyProtection="1">
      <alignment horizontal="center" vertical="center"/>
      <protection hidden="1"/>
    </xf>
    <xf numFmtId="1" fontId="20" fillId="7" borderId="35" xfId="0" applyNumberFormat="1" applyFont="1" applyFill="1" applyBorder="1" applyAlignment="1" applyProtection="1">
      <alignment horizontal="center" vertical="center"/>
      <protection hidden="1"/>
    </xf>
    <xf numFmtId="1" fontId="20" fillId="7" borderId="41" xfId="0" applyNumberFormat="1" applyFont="1" applyFill="1" applyBorder="1" applyAlignment="1" applyProtection="1">
      <alignment horizontal="center" vertical="center"/>
      <protection hidden="1"/>
    </xf>
    <xf numFmtId="1" fontId="18" fillId="8" borderId="38" xfId="0" applyNumberFormat="1" applyFont="1" applyFill="1" applyBorder="1" applyAlignment="1" applyProtection="1">
      <alignment horizontal="center"/>
      <protection hidden="1"/>
    </xf>
    <xf numFmtId="1" fontId="18" fillId="8" borderId="39" xfId="0" applyNumberFormat="1" applyFont="1" applyFill="1" applyBorder="1" applyAlignment="1" applyProtection="1">
      <alignment horizontal="center"/>
      <protection hidden="1"/>
    </xf>
    <xf numFmtId="1" fontId="24" fillId="5" borderId="38" xfId="0" applyNumberFormat="1" applyFont="1" applyFill="1" applyBorder="1" applyAlignment="1" applyProtection="1">
      <alignment horizontal="left"/>
      <protection hidden="1"/>
    </xf>
    <xf numFmtId="1" fontId="24" fillId="5" borderId="39" xfId="0" applyNumberFormat="1" applyFont="1" applyFill="1" applyBorder="1" applyAlignment="1" applyProtection="1">
      <alignment horizontal="left"/>
      <protection hidden="1"/>
    </xf>
    <xf numFmtId="1" fontId="25" fillId="6" borderId="31" xfId="0" applyNumberFormat="1" applyFont="1" applyFill="1" applyBorder="1" applyAlignment="1" applyProtection="1">
      <alignment horizontal="center"/>
      <protection hidden="1"/>
    </xf>
    <xf numFmtId="1" fontId="25" fillId="6" borderId="23" xfId="0" applyNumberFormat="1" applyFont="1" applyFill="1" applyBorder="1" applyAlignment="1" applyProtection="1">
      <alignment horizontal="center"/>
      <protection hidden="1"/>
    </xf>
    <xf numFmtId="1" fontId="25" fillId="6" borderId="31" xfId="0" applyNumberFormat="1" applyFont="1" applyFill="1" applyBorder="1" applyAlignment="1" applyProtection="1">
      <alignment horizontal="center" wrapText="1"/>
      <protection hidden="1"/>
    </xf>
    <xf numFmtId="1" fontId="25" fillId="6" borderId="23" xfId="0" applyNumberFormat="1" applyFont="1" applyFill="1" applyBorder="1" applyAlignment="1" applyProtection="1">
      <alignment horizontal="center" wrapText="1"/>
      <protection hidden="1"/>
    </xf>
    <xf numFmtId="1" fontId="24" fillId="8" borderId="8" xfId="0" applyNumberFormat="1" applyFont="1" applyFill="1" applyBorder="1" applyAlignment="1" applyProtection="1">
      <alignment horizontal="left"/>
      <protection hidden="1"/>
    </xf>
    <xf numFmtId="1" fontId="24" fillId="8" borderId="38" xfId="0" applyNumberFormat="1" applyFont="1" applyFill="1" applyBorder="1" applyAlignment="1" applyProtection="1">
      <alignment horizontal="center"/>
      <protection hidden="1"/>
    </xf>
    <xf numFmtId="1" fontId="24" fillId="8" borderId="39" xfId="0" applyNumberFormat="1" applyFont="1" applyFill="1" applyBorder="1" applyAlignment="1" applyProtection="1">
      <alignment horizontal="center"/>
      <protection hidden="1"/>
    </xf>
    <xf numFmtId="1" fontId="28" fillId="0" borderId="32" xfId="0" applyNumberFormat="1" applyFont="1" applyBorder="1" applyAlignment="1" applyProtection="1">
      <alignment horizontal="center"/>
      <protection hidden="1"/>
    </xf>
    <xf numFmtId="1" fontId="28" fillId="0" borderId="39" xfId="0" applyNumberFormat="1" applyFont="1" applyBorder="1" applyAlignment="1" applyProtection="1">
      <alignment horizontal="center"/>
      <protection hidden="1"/>
    </xf>
    <xf numFmtId="1" fontId="28" fillId="0" borderId="38" xfId="0" applyNumberFormat="1" applyFont="1" applyBorder="1" applyAlignment="1" applyProtection="1">
      <alignment horizontal="center"/>
      <protection hidden="1"/>
    </xf>
    <xf numFmtId="1" fontId="25" fillId="6" borderId="31" xfId="0" applyNumberFormat="1" applyFont="1" applyFill="1" applyBorder="1" applyAlignment="1" applyProtection="1">
      <alignment horizontal="center" vertical="center"/>
      <protection hidden="1"/>
    </xf>
    <xf numFmtId="1" fontId="25" fillId="6" borderId="23" xfId="0" applyNumberFormat="1" applyFont="1" applyFill="1" applyBorder="1" applyAlignment="1" applyProtection="1">
      <alignment horizontal="center" vertical="center"/>
      <protection hidden="1"/>
    </xf>
    <xf numFmtId="1" fontId="25" fillId="6" borderId="31" xfId="0" applyNumberFormat="1" applyFont="1" applyFill="1" applyBorder="1" applyAlignment="1" applyProtection="1">
      <alignment horizontal="center" vertical="center" wrapText="1"/>
      <protection hidden="1"/>
    </xf>
    <xf numFmtId="1" fontId="25" fillId="6" borderId="23" xfId="0" applyNumberFormat="1" applyFont="1" applyFill="1" applyBorder="1" applyAlignment="1" applyProtection="1">
      <alignment horizontal="center" vertical="center" wrapText="1"/>
      <protection hidden="1"/>
    </xf>
    <xf numFmtId="1" fontId="66" fillId="7" borderId="8" xfId="0" applyNumberFormat="1" applyFont="1" applyFill="1" applyBorder="1" applyAlignment="1" applyProtection="1">
      <alignment horizontal="center" vertical="center" wrapText="1"/>
      <protection hidden="1"/>
    </xf>
    <xf numFmtId="0" fontId="66" fillId="7" borderId="8" xfId="0" applyNumberFormat="1" applyFont="1" applyFill="1" applyBorder="1" applyAlignment="1" applyProtection="1">
      <alignment horizontal="center" vertical="center" wrapText="1"/>
      <protection hidden="1"/>
    </xf>
    <xf numFmtId="1" fontId="66" fillId="7" borderId="10" xfId="0" applyNumberFormat="1" applyFont="1" applyFill="1" applyBorder="1" applyAlignment="1" applyProtection="1">
      <alignment horizontal="center" vertical="center"/>
      <protection hidden="1"/>
    </xf>
    <xf numFmtId="1" fontId="29" fillId="10" borderId="25" xfId="0" applyNumberFormat="1" applyFont="1" applyFill="1" applyBorder="1" applyAlignment="1" applyProtection="1">
      <alignment horizontal="center" vertical="center" wrapText="1"/>
      <protection hidden="1"/>
    </xf>
    <xf numFmtId="0" fontId="12" fillId="2" borderId="30" xfId="0" applyFont="1" applyFill="1" applyBorder="1" applyAlignment="1" applyProtection="1">
      <alignment horizontal="left" vertical="center"/>
      <protection hidden="1"/>
    </xf>
    <xf numFmtId="0" fontId="29" fillId="10" borderId="24" xfId="0" applyFont="1" applyFill="1" applyBorder="1" applyAlignment="1" applyProtection="1">
      <alignment horizontal="center" vertical="center"/>
      <protection hidden="1"/>
    </xf>
    <xf numFmtId="0" fontId="29" fillId="10" borderId="24" xfId="0" applyFont="1" applyFill="1" applyBorder="1" applyAlignment="1" applyProtection="1">
      <alignment horizontal="center" vertical="center" wrapText="1"/>
      <protection hidden="1"/>
    </xf>
    <xf numFmtId="0" fontId="29" fillId="10" borderId="25" xfId="0" applyFont="1" applyFill="1" applyBorder="1" applyAlignment="1" applyProtection="1">
      <alignment horizontal="center" vertical="center" wrapText="1"/>
      <protection hidden="1"/>
    </xf>
    <xf numFmtId="0" fontId="12" fillId="2" borderId="0" xfId="0" applyFont="1" applyFill="1" applyBorder="1" applyAlignment="1" applyProtection="1">
      <alignment horizontal="left" vertical="center"/>
      <protection hidden="1"/>
    </xf>
    <xf numFmtId="0" fontId="41" fillId="2" borderId="18" xfId="0" applyFont="1" applyFill="1" applyBorder="1" applyAlignment="1" applyProtection="1">
      <alignment horizontal="left"/>
      <protection hidden="1"/>
    </xf>
    <xf numFmtId="49" fontId="18" fillId="2" borderId="9" xfId="0" applyNumberFormat="1" applyFont="1" applyFill="1" applyBorder="1" applyAlignment="1" applyProtection="1">
      <alignment horizontal="left"/>
      <protection hidden="1"/>
    </xf>
    <xf numFmtId="1" fontId="12" fillId="2" borderId="0" xfId="0" applyNumberFormat="1" applyFont="1" applyFill="1" applyBorder="1" applyAlignment="1" applyProtection="1">
      <alignment horizontal="left"/>
      <protection hidden="1"/>
    </xf>
    <xf numFmtId="0" fontId="21" fillId="2" borderId="0" xfId="0" applyFont="1" applyFill="1" applyBorder="1" applyAlignment="1" applyProtection="1">
      <alignment horizontal="left" vertical="center"/>
      <protection hidden="1"/>
    </xf>
    <xf numFmtId="0" fontId="34" fillId="0" borderId="0" xfId="0" applyFont="1" applyAlignment="1">
      <alignment horizontal="center"/>
    </xf>
    <xf numFmtId="0" fontId="0" fillId="19" borderId="0" xfId="0" applyFill="1" applyProtection="1">
      <protection locked="0"/>
    </xf>
    <xf numFmtId="0" fontId="12" fillId="0" borderId="46" xfId="0" applyFont="1" applyBorder="1" applyAlignment="1" applyProtection="1">
      <alignment horizontal="center"/>
      <protection locked="0"/>
    </xf>
    <xf numFmtId="0" fontId="12" fillId="0" borderId="47" xfId="0" applyFont="1" applyBorder="1" applyAlignment="1" applyProtection="1">
      <alignment horizontal="center"/>
      <protection locked="0"/>
    </xf>
    <xf numFmtId="1" fontId="41" fillId="16" borderId="0" xfId="3" applyNumberFormat="1" applyFont="1" applyFill="1" applyAlignment="1" applyProtection="1">
      <protection locked="0"/>
    </xf>
    <xf numFmtId="1" fontId="41" fillId="16" borderId="0" xfId="3" applyNumberFormat="1" applyFont="1" applyFill="1" applyProtection="1">
      <protection locked="0"/>
    </xf>
    <xf numFmtId="1" fontId="41" fillId="16" borderId="0" xfId="3" applyNumberFormat="1" applyFont="1" applyFill="1" applyAlignment="1" applyProtection="1">
      <alignment horizontal="center"/>
      <protection locked="0"/>
    </xf>
    <xf numFmtId="1" fontId="18" fillId="0" borderId="44" xfId="3" applyNumberFormat="1" applyFont="1" applyBorder="1" applyAlignment="1" applyProtection="1">
      <alignment horizontal="center"/>
      <protection locked="0"/>
    </xf>
    <xf numFmtId="1" fontId="12" fillId="0" borderId="44" xfId="3" applyNumberFormat="1" applyFont="1" applyBorder="1" applyProtection="1">
      <protection locked="0"/>
    </xf>
    <xf numFmtId="1" fontId="18" fillId="16" borderId="44" xfId="3" applyNumberFormat="1" applyFont="1" applyFill="1" applyBorder="1" applyAlignment="1" applyProtection="1">
      <alignment horizontal="center"/>
      <protection locked="0"/>
    </xf>
    <xf numFmtId="1" fontId="53" fillId="16" borderId="44" xfId="3" applyNumberFormat="1" applyFill="1" applyBorder="1" applyProtection="1">
      <protection locked="0"/>
    </xf>
  </cellXfs>
  <cellStyles count="5">
    <cellStyle name="Hyperlink" xfId="2" builtinId="8"/>
    <cellStyle name="Normal" xfId="0" builtinId="0"/>
    <cellStyle name="Normal 2" xfId="3" xr:uid="{EB558190-DBAB-4CBB-AE08-D53F6406FE53}"/>
    <cellStyle name="Percent" xfId="1" builtinId="5"/>
    <cellStyle name="Percent 2" xfId="4" xr:uid="{15E45655-95B2-432F-99F1-E23FDACA78F2}"/>
  </cellStyles>
  <dxfs count="225"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rgb="FFFFFFCC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9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6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7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8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6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7" tint="0.7999816888943144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7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7" tint="0.7999816888943144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9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rgb="FFFFFFCC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9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6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7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8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6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7" tint="0.7999816888943144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563C1"/>
        <name val="Meiryo"/>
        <family val="2"/>
        <charset val="1"/>
        <scheme val="none"/>
      </font>
      <fill>
        <patternFill patternType="solid">
          <fgColor rgb="FFF2F2F2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</border>
      <protection locked="0" hidden="0"/>
    </dxf>
    <dxf>
      <border diagonalUp="0" diagonalDown="0">
        <left/>
        <right style="thin">
          <color auto="1"/>
        </right>
        <top/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563C1"/>
        <name val="Meiryo"/>
        <family val="2"/>
        <charset val="1"/>
        <scheme val="none"/>
      </font>
      <fill>
        <patternFill patternType="solid">
          <fgColor rgb="FFF2F2F2"/>
          <bgColor theme="0"/>
        </patternFill>
      </fill>
      <alignment horizontal="left" vertical="center" textRotation="0" wrapText="0" indent="0" justifyLastLine="0" shrinkToFit="0" readingOrder="0"/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Meiryo"/>
        <family val="2"/>
        <scheme val="none"/>
      </font>
      <fill>
        <patternFill patternType="solid">
          <fgColor rgb="FFF2F2F2"/>
          <bgColor rgb="FFFFF2CC"/>
        </patternFill>
      </fill>
      <alignment horizontal="center" vertical="bottom" textRotation="0" wrapText="0" indent="0" justifyLastLine="0" shrinkToFit="0" readingOrder="0"/>
      <protection locked="1" hidden="1"/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CC00"/>
      <rgbColor rgb="FF0000FF"/>
      <rgbColor rgb="FFFFFF00"/>
      <rgbColor rgb="FFFF00CC"/>
      <rgbColor rgb="FF00FFFF"/>
      <rgbColor rgb="FFC00000"/>
      <rgbColor rgb="FF008000"/>
      <rgbColor rgb="FF000080"/>
      <rgbColor rgb="FF996600"/>
      <rgbColor rgb="FF800080"/>
      <rgbColor rgb="FF008080"/>
      <rgbColor rgb="FFCCCCCC"/>
      <rgbColor rgb="FF808080"/>
      <rgbColor rgb="FF9999FF"/>
      <rgbColor rgb="FFFF0066"/>
      <rgbColor rgb="FFFFF2CC"/>
      <rgbColor rgb="FFEEEEEE"/>
      <rgbColor rgb="FF660066"/>
      <rgbColor rgb="FFFF8080"/>
      <rgbColor rgb="FF0563C1"/>
      <rgbColor rgb="FFD9D9D9"/>
      <rgbColor rgb="FF000080"/>
      <rgbColor rgb="FFFF33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DDDDDD"/>
      <rgbColor rgb="FFFFFF99"/>
      <rgbColor rgb="FF66FFFF"/>
      <rgbColor rgb="FFFF99CC"/>
      <rgbColor rgb="FFCC99FF"/>
      <rgbColor rgb="FFFFCC99"/>
      <rgbColor rgb="FF3366FF"/>
      <rgbColor rgb="FF33CCCC"/>
      <rgbColor rgb="FF99CC00"/>
      <rgbColor rgb="FFFFCC00"/>
      <rgbColor rgb="FFCC9900"/>
      <rgbColor rgb="FFFF6600"/>
      <rgbColor rgb="FF666699"/>
      <rgbColor rgb="FFA3C681"/>
      <rgbColor rgb="FF003366"/>
      <rgbColor rgb="FF339966"/>
      <rgbColor rgb="FF003300"/>
      <rgbColor rgb="FF333300"/>
      <rgbColor rgb="FF8060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2CC"/>
      <color rgb="FF806000"/>
      <color rgb="FF95B3D7"/>
      <color rgb="FF0563C1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bunma\Desktop\ansasco_logo_.jp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603250</xdr:colOff>
          <xdr:row>2</xdr:row>
          <xdr:rowOff>12700</xdr:rowOff>
        </xdr:from>
        <xdr:to>
          <xdr:col>1</xdr:col>
          <xdr:colOff>1993900</xdr:colOff>
          <xdr:row>4</xdr:row>
          <xdr:rowOff>165100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Enter Student Marks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241300</xdr:colOff>
          <xdr:row>3</xdr:row>
          <xdr:rowOff>95250</xdr:rowOff>
        </xdr:from>
        <xdr:to>
          <xdr:col>1</xdr:col>
          <xdr:colOff>2336800</xdr:colOff>
          <xdr:row>5</xdr:row>
          <xdr:rowOff>247650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Enter Student Marks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273050</xdr:colOff>
          <xdr:row>7</xdr:row>
          <xdr:rowOff>215900</xdr:rowOff>
        </xdr:from>
        <xdr:to>
          <xdr:col>23</xdr:col>
          <xdr:colOff>387350</xdr:colOff>
          <xdr:row>9</xdr:row>
          <xdr:rowOff>171450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4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ALL REPORT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260350</xdr:colOff>
          <xdr:row>10</xdr:row>
          <xdr:rowOff>165100</xdr:rowOff>
        </xdr:from>
        <xdr:to>
          <xdr:col>23</xdr:col>
          <xdr:colOff>393700</xdr:colOff>
          <xdr:row>12</xdr:row>
          <xdr:rowOff>38100</xdr:rowOff>
        </xdr:to>
        <xdr:sp macro="" textlink="">
          <xdr:nvSpPr>
            <xdr:cNvPr id="1041" name="StopBtn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4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STOP PRINTING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279400</xdr:colOff>
          <xdr:row>5</xdr:row>
          <xdr:rowOff>107950</xdr:rowOff>
        </xdr:from>
        <xdr:to>
          <xdr:col>23</xdr:col>
          <xdr:colOff>393700</xdr:colOff>
          <xdr:row>7</xdr:row>
          <xdr:rowOff>12700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4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UPLOAD LOGO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210486</xdr:colOff>
      <xdr:row>4</xdr:row>
      <xdr:rowOff>2342</xdr:rowOff>
    </xdr:from>
    <xdr:to>
      <xdr:col>11</xdr:col>
      <xdr:colOff>1698341</xdr:colOff>
      <xdr:row>10</xdr:row>
      <xdr:rowOff>136343</xdr:rowOff>
    </xdr:to>
    <xdr:pic>
      <xdr:nvPicPr>
        <xdr:cNvPr id="7" name="LogoPlaceholder">
          <a:extLst>
            <a:ext uri="{FF2B5EF4-FFF2-40B4-BE49-F238E27FC236}">
              <a16:creationId xmlns:a16="http://schemas.microsoft.com/office/drawing/2014/main" id="{67A59F17-CA73-40A6-9E96-2C2D4CC8C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230411" y="650042"/>
          <a:ext cx="1487855" cy="156275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C94CA0A-ACA2-48DB-AE12-79F21E9406C6}" name="Subjects" displayName="Subjects" ref="O13:O22" totalsRowShown="0" headerRowDxfId="224" dataDxfId="222" headerRowBorderDxfId="223" tableBorderDxfId="221">
  <autoFilter ref="O13:O22" xr:uid="{DF993D35-D655-4D3D-A711-3257DAAC7BEC}"/>
  <tableColumns count="1">
    <tableColumn id="1" xr3:uid="{377E054D-EBEC-440A-B22B-3A5B49DA24B9}" name="Subject Name" dataDxfId="22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70"/>
  <sheetViews>
    <sheetView tabSelected="1" zoomScale="57" zoomScaleNormal="57" workbookViewId="0">
      <selection activeCell="C6" sqref="C6"/>
    </sheetView>
  </sheetViews>
  <sheetFormatPr defaultRowHeight="12.5"/>
  <cols>
    <col min="1" max="1" width="2.1796875" style="201" customWidth="1"/>
    <col min="2" max="2" width="29.453125" style="201" customWidth="1"/>
    <col min="3" max="3" width="52.54296875" style="201" bestFit="1" customWidth="1"/>
    <col min="4" max="4" width="15.6328125" style="201" bestFit="1" customWidth="1"/>
    <col min="5" max="5" width="8.6328125" style="201" customWidth="1"/>
    <col min="6" max="6" width="6.54296875" style="201" customWidth="1"/>
    <col min="7" max="7" width="31.54296875" style="201" customWidth="1"/>
    <col min="8" max="8" width="16.90625" style="201" bestFit="1" customWidth="1"/>
    <col min="9" max="9" width="25.6328125" style="201" customWidth="1"/>
    <col min="10" max="10" width="8.08984375" style="201" customWidth="1"/>
    <col min="11" max="11" width="51.81640625" style="201" customWidth="1"/>
    <col min="12" max="12" width="53.7265625" style="201" customWidth="1"/>
    <col min="13" max="13" width="3.36328125" style="201" customWidth="1"/>
    <col min="14" max="14" width="4.1796875" style="201" customWidth="1"/>
    <col min="15" max="15" width="26.08984375" style="201" customWidth="1"/>
    <col min="16" max="16" width="31" style="201" customWidth="1"/>
    <col min="17" max="17" width="21.81640625" style="201" customWidth="1"/>
    <col min="18" max="16384" width="8.7265625" style="201"/>
  </cols>
  <sheetData>
    <row r="1" spans="1:18" ht="28.9" customHeight="1">
      <c r="A1" s="155"/>
      <c r="B1" s="238" t="s">
        <v>0</v>
      </c>
      <c r="C1" s="239"/>
      <c r="D1" s="239"/>
      <c r="E1" s="239"/>
      <c r="F1" s="239"/>
      <c r="G1" s="239"/>
      <c r="H1" s="239"/>
      <c r="I1" s="239"/>
      <c r="J1" s="239"/>
      <c r="K1" s="239"/>
      <c r="L1" s="239"/>
      <c r="M1" s="239"/>
      <c r="N1" s="239"/>
      <c r="O1" s="239"/>
      <c r="P1" s="239"/>
      <c r="Q1" s="239"/>
      <c r="R1" s="158"/>
    </row>
    <row r="2" spans="1:18" ht="28.9" customHeight="1">
      <c r="A2" s="156"/>
      <c r="B2" s="240" t="s">
        <v>346</v>
      </c>
      <c r="C2" s="241"/>
      <c r="D2" s="241"/>
      <c r="E2" s="241"/>
      <c r="F2" s="241"/>
      <c r="G2" s="241"/>
      <c r="H2" s="241"/>
      <c r="I2" s="241"/>
      <c r="J2" s="241"/>
      <c r="K2" s="241"/>
      <c r="L2" s="241"/>
      <c r="M2" s="241"/>
      <c r="N2" s="241"/>
      <c r="O2" s="241"/>
      <c r="P2" s="241"/>
      <c r="Q2" s="241"/>
      <c r="R2" s="158"/>
    </row>
    <row r="3" spans="1:18" ht="28.9" customHeight="1">
      <c r="A3" s="156"/>
      <c r="B3" s="160" t="s">
        <v>308</v>
      </c>
      <c r="C3" s="161"/>
      <c r="D3" s="158"/>
      <c r="E3" s="159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8"/>
      <c r="R3" s="158"/>
    </row>
    <row r="4" spans="1:18" ht="28.9" customHeight="1">
      <c r="A4" s="156"/>
      <c r="B4" s="219" t="s">
        <v>351</v>
      </c>
      <c r="C4" s="162"/>
      <c r="D4" s="158"/>
      <c r="E4" s="162"/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</row>
    <row r="5" spans="1:18" ht="28.9" customHeight="1">
      <c r="A5" s="156"/>
      <c r="B5" s="219" t="s">
        <v>347</v>
      </c>
      <c r="C5" s="162"/>
      <c r="D5" s="159"/>
      <c r="E5" s="162"/>
      <c r="F5" s="158"/>
      <c r="G5" s="158"/>
      <c r="H5" s="158"/>
      <c r="I5" s="158"/>
      <c r="J5" s="158"/>
      <c r="K5" s="158"/>
      <c r="L5" s="158"/>
      <c r="M5" s="158"/>
      <c r="N5" s="158"/>
      <c r="O5" s="158"/>
      <c r="P5" s="158"/>
      <c r="Q5" s="158"/>
      <c r="R5" s="158"/>
    </row>
    <row r="6" spans="1:18" ht="28.9" customHeight="1">
      <c r="A6" s="156"/>
      <c r="B6" s="219" t="s">
        <v>348</v>
      </c>
      <c r="C6" s="162"/>
      <c r="D6" s="162"/>
      <c r="E6" s="162"/>
      <c r="F6" s="158"/>
      <c r="G6" s="158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</row>
    <row r="7" spans="1:18" ht="28.9" customHeight="1">
      <c r="A7" s="156"/>
      <c r="B7" s="219" t="s">
        <v>349</v>
      </c>
      <c r="C7" s="162"/>
      <c r="D7" s="162"/>
      <c r="E7" s="162"/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</row>
    <row r="8" spans="1:18" ht="28.9" customHeight="1">
      <c r="A8" s="156"/>
      <c r="B8" s="219" t="s">
        <v>350</v>
      </c>
      <c r="C8" s="162"/>
      <c r="D8" s="162"/>
      <c r="E8" s="162"/>
      <c r="F8" s="158"/>
      <c r="G8" s="158"/>
      <c r="H8" s="158"/>
      <c r="I8" s="158"/>
      <c r="J8" s="158"/>
      <c r="K8" s="158"/>
      <c r="L8" s="158"/>
      <c r="M8" s="158"/>
      <c r="N8" s="158"/>
      <c r="O8" s="158"/>
      <c r="P8" s="158"/>
      <c r="Q8" s="158"/>
      <c r="R8" s="158"/>
    </row>
    <row r="9" spans="1:18" ht="28.9" customHeight="1">
      <c r="A9" s="156"/>
      <c r="B9" s="158"/>
      <c r="C9" s="162"/>
      <c r="D9" s="162"/>
      <c r="E9" s="162"/>
      <c r="F9" s="158"/>
      <c r="G9" s="158"/>
      <c r="H9" s="158"/>
      <c r="I9" s="158"/>
      <c r="J9" s="158"/>
      <c r="K9" s="158"/>
      <c r="L9" s="158"/>
      <c r="M9" s="158"/>
      <c r="N9" s="158"/>
      <c r="O9" s="158"/>
      <c r="P9" s="158"/>
      <c r="Q9" s="158"/>
      <c r="R9" s="158"/>
    </row>
    <row r="10" spans="1:18" ht="28.9" customHeight="1">
      <c r="A10" s="156"/>
      <c r="B10" s="216" t="s">
        <v>1</v>
      </c>
      <c r="C10" s="163"/>
      <c r="D10" s="163"/>
      <c r="E10" s="163"/>
      <c r="F10" s="199"/>
      <c r="G10" s="217" t="s">
        <v>2</v>
      </c>
      <c r="H10" s="163"/>
      <c r="I10" s="163"/>
      <c r="J10" s="158"/>
      <c r="K10" s="217" t="s">
        <v>352</v>
      </c>
      <c r="L10" s="158"/>
      <c r="M10" s="158"/>
      <c r="N10" s="158"/>
      <c r="O10" s="218" t="s">
        <v>304</v>
      </c>
      <c r="P10" s="176"/>
      <c r="Q10" s="157"/>
      <c r="R10" s="158"/>
    </row>
    <row r="11" spans="1:18" ht="28.9" customHeight="1">
      <c r="A11" s="156"/>
      <c r="B11" s="164"/>
      <c r="C11" s="163"/>
      <c r="D11" s="163"/>
      <c r="E11" s="163"/>
      <c r="F11" s="199"/>
      <c r="G11" s="158"/>
      <c r="H11" s="158"/>
      <c r="I11" s="158"/>
      <c r="J11" s="158"/>
      <c r="K11" s="208" t="s">
        <v>3</v>
      </c>
      <c r="L11" s="167"/>
      <c r="M11" s="158"/>
      <c r="N11" s="158"/>
      <c r="O11" s="233" t="s">
        <v>309</v>
      </c>
      <c r="P11" s="157"/>
      <c r="Q11" s="157"/>
      <c r="R11" s="158"/>
    </row>
    <row r="12" spans="1:18" ht="28.9" customHeight="1">
      <c r="A12" s="156"/>
      <c r="B12" s="215" t="s">
        <v>354</v>
      </c>
      <c r="C12" s="245"/>
      <c r="D12" s="245"/>
      <c r="E12" s="158"/>
      <c r="F12" s="199"/>
      <c r="G12" s="212" t="s">
        <v>342</v>
      </c>
      <c r="H12" s="243"/>
      <c r="I12" s="243"/>
      <c r="J12" s="158"/>
      <c r="K12" s="168"/>
      <c r="L12" s="169"/>
      <c r="M12" s="158"/>
      <c r="N12" s="158"/>
      <c r="O12" s="157"/>
      <c r="P12" s="157"/>
      <c r="Q12" s="157"/>
      <c r="R12" s="158"/>
    </row>
    <row r="13" spans="1:18" ht="28.9" customHeight="1">
      <c r="A13" s="156"/>
      <c r="B13" s="215" t="s">
        <v>355</v>
      </c>
      <c r="C13" s="245"/>
      <c r="D13" s="245"/>
      <c r="E13" s="158"/>
      <c r="F13" s="199"/>
      <c r="G13" s="212" t="s">
        <v>343</v>
      </c>
      <c r="H13" s="243"/>
      <c r="I13" s="243"/>
      <c r="J13" s="158"/>
      <c r="K13" s="235" t="s">
        <v>4</v>
      </c>
      <c r="L13" s="235" t="s">
        <v>5</v>
      </c>
      <c r="M13" s="158"/>
      <c r="N13" s="158"/>
      <c r="O13" s="236" t="s">
        <v>6</v>
      </c>
      <c r="P13" s="237" t="s">
        <v>310</v>
      </c>
      <c r="Q13" s="177"/>
      <c r="R13" s="158"/>
    </row>
    <row r="14" spans="1:18" ht="28.9" customHeight="1">
      <c r="A14" s="156"/>
      <c r="B14" s="215" t="s">
        <v>356</v>
      </c>
      <c r="C14" s="245"/>
      <c r="D14" s="245"/>
      <c r="E14" s="158"/>
      <c r="F14" s="199"/>
      <c r="G14" s="212" t="s">
        <v>344</v>
      </c>
      <c r="H14" s="243"/>
      <c r="I14" s="243"/>
      <c r="J14" s="158"/>
      <c r="K14" s="171" t="s">
        <v>321</v>
      </c>
      <c r="L14" s="150"/>
      <c r="M14" s="158"/>
      <c r="N14" s="158"/>
      <c r="O14" s="196" t="s">
        <v>361</v>
      </c>
      <c r="P14" s="246"/>
      <c r="Q14" s="246"/>
      <c r="R14" s="158"/>
    </row>
    <row r="15" spans="1:18" ht="28.9" customHeight="1">
      <c r="A15" s="156"/>
      <c r="B15" s="215" t="s">
        <v>357</v>
      </c>
      <c r="C15" s="245"/>
      <c r="D15" s="245"/>
      <c r="E15" s="158"/>
      <c r="F15" s="199"/>
      <c r="G15" s="209"/>
      <c r="H15" s="209"/>
      <c r="I15" s="158"/>
      <c r="J15" s="158"/>
      <c r="K15" s="171" t="s">
        <v>322</v>
      </c>
      <c r="L15" s="150"/>
      <c r="M15" s="158"/>
      <c r="N15" s="158"/>
      <c r="O15" s="196" t="s">
        <v>362</v>
      </c>
      <c r="P15" s="246"/>
      <c r="Q15" s="246"/>
      <c r="R15" s="158"/>
    </row>
    <row r="16" spans="1:18" ht="28.9" customHeight="1">
      <c r="A16" s="156"/>
      <c r="B16" s="215" t="s">
        <v>358</v>
      </c>
      <c r="C16" s="245"/>
      <c r="D16" s="245"/>
      <c r="E16" s="158"/>
      <c r="F16" s="199"/>
      <c r="G16" s="232" t="s">
        <v>328</v>
      </c>
      <c r="H16" s="210"/>
      <c r="I16" s="211"/>
      <c r="J16" s="158"/>
      <c r="K16" s="171" t="s">
        <v>323</v>
      </c>
      <c r="L16" s="150"/>
      <c r="M16" s="158"/>
      <c r="N16" s="158"/>
      <c r="O16" s="196" t="s">
        <v>363</v>
      </c>
      <c r="P16" s="246"/>
      <c r="Q16" s="246"/>
      <c r="R16" s="158"/>
    </row>
    <row r="17" spans="1:23" ht="28.9" customHeight="1">
      <c r="A17" s="156"/>
      <c r="B17" s="158"/>
      <c r="C17" s="163"/>
      <c r="D17" s="163"/>
      <c r="E17" s="163"/>
      <c r="F17" s="199"/>
      <c r="G17" s="212" t="s">
        <v>329</v>
      </c>
      <c r="H17" s="243"/>
      <c r="I17" s="243"/>
      <c r="J17" s="158"/>
      <c r="K17" s="171" t="s">
        <v>324</v>
      </c>
      <c r="L17" s="150"/>
      <c r="M17" s="158"/>
      <c r="N17" s="158"/>
      <c r="O17" s="196" t="s">
        <v>364</v>
      </c>
      <c r="P17" s="246"/>
      <c r="Q17" s="246"/>
      <c r="R17" s="158"/>
    </row>
    <row r="18" spans="1:23" ht="28.9" customHeight="1">
      <c r="A18" s="156"/>
      <c r="B18" s="158"/>
      <c r="C18" s="158"/>
      <c r="D18" s="158"/>
      <c r="E18" s="163"/>
      <c r="F18" s="199"/>
      <c r="G18" s="212" t="s">
        <v>330</v>
      </c>
      <c r="H18" s="242"/>
      <c r="I18" s="242"/>
      <c r="J18" s="158"/>
      <c r="K18" s="172" t="s">
        <v>327</v>
      </c>
      <c r="L18" s="151"/>
      <c r="M18" s="158"/>
      <c r="N18" s="158"/>
      <c r="O18" s="196" t="s">
        <v>365</v>
      </c>
      <c r="P18" s="246"/>
      <c r="Q18" s="246"/>
      <c r="R18" s="158"/>
    </row>
    <row r="19" spans="1:23" ht="28.9" customHeight="1">
      <c r="A19" s="156"/>
      <c r="B19" s="158"/>
      <c r="C19" s="158"/>
      <c r="D19" s="158"/>
      <c r="E19" s="165"/>
      <c r="F19" s="199"/>
      <c r="G19" s="212" t="s">
        <v>331</v>
      </c>
      <c r="H19" s="242"/>
      <c r="I19" s="242"/>
      <c r="J19" s="158"/>
      <c r="K19" s="171" t="s">
        <v>325</v>
      </c>
      <c r="L19" s="150"/>
      <c r="M19" s="158"/>
      <c r="N19" s="158"/>
      <c r="O19" s="196" t="s">
        <v>366</v>
      </c>
      <c r="P19" s="246"/>
      <c r="Q19" s="246"/>
      <c r="R19" s="158"/>
    </row>
    <row r="20" spans="1:23" ht="28.9" customHeight="1">
      <c r="A20" s="156"/>
      <c r="B20" s="158"/>
      <c r="C20" s="244"/>
      <c r="D20" s="244"/>
      <c r="E20" s="244"/>
      <c r="F20" s="244"/>
      <c r="G20" s="158"/>
      <c r="H20" s="158"/>
      <c r="I20" s="158"/>
      <c r="J20" s="158"/>
      <c r="K20" s="173" t="s">
        <v>326</v>
      </c>
      <c r="L20" s="151"/>
      <c r="M20" s="158"/>
      <c r="N20" s="158"/>
      <c r="O20" s="196" t="s">
        <v>367</v>
      </c>
      <c r="P20" s="246"/>
      <c r="Q20" s="246"/>
      <c r="R20" s="158"/>
    </row>
    <row r="21" spans="1:23" ht="28.9" customHeight="1">
      <c r="A21" s="156"/>
      <c r="B21" s="158"/>
      <c r="C21" s="250"/>
      <c r="D21" s="250"/>
      <c r="E21" s="250"/>
      <c r="F21" s="250"/>
      <c r="G21" s="158"/>
      <c r="H21" s="158"/>
      <c r="I21" s="158"/>
      <c r="J21" s="158"/>
      <c r="K21" s="171" t="s">
        <v>353</v>
      </c>
      <c r="L21" s="152"/>
      <c r="M21" s="158"/>
      <c r="N21" s="158"/>
      <c r="O21" s="196" t="s">
        <v>368</v>
      </c>
      <c r="P21" s="246"/>
      <c r="Q21" s="246"/>
      <c r="R21" s="158"/>
    </row>
    <row r="22" spans="1:23" ht="28.9" customHeight="1">
      <c r="A22" s="156"/>
      <c r="B22" s="166"/>
      <c r="C22" s="251"/>
      <c r="D22" s="251"/>
      <c r="E22" s="251"/>
      <c r="F22" s="251"/>
      <c r="G22" s="158"/>
      <c r="H22" s="158"/>
      <c r="I22" s="158"/>
      <c r="J22" s="158"/>
      <c r="K22" s="213" t="s">
        <v>9</v>
      </c>
      <c r="L22" s="174"/>
      <c r="M22" s="158"/>
      <c r="N22" s="158"/>
      <c r="O22" s="197" t="s">
        <v>369</v>
      </c>
      <c r="P22" s="246"/>
      <c r="Q22" s="246"/>
      <c r="R22" s="158"/>
    </row>
    <row r="23" spans="1:23" ht="28.9" customHeight="1">
      <c r="A23" s="156"/>
      <c r="B23" s="244" t="s">
        <v>305</v>
      </c>
      <c r="C23" s="244"/>
      <c r="D23" s="244"/>
      <c r="E23" s="244"/>
      <c r="F23" s="158"/>
      <c r="G23" s="158"/>
      <c r="H23" s="158"/>
      <c r="I23" s="158"/>
      <c r="J23" s="158"/>
      <c r="K23" s="214" t="s">
        <v>8</v>
      </c>
      <c r="L23" s="175"/>
      <c r="M23" s="158"/>
      <c r="N23" s="158"/>
      <c r="O23" s="196"/>
      <c r="P23" s="252"/>
      <c r="Q23" s="253"/>
      <c r="R23" s="158"/>
    </row>
    <row r="24" spans="1:23" ht="28.9" customHeight="1">
      <c r="A24" s="156"/>
      <c r="B24" s="250" t="s">
        <v>306</v>
      </c>
      <c r="C24" s="250"/>
      <c r="D24" s="250"/>
      <c r="E24" s="250"/>
      <c r="F24" s="158"/>
      <c r="G24" s="158"/>
      <c r="H24" s="158"/>
      <c r="I24" s="158"/>
      <c r="J24" s="158"/>
      <c r="K24" s="158"/>
      <c r="L24" s="158"/>
      <c r="M24" s="158"/>
      <c r="N24" s="158"/>
      <c r="O24" s="196"/>
      <c r="P24" s="252"/>
      <c r="Q24" s="253"/>
      <c r="R24" s="158"/>
    </row>
    <row r="25" spans="1:23" ht="28.9" customHeight="1">
      <c r="A25" s="156"/>
      <c r="B25" s="251" t="s">
        <v>307</v>
      </c>
      <c r="C25" s="251"/>
      <c r="D25" s="251"/>
      <c r="E25" s="251"/>
      <c r="F25" s="158"/>
      <c r="G25" s="158"/>
      <c r="H25" s="158"/>
      <c r="I25" s="158"/>
      <c r="J25" s="158"/>
      <c r="K25" s="158"/>
      <c r="L25" s="200"/>
      <c r="M25" s="158"/>
      <c r="N25" s="158"/>
      <c r="O25" s="196"/>
      <c r="P25" s="252"/>
      <c r="Q25" s="253"/>
      <c r="R25" s="158"/>
    </row>
    <row r="26" spans="1:23" ht="28.9" customHeight="1">
      <c r="A26" s="156"/>
      <c r="B26" s="158"/>
      <c r="C26" s="158"/>
      <c r="D26" s="158"/>
      <c r="E26" s="170"/>
      <c r="F26" s="158"/>
      <c r="G26" s="158"/>
      <c r="H26" s="158"/>
      <c r="I26" s="158"/>
      <c r="J26" s="158"/>
      <c r="K26" s="158"/>
      <c r="L26" s="158"/>
      <c r="M26" s="158"/>
      <c r="N26" s="158"/>
      <c r="O26" s="198" t="s">
        <v>10</v>
      </c>
      <c r="P26" s="157"/>
      <c r="Q26" s="158"/>
      <c r="R26" s="158"/>
    </row>
    <row r="27" spans="1:23" ht="28.9" customHeight="1">
      <c r="A27" s="156"/>
      <c r="B27" s="199"/>
      <c r="C27" s="199"/>
      <c r="D27" s="199"/>
      <c r="E27" s="199"/>
      <c r="F27" s="199"/>
      <c r="G27" s="199"/>
      <c r="H27" s="199"/>
      <c r="I27" s="199"/>
      <c r="J27" s="199"/>
      <c r="K27" s="199"/>
      <c r="L27" s="199"/>
      <c r="M27" s="199"/>
      <c r="N27" s="199"/>
      <c r="O27" s="199"/>
      <c r="P27" s="199"/>
      <c r="Q27" s="199"/>
      <c r="R27" s="199"/>
      <c r="S27" s="195"/>
      <c r="T27" s="195"/>
      <c r="U27" s="195"/>
      <c r="V27" s="195"/>
      <c r="W27" s="195"/>
    </row>
    <row r="28" spans="1:23" ht="28.9" customHeight="1">
      <c r="A28" s="203"/>
      <c r="B28" s="195"/>
      <c r="C28" s="195"/>
      <c r="D28" s="195"/>
      <c r="E28" s="195"/>
      <c r="F28" s="195"/>
      <c r="G28" s="195"/>
      <c r="H28" s="195"/>
      <c r="I28" s="195"/>
      <c r="J28" s="195"/>
      <c r="K28" s="195"/>
      <c r="L28" s="195"/>
      <c r="M28" s="195"/>
      <c r="N28" s="195"/>
      <c r="O28" s="195"/>
      <c r="P28" s="195"/>
      <c r="Q28" s="195"/>
      <c r="R28" s="195"/>
      <c r="S28" s="195"/>
      <c r="T28" s="195"/>
      <c r="U28" s="195"/>
      <c r="V28" s="195"/>
      <c r="W28" s="195"/>
    </row>
    <row r="29" spans="1:23" ht="28.9" customHeight="1">
      <c r="A29" s="203"/>
      <c r="B29" s="195"/>
      <c r="C29" s="195"/>
      <c r="D29" s="195"/>
      <c r="E29" s="195"/>
      <c r="F29" s="195"/>
      <c r="G29" s="195"/>
      <c r="H29" s="195"/>
      <c r="I29" s="195"/>
      <c r="J29" s="195"/>
      <c r="K29" s="195"/>
      <c r="L29" s="195"/>
      <c r="M29" s="195"/>
      <c r="N29" s="195"/>
      <c r="O29" s="195"/>
      <c r="P29" s="195"/>
      <c r="Q29" s="195"/>
      <c r="R29" s="195"/>
      <c r="S29" s="195"/>
      <c r="T29" s="195"/>
      <c r="U29" s="195"/>
      <c r="V29" s="195"/>
      <c r="W29" s="195"/>
    </row>
    <row r="30" spans="1:23" ht="28.9" customHeight="1">
      <c r="A30" s="203"/>
      <c r="B30" s="195"/>
      <c r="C30" s="195"/>
      <c r="D30" s="195"/>
      <c r="E30" s="195"/>
      <c r="F30" s="195"/>
      <c r="G30" s="195"/>
      <c r="H30" s="195"/>
      <c r="I30" s="195"/>
      <c r="J30" s="195"/>
      <c r="K30" s="195"/>
      <c r="L30" s="195"/>
      <c r="M30" s="195"/>
      <c r="N30" s="195"/>
      <c r="O30" s="195"/>
      <c r="P30" s="195"/>
      <c r="Q30" s="195"/>
      <c r="R30" s="195"/>
      <c r="S30" s="195"/>
      <c r="T30" s="195"/>
      <c r="U30" s="195"/>
      <c r="V30" s="195"/>
      <c r="W30" s="195"/>
    </row>
    <row r="31" spans="1:23" ht="28.9" customHeight="1">
      <c r="A31" s="203"/>
      <c r="B31" s="195"/>
      <c r="C31" s="195"/>
      <c r="D31" s="195"/>
      <c r="E31" s="195"/>
      <c r="F31" s="195"/>
      <c r="G31" s="195"/>
      <c r="H31" s="195"/>
      <c r="I31" s="195"/>
      <c r="J31" s="195"/>
      <c r="K31" s="195"/>
      <c r="L31" s="195"/>
      <c r="M31" s="195"/>
      <c r="N31" s="195"/>
      <c r="O31" s="195"/>
      <c r="P31" s="195"/>
      <c r="Q31" s="195"/>
      <c r="R31" s="195"/>
      <c r="S31" s="195"/>
      <c r="T31" s="195"/>
      <c r="U31" s="195"/>
      <c r="V31" s="195"/>
      <c r="W31" s="195"/>
    </row>
    <row r="32" spans="1:23" ht="28.9" customHeight="1">
      <c r="A32" s="203"/>
      <c r="B32" s="195"/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</row>
    <row r="33" spans="1:23">
      <c r="A33" s="203"/>
      <c r="B33" s="195"/>
      <c r="C33" s="195"/>
      <c r="D33" s="195"/>
      <c r="E33" s="195"/>
      <c r="F33" s="195"/>
      <c r="G33" s="195"/>
      <c r="H33" s="195"/>
      <c r="I33" s="195"/>
      <c r="J33" s="195"/>
      <c r="K33" s="195"/>
      <c r="L33" s="195"/>
      <c r="M33" s="195"/>
      <c r="N33" s="195"/>
      <c r="O33" s="195"/>
      <c r="P33" s="195"/>
      <c r="Q33" s="195"/>
      <c r="R33" s="195"/>
      <c r="S33" s="195"/>
      <c r="T33" s="195"/>
      <c r="U33" s="195"/>
      <c r="V33" s="195"/>
      <c r="W33" s="195"/>
    </row>
    <row r="34" spans="1:23" ht="28.9" customHeight="1">
      <c r="A34" s="203"/>
      <c r="B34" s="195"/>
      <c r="C34" s="195"/>
      <c r="D34" s="195"/>
      <c r="E34" s="195"/>
      <c r="F34" s="195"/>
      <c r="G34" s="195"/>
      <c r="H34" s="195"/>
      <c r="I34" s="195"/>
      <c r="J34" s="195"/>
      <c r="K34" s="195"/>
      <c r="L34" s="195"/>
      <c r="M34" s="195"/>
      <c r="N34" s="195"/>
      <c r="O34" s="195"/>
      <c r="P34" s="195"/>
      <c r="Q34" s="195"/>
      <c r="R34" s="195"/>
      <c r="S34" s="195"/>
      <c r="T34" s="195"/>
      <c r="U34" s="195"/>
      <c r="V34" s="195"/>
      <c r="W34" s="195"/>
    </row>
    <row r="35" spans="1:23" ht="28.9" customHeight="1">
      <c r="A35" s="203"/>
      <c r="B35" s="195"/>
      <c r="C35" s="195"/>
      <c r="D35" s="195"/>
      <c r="E35" s="195"/>
      <c r="F35" s="195"/>
      <c r="G35" s="195"/>
      <c r="H35" s="195"/>
      <c r="I35" s="195"/>
      <c r="J35" s="195"/>
      <c r="K35" s="195"/>
      <c r="L35" s="195"/>
      <c r="M35" s="195"/>
      <c r="N35" s="195"/>
      <c r="O35" s="195"/>
      <c r="P35" s="195"/>
      <c r="Q35" s="195"/>
      <c r="R35" s="195"/>
      <c r="S35" s="195"/>
      <c r="T35" s="195"/>
      <c r="U35" s="195"/>
      <c r="V35" s="195"/>
      <c r="W35" s="195"/>
    </row>
    <row r="36" spans="1:23" ht="28.9" customHeight="1">
      <c r="A36" s="204"/>
      <c r="B36" s="195"/>
      <c r="C36" s="195"/>
      <c r="D36" s="195"/>
      <c r="E36" s="195"/>
      <c r="F36" s="195"/>
      <c r="G36" s="195"/>
      <c r="H36" s="195"/>
      <c r="I36" s="195"/>
      <c r="J36" s="195"/>
      <c r="K36" s="195"/>
      <c r="L36" s="195"/>
      <c r="M36" s="195"/>
      <c r="N36" s="195"/>
      <c r="O36" s="195"/>
      <c r="P36" s="195"/>
      <c r="Q36" s="195"/>
      <c r="R36" s="195"/>
      <c r="S36" s="195"/>
      <c r="T36" s="195"/>
      <c r="U36" s="195"/>
      <c r="V36" s="195"/>
      <c r="W36" s="195"/>
    </row>
    <row r="37" spans="1:23">
      <c r="A37" s="202"/>
      <c r="B37" s="195"/>
      <c r="C37" s="195"/>
      <c r="D37" s="195"/>
      <c r="E37" s="195"/>
      <c r="F37" s="195"/>
      <c r="G37" s="195"/>
      <c r="H37" s="195"/>
      <c r="I37" s="195"/>
      <c r="J37" s="195"/>
      <c r="K37" s="195"/>
      <c r="L37" s="195"/>
      <c r="M37" s="195"/>
      <c r="N37" s="195"/>
      <c r="O37" s="195"/>
      <c r="P37" s="195"/>
      <c r="Q37" s="195"/>
      <c r="R37" s="195"/>
      <c r="S37" s="195"/>
      <c r="T37" s="195"/>
      <c r="U37" s="195"/>
      <c r="V37" s="195"/>
      <c r="W37" s="195"/>
    </row>
    <row r="38" spans="1:23">
      <c r="A38" s="202"/>
      <c r="B38" s="195"/>
      <c r="C38" s="195"/>
      <c r="D38" s="195"/>
      <c r="E38" s="195"/>
      <c r="F38" s="195"/>
      <c r="G38" s="195"/>
      <c r="H38" s="195"/>
      <c r="I38" s="195"/>
      <c r="J38" s="195"/>
      <c r="K38" s="195"/>
      <c r="L38" s="195"/>
      <c r="M38" s="195"/>
      <c r="N38" s="195"/>
      <c r="O38" s="195"/>
      <c r="P38" s="195"/>
      <c r="Q38" s="195"/>
      <c r="R38" s="195"/>
      <c r="S38" s="195"/>
      <c r="T38" s="195"/>
      <c r="U38" s="195"/>
      <c r="V38" s="195"/>
      <c r="W38" s="195"/>
    </row>
    <row r="39" spans="1:23" ht="22.5" customHeight="1">
      <c r="B39" s="195"/>
      <c r="C39" s="195"/>
      <c r="D39" s="195"/>
      <c r="E39" s="195"/>
      <c r="F39" s="195"/>
      <c r="G39" s="195"/>
      <c r="H39" s="195"/>
      <c r="I39" s="195"/>
      <c r="J39" s="195"/>
      <c r="K39" s="195"/>
      <c r="L39" s="195"/>
      <c r="M39" s="195"/>
      <c r="N39" s="195"/>
      <c r="O39" s="195"/>
      <c r="P39" s="195"/>
      <c r="Q39" s="195"/>
      <c r="R39" s="195"/>
      <c r="S39" s="195"/>
      <c r="T39" s="195"/>
      <c r="U39" s="195"/>
      <c r="V39" s="195"/>
      <c r="W39" s="195"/>
    </row>
    <row r="40" spans="1:23" ht="24" customHeight="1">
      <c r="B40" s="195"/>
      <c r="C40" s="195"/>
      <c r="D40" s="195"/>
      <c r="E40" s="195"/>
      <c r="F40" s="195"/>
      <c r="G40" s="195"/>
      <c r="H40" s="195"/>
      <c r="I40" s="195"/>
      <c r="J40" s="195"/>
      <c r="K40" s="195"/>
      <c r="L40" s="195"/>
      <c r="M40" s="195"/>
      <c r="N40" s="195"/>
      <c r="O40" s="195"/>
      <c r="P40" s="195"/>
      <c r="Q40" s="195"/>
      <c r="R40" s="195"/>
      <c r="S40" s="195"/>
      <c r="T40" s="195"/>
      <c r="U40" s="195"/>
      <c r="V40" s="195"/>
      <c r="W40" s="195"/>
    </row>
    <row r="41" spans="1:23" ht="24" customHeight="1">
      <c r="B41" s="195"/>
      <c r="C41" s="195"/>
      <c r="D41" s="195"/>
      <c r="E41" s="195"/>
      <c r="F41" s="195"/>
      <c r="G41" s="195"/>
      <c r="H41" s="195"/>
      <c r="I41" s="195"/>
      <c r="J41" s="195"/>
      <c r="K41" s="195"/>
      <c r="L41" s="195"/>
      <c r="M41" s="195"/>
      <c r="N41" s="195"/>
      <c r="O41" s="195"/>
      <c r="P41" s="195"/>
      <c r="Q41" s="195"/>
      <c r="R41" s="195"/>
      <c r="S41" s="195"/>
      <c r="T41" s="195"/>
      <c r="U41" s="195"/>
      <c r="V41" s="195"/>
      <c r="W41" s="195"/>
    </row>
    <row r="42" spans="1:23">
      <c r="B42" s="195"/>
      <c r="C42" s="195"/>
      <c r="D42" s="195"/>
      <c r="E42" s="195"/>
      <c r="F42" s="195"/>
      <c r="G42" s="195"/>
      <c r="H42" s="195"/>
      <c r="I42" s="195"/>
      <c r="J42" s="195"/>
      <c r="K42" s="195"/>
      <c r="L42" s="195"/>
      <c r="M42" s="195"/>
      <c r="N42" s="195"/>
      <c r="O42" s="195"/>
      <c r="P42" s="195"/>
      <c r="Q42" s="195"/>
      <c r="R42" s="195"/>
      <c r="S42" s="195"/>
      <c r="T42" s="195"/>
      <c r="U42" s="195"/>
      <c r="V42" s="195"/>
      <c r="W42" s="195"/>
    </row>
    <row r="43" spans="1:23" ht="23.5" customHeight="1">
      <c r="A43" s="202"/>
      <c r="B43" s="195"/>
      <c r="C43" s="195"/>
      <c r="D43" s="195"/>
      <c r="E43" s="195"/>
      <c r="F43" s="195"/>
      <c r="G43" s="195"/>
      <c r="H43" s="195"/>
      <c r="I43" s="195"/>
      <c r="J43" s="195"/>
      <c r="K43" s="195"/>
      <c r="L43" s="195"/>
      <c r="M43" s="195"/>
      <c r="N43" s="195"/>
      <c r="O43" s="195"/>
      <c r="P43" s="195"/>
      <c r="Q43" s="195"/>
      <c r="R43" s="195"/>
      <c r="S43" s="195"/>
      <c r="T43" s="195"/>
      <c r="U43" s="195"/>
      <c r="V43" s="195"/>
      <c r="W43" s="195"/>
    </row>
    <row r="44" spans="1:23" s="202" customFormat="1">
      <c r="B44" s="195"/>
      <c r="C44" s="195"/>
      <c r="D44" s="195"/>
      <c r="E44" s="195"/>
      <c r="F44" s="195"/>
      <c r="G44" s="195"/>
      <c r="H44" s="195"/>
      <c r="I44" s="195"/>
      <c r="J44" s="195"/>
      <c r="K44" s="195"/>
      <c r="L44" s="195"/>
      <c r="M44" s="195"/>
      <c r="N44" s="195"/>
      <c r="O44" s="195"/>
      <c r="P44" s="195"/>
      <c r="Q44" s="195"/>
      <c r="R44" s="195"/>
      <c r="S44" s="195"/>
      <c r="T44" s="195"/>
      <c r="U44" s="195"/>
      <c r="V44" s="195"/>
      <c r="W44" s="195"/>
    </row>
    <row r="45" spans="1:23" s="202" customFormat="1">
      <c r="B45" s="195"/>
      <c r="C45" s="195"/>
      <c r="D45" s="195"/>
      <c r="E45" s="195"/>
      <c r="F45" s="195"/>
      <c r="G45" s="195"/>
      <c r="H45" s="195"/>
      <c r="I45" s="195"/>
      <c r="J45" s="195"/>
      <c r="K45" s="195"/>
      <c r="L45" s="195"/>
      <c r="M45" s="195"/>
      <c r="N45" s="195"/>
      <c r="O45" s="195"/>
      <c r="P45" s="195"/>
      <c r="Q45" s="195"/>
      <c r="R45" s="195"/>
      <c r="S45" s="195"/>
      <c r="T45" s="195"/>
      <c r="U45" s="195"/>
      <c r="V45" s="195"/>
      <c r="W45" s="195"/>
    </row>
    <row r="46" spans="1:23" s="202" customFormat="1">
      <c r="B46" s="195"/>
      <c r="C46" s="195"/>
      <c r="D46" s="195"/>
      <c r="E46" s="195"/>
      <c r="F46" s="195"/>
      <c r="G46" s="195"/>
      <c r="H46" s="195"/>
      <c r="I46" s="195"/>
      <c r="J46" s="195"/>
      <c r="K46" s="195"/>
      <c r="L46" s="195"/>
      <c r="M46" s="195"/>
      <c r="N46" s="195"/>
      <c r="O46" s="195"/>
      <c r="P46" s="195"/>
      <c r="Q46" s="195"/>
      <c r="R46" s="195"/>
      <c r="S46" s="195"/>
      <c r="T46" s="195"/>
      <c r="U46" s="195"/>
      <c r="V46" s="195"/>
      <c r="W46" s="195"/>
    </row>
    <row r="47" spans="1:23" s="202" customFormat="1">
      <c r="B47" s="195"/>
      <c r="C47" s="195"/>
      <c r="D47" s="195"/>
      <c r="E47" s="195"/>
      <c r="F47" s="195"/>
      <c r="G47" s="195"/>
      <c r="H47" s="195"/>
      <c r="I47" s="195"/>
      <c r="J47" s="195"/>
      <c r="K47" s="195"/>
      <c r="L47" s="195"/>
      <c r="M47" s="195"/>
      <c r="N47" s="195"/>
      <c r="O47" s="195"/>
      <c r="P47" s="195"/>
      <c r="Q47" s="195"/>
      <c r="R47" s="195"/>
      <c r="S47" s="195"/>
      <c r="T47" s="195"/>
      <c r="U47" s="195"/>
      <c r="V47" s="195"/>
      <c r="W47" s="195"/>
    </row>
    <row r="48" spans="1:23" s="202" customFormat="1">
      <c r="B48" s="195"/>
      <c r="C48" s="195"/>
      <c r="D48" s="195"/>
      <c r="E48" s="195"/>
      <c r="F48" s="195"/>
      <c r="G48" s="195"/>
      <c r="H48" s="195"/>
      <c r="I48" s="195"/>
      <c r="J48" s="195"/>
      <c r="K48" s="195"/>
      <c r="L48" s="195"/>
      <c r="M48" s="195"/>
      <c r="N48" s="195"/>
      <c r="O48" s="195"/>
      <c r="P48" s="195"/>
      <c r="Q48" s="195"/>
      <c r="R48" s="195"/>
      <c r="S48" s="195"/>
      <c r="T48" s="195"/>
      <c r="U48" s="195"/>
      <c r="V48" s="195"/>
      <c r="W48" s="195"/>
    </row>
    <row r="49" spans="1:23">
      <c r="B49" s="195"/>
      <c r="C49" s="195"/>
      <c r="D49" s="195"/>
      <c r="E49" s="195"/>
      <c r="F49" s="195"/>
      <c r="G49" s="195"/>
      <c r="H49" s="195"/>
      <c r="I49" s="195"/>
      <c r="J49" s="195"/>
      <c r="K49" s="195"/>
      <c r="L49" s="195"/>
      <c r="M49" s="195"/>
      <c r="N49" s="195"/>
      <c r="O49" s="195"/>
      <c r="P49" s="195"/>
      <c r="Q49" s="195"/>
      <c r="R49" s="195"/>
      <c r="S49" s="195"/>
      <c r="T49" s="195"/>
      <c r="U49" s="195"/>
      <c r="V49" s="195"/>
      <c r="W49" s="195"/>
    </row>
    <row r="50" spans="1:23">
      <c r="B50" s="195"/>
      <c r="C50" s="195"/>
      <c r="D50" s="195"/>
      <c r="E50" s="195"/>
      <c r="F50" s="195"/>
      <c r="G50" s="195"/>
      <c r="H50" s="195"/>
      <c r="I50" s="195"/>
      <c r="J50" s="195"/>
      <c r="K50" s="195"/>
      <c r="L50" s="195"/>
      <c r="M50" s="195"/>
      <c r="N50" s="195"/>
      <c r="O50" s="195"/>
      <c r="P50" s="195"/>
      <c r="Q50" s="195"/>
      <c r="R50" s="195"/>
      <c r="S50" s="195"/>
      <c r="T50" s="195"/>
      <c r="U50" s="195"/>
      <c r="V50" s="195"/>
      <c r="W50" s="195"/>
    </row>
    <row r="51" spans="1:23">
      <c r="B51" s="195"/>
      <c r="C51" s="195"/>
      <c r="D51" s="195"/>
      <c r="E51" s="195"/>
      <c r="F51" s="195"/>
      <c r="G51" s="195"/>
      <c r="H51" s="195"/>
      <c r="I51" s="195"/>
      <c r="J51" s="195"/>
      <c r="K51" s="195"/>
      <c r="L51" s="195"/>
      <c r="M51" s="195"/>
      <c r="N51" s="195"/>
      <c r="O51" s="195"/>
      <c r="P51" s="195"/>
      <c r="Q51" s="195"/>
      <c r="R51" s="195"/>
      <c r="S51" s="195"/>
      <c r="T51" s="195"/>
      <c r="U51" s="195"/>
      <c r="V51" s="195"/>
      <c r="W51" s="195"/>
    </row>
    <row r="52" spans="1:23">
      <c r="B52" s="195"/>
      <c r="C52" s="195"/>
      <c r="D52" s="195"/>
      <c r="E52" s="195"/>
      <c r="F52" s="195"/>
      <c r="G52" s="195"/>
      <c r="H52" s="195"/>
      <c r="I52" s="195"/>
      <c r="J52" s="195"/>
      <c r="K52" s="195"/>
      <c r="L52" s="195"/>
      <c r="M52" s="195"/>
      <c r="N52" s="195"/>
      <c r="O52" s="195"/>
      <c r="P52" s="195"/>
      <c r="Q52" s="195"/>
      <c r="R52" s="195"/>
      <c r="S52" s="195"/>
      <c r="T52" s="195"/>
      <c r="U52" s="195"/>
      <c r="V52" s="195"/>
      <c r="W52" s="195"/>
    </row>
    <row r="53" spans="1:23">
      <c r="B53" s="195"/>
      <c r="C53" s="195"/>
      <c r="D53" s="195"/>
      <c r="E53" s="195"/>
      <c r="F53" s="195"/>
      <c r="G53" s="195"/>
      <c r="H53" s="195"/>
      <c r="I53" s="195"/>
      <c r="J53" s="195"/>
      <c r="K53" s="195"/>
      <c r="L53" s="195"/>
      <c r="M53" s="195"/>
      <c r="N53" s="195"/>
      <c r="O53" s="195"/>
      <c r="P53" s="195"/>
      <c r="Q53" s="195"/>
      <c r="R53" s="195"/>
      <c r="S53" s="195"/>
      <c r="T53" s="195"/>
      <c r="U53" s="195"/>
      <c r="V53" s="195"/>
      <c r="W53" s="195"/>
    </row>
    <row r="54" spans="1:23">
      <c r="B54" s="195"/>
      <c r="C54" s="195"/>
      <c r="D54" s="195"/>
      <c r="E54" s="195"/>
      <c r="F54" s="195"/>
      <c r="G54" s="195"/>
      <c r="H54" s="195"/>
      <c r="I54" s="195"/>
      <c r="J54" s="195"/>
      <c r="K54" s="195"/>
      <c r="L54" s="195"/>
      <c r="M54" s="195"/>
      <c r="N54" s="195"/>
      <c r="O54" s="195"/>
      <c r="P54" s="195"/>
      <c r="Q54" s="195"/>
      <c r="R54" s="195"/>
      <c r="S54" s="195"/>
      <c r="T54" s="195"/>
      <c r="U54" s="195"/>
      <c r="V54" s="195"/>
      <c r="W54" s="195"/>
    </row>
    <row r="55" spans="1:23">
      <c r="B55" s="195"/>
      <c r="C55" s="195"/>
      <c r="D55" s="195"/>
      <c r="E55" s="195"/>
      <c r="F55" s="195"/>
      <c r="G55" s="195"/>
      <c r="H55" s="195"/>
      <c r="I55" s="195"/>
      <c r="J55" s="195"/>
      <c r="K55" s="195"/>
      <c r="L55" s="195"/>
      <c r="M55" s="195"/>
      <c r="N55" s="195"/>
      <c r="O55" s="195"/>
      <c r="P55" s="195"/>
      <c r="Q55" s="195"/>
      <c r="R55" s="195"/>
      <c r="S55" s="195"/>
      <c r="T55" s="195"/>
      <c r="U55" s="195"/>
      <c r="V55" s="195"/>
      <c r="W55" s="195"/>
    </row>
    <row r="56" spans="1:23">
      <c r="B56" s="195"/>
      <c r="C56" s="195"/>
      <c r="D56" s="195"/>
      <c r="E56" s="195"/>
      <c r="F56" s="195"/>
      <c r="G56" s="195"/>
      <c r="H56" s="195"/>
      <c r="I56" s="195"/>
      <c r="J56" s="195"/>
      <c r="K56" s="195"/>
      <c r="L56" s="195"/>
      <c r="M56" s="195"/>
      <c r="N56" s="195"/>
      <c r="O56" s="195"/>
      <c r="P56" s="195"/>
      <c r="Q56" s="195"/>
      <c r="R56" s="195"/>
      <c r="S56" s="195"/>
      <c r="T56" s="195"/>
      <c r="U56" s="195"/>
      <c r="V56" s="195"/>
      <c r="W56" s="195"/>
    </row>
    <row r="57" spans="1:23">
      <c r="B57" s="195"/>
      <c r="C57" s="195"/>
      <c r="D57" s="195"/>
      <c r="E57" s="195"/>
      <c r="F57" s="195"/>
      <c r="G57" s="195"/>
      <c r="H57" s="195"/>
      <c r="I57" s="195"/>
      <c r="J57" s="195"/>
      <c r="K57" s="195"/>
      <c r="L57" s="195"/>
      <c r="M57" s="195"/>
      <c r="N57" s="195"/>
      <c r="O57" s="195"/>
      <c r="P57" s="195"/>
      <c r="Q57" s="195"/>
      <c r="R57" s="195"/>
      <c r="S57" s="195"/>
      <c r="T57" s="195"/>
      <c r="U57" s="195"/>
      <c r="V57" s="195"/>
      <c r="W57" s="195"/>
    </row>
    <row r="58" spans="1:23">
      <c r="A58" s="205"/>
      <c r="C58" s="195"/>
      <c r="D58" s="195"/>
      <c r="E58" s="195"/>
      <c r="F58" s="195"/>
      <c r="G58" s="195"/>
      <c r="H58" s="195"/>
      <c r="I58" s="195"/>
      <c r="J58" s="195"/>
      <c r="K58" s="195"/>
      <c r="L58" s="195"/>
      <c r="M58" s="195"/>
      <c r="N58" s="195"/>
      <c r="O58" s="195"/>
      <c r="P58" s="195"/>
      <c r="Q58" s="195"/>
      <c r="R58" s="195"/>
      <c r="S58" s="195"/>
      <c r="T58" s="195"/>
      <c r="U58" s="195"/>
      <c r="V58" s="195"/>
      <c r="W58" s="195"/>
    </row>
    <row r="59" spans="1:23" ht="18.5">
      <c r="A59" s="205"/>
      <c r="B59" s="206"/>
      <c r="C59" s="207"/>
      <c r="D59" s="207"/>
      <c r="E59" s="207"/>
    </row>
    <row r="60" spans="1:23" ht="22.5" customHeight="1">
      <c r="A60" s="205"/>
      <c r="B60" s="247"/>
      <c r="C60" s="247"/>
      <c r="D60" s="247"/>
      <c r="E60" s="247"/>
      <c r="F60" s="195"/>
    </row>
    <row r="61" spans="1:23" ht="22.5" customHeight="1">
      <c r="A61" s="205"/>
      <c r="B61" s="248"/>
      <c r="C61" s="248"/>
      <c r="D61" s="248"/>
      <c r="E61" s="248"/>
    </row>
    <row r="62" spans="1:23" ht="22.5" customHeight="1">
      <c r="A62" s="205"/>
      <c r="B62" s="249"/>
      <c r="C62" s="249"/>
      <c r="D62" s="249"/>
      <c r="E62" s="249"/>
    </row>
    <row r="65" spans="2:5">
      <c r="B65" s="202"/>
      <c r="C65" s="202"/>
      <c r="D65" s="202"/>
      <c r="E65" s="202"/>
    </row>
    <row r="66" spans="2:5">
      <c r="B66" s="202"/>
      <c r="C66" s="202"/>
      <c r="D66" s="202"/>
      <c r="E66" s="202"/>
    </row>
    <row r="67" spans="2:5">
      <c r="B67" s="202"/>
      <c r="C67" s="202"/>
      <c r="D67" s="202"/>
      <c r="E67" s="202"/>
    </row>
    <row r="68" spans="2:5">
      <c r="B68" s="202"/>
      <c r="C68" s="202"/>
      <c r="D68" s="202"/>
      <c r="E68" s="202"/>
    </row>
    <row r="69" spans="2:5">
      <c r="B69" s="202"/>
      <c r="C69" s="202"/>
      <c r="D69" s="202"/>
      <c r="E69" s="202"/>
    </row>
    <row r="70" spans="2:5">
      <c r="B70" s="202"/>
      <c r="C70" s="202"/>
      <c r="D70" s="202"/>
      <c r="E70" s="202"/>
    </row>
  </sheetData>
  <sheetProtection sheet="1" objects="1" scenarios="1"/>
  <mergeCells count="34">
    <mergeCell ref="P21:Q21"/>
    <mergeCell ref="P22:Q22"/>
    <mergeCell ref="P23:Q23"/>
    <mergeCell ref="P24:Q24"/>
    <mergeCell ref="P25:Q25"/>
    <mergeCell ref="P16:Q16"/>
    <mergeCell ref="P17:Q17"/>
    <mergeCell ref="P18:Q18"/>
    <mergeCell ref="P19:Q19"/>
    <mergeCell ref="P20:Q20"/>
    <mergeCell ref="B60:E60"/>
    <mergeCell ref="B61:E61"/>
    <mergeCell ref="B62:E62"/>
    <mergeCell ref="C20:F20"/>
    <mergeCell ref="C21:F21"/>
    <mergeCell ref="C22:F22"/>
    <mergeCell ref="B24:E24"/>
    <mergeCell ref="B25:E25"/>
    <mergeCell ref="B1:Q1"/>
    <mergeCell ref="B2:Q2"/>
    <mergeCell ref="H18:I18"/>
    <mergeCell ref="H17:I17"/>
    <mergeCell ref="B23:E23"/>
    <mergeCell ref="H12:I12"/>
    <mergeCell ref="H13:I13"/>
    <mergeCell ref="H14:I14"/>
    <mergeCell ref="H19:I19"/>
    <mergeCell ref="C12:D12"/>
    <mergeCell ref="C13:D13"/>
    <mergeCell ref="C14:D14"/>
    <mergeCell ref="C15:D15"/>
    <mergeCell ref="C16:D16"/>
    <mergeCell ref="P14:Q14"/>
    <mergeCell ref="P15:Q15"/>
  </mergeCells>
  <dataValidations count="6">
    <dataValidation type="list" allowBlank="1" showInputMessage="1" showErrorMessage="1" sqref="H17" xr:uid="{A30A9A10-D773-4E34-8E0A-094667972FF0}">
      <formula1>"--SELECT ONE--, FIRST, SECOND, THIRD, SEMESTER ONE, SEMESTER TWO"</formula1>
    </dataValidation>
    <dataValidation type="list" allowBlank="1" showInputMessage="1" showErrorMessage="1" sqref="H14" xr:uid="{1A0C3BC0-7019-426C-BD2F-06CC81A2F40C}">
      <formula1>"--year--,2026,2027,2028,2029,2030"</formula1>
    </dataValidation>
    <dataValidation type="list" allowBlank="1" showInputMessage="1" showErrorMessage="1" sqref="H13" xr:uid="{A1B4325D-42D0-4429-A883-2FFBF5E75778}">
      <formula1>"--Class Teacher--,MR. IBRAHIM ADAMS, MR. ALBERTA WILLIAMS, MRS. REBECCA KUMA"</formula1>
    </dataValidation>
    <dataValidation type="list" allowBlank="1" showInputMessage="1" showErrorMessage="1" sqref="H12" xr:uid="{A6F02122-1F06-4A2B-A7EB-AB9E2EB23472}">
      <formula1>"--class--,C1A, C1B, C2A, C2B, C3A,C3B,C4A,C4B,C5A,C5B,C6A,C6B,F1A,F1B,F2A,F2B,F3A,F3B"</formula1>
    </dataValidation>
    <dataValidation type="list" allowBlank="1" showInputMessage="1" showErrorMessage="1" sqref="C15" xr:uid="{287818D6-35F1-4582-987A-BC93AD8FDCAE}">
      <formula1>"FIRST, SECOND, THIRD, SEMESTER ONE, SEMESTER TWO"</formula1>
    </dataValidation>
    <dataValidation type="list" allowBlank="1" showInputMessage="1" showErrorMessage="1" sqref="O14:O22" xr:uid="{9B563FAA-E364-4382-AD2E-8BCC855D5169}">
      <formula1>SubjectList</formula1>
    </dataValidation>
  </dataValidations>
  <pageMargins left="0.78749999999999998" right="0.78749999999999998" top="0.78749999999999998" bottom="0.78749999999999998" header="0.51180555555555496" footer="0.51180555555555496"/>
  <pageSetup orientation="portrait" useFirstPageNumber="1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72CBD-BDC4-489B-9FD9-2883CC624FDD}">
  <sheetPr codeName="Sheet5"/>
  <dimension ref="A1:AKH82"/>
  <sheetViews>
    <sheetView zoomScale="68" zoomScaleNormal="68" workbookViewId="0">
      <selection activeCell="B19" sqref="B19"/>
    </sheetView>
  </sheetViews>
  <sheetFormatPr defaultColWidth="9.1796875" defaultRowHeight="19.5" customHeight="1"/>
  <cols>
    <col min="1" max="1" width="10.08984375" style="192" customWidth="1"/>
    <col min="2" max="2" width="38.453125" style="193" customWidth="1"/>
    <col min="3" max="3" width="8.6328125" style="193" customWidth="1"/>
    <col min="4" max="4" width="8.36328125" style="193" customWidth="1"/>
    <col min="5" max="5" width="8.26953125" style="193" customWidth="1"/>
    <col min="6" max="6" width="10.6328125" style="193" customWidth="1"/>
    <col min="7" max="7" width="8.26953125" style="193" customWidth="1"/>
    <col min="8" max="8" width="9.1796875" style="192"/>
    <col min="9" max="9" width="9.90625" style="192" customWidth="1"/>
    <col min="10" max="10" width="9.7265625" style="192" customWidth="1"/>
    <col min="11" max="11" width="9.36328125" style="192" customWidth="1"/>
    <col min="12" max="12" width="8.36328125" style="193" customWidth="1"/>
    <col min="13" max="13" width="10" style="193" customWidth="1"/>
    <col min="14" max="14" width="9.1796875" style="192"/>
    <col min="15" max="15" width="8.6328125" style="193" customWidth="1"/>
    <col min="16" max="16" width="9.81640625" style="193" customWidth="1"/>
    <col min="17" max="17" width="8.7265625" style="192" customWidth="1"/>
    <col min="18" max="18" width="10.08984375" style="193" customWidth="1"/>
    <col min="19" max="19" width="9.1796875" style="193"/>
    <col min="20" max="20" width="9.1796875" style="192"/>
    <col min="21" max="21" width="9.08984375" style="193" customWidth="1"/>
    <col min="22" max="22" width="10" style="193" customWidth="1"/>
    <col min="23" max="23" width="8.08984375" style="193" customWidth="1"/>
    <col min="24" max="24" width="8.36328125" style="192" customWidth="1"/>
    <col min="25" max="25" width="9.54296875" style="194" customWidth="1"/>
    <col min="26" max="26" width="9.1796875" style="194"/>
    <col min="27" max="27" width="8.453125" style="194" customWidth="1"/>
    <col min="28" max="28" width="6.54296875" style="194" customWidth="1"/>
    <col min="29" max="29" width="6.7265625" style="194" customWidth="1"/>
    <col min="30" max="30" width="7.7265625" style="194" customWidth="1"/>
    <col min="31" max="31" width="8.6328125" style="194" customWidth="1"/>
    <col min="32" max="32" width="9.1796875" style="194"/>
    <col min="33" max="34" width="8.36328125" style="194" customWidth="1"/>
    <col min="35" max="35" width="8.90625" style="194" customWidth="1"/>
    <col min="36" max="36" width="9" style="194" customWidth="1"/>
    <col min="37" max="37" width="8" style="194" customWidth="1"/>
    <col min="38" max="38" width="4.7265625" style="194" customWidth="1"/>
    <col min="39" max="39" width="9.36328125" style="194" customWidth="1"/>
    <col min="40" max="40" width="8.08984375" style="194" customWidth="1"/>
    <col min="41" max="41" width="9.453125" style="194" customWidth="1"/>
    <col min="42" max="42" width="8.1796875" style="194" customWidth="1"/>
    <col min="43" max="43" width="9" style="194" customWidth="1"/>
    <col min="44" max="44" width="9.1796875" style="194"/>
    <col min="45" max="45" width="8.81640625" style="194" customWidth="1"/>
    <col min="46" max="46" width="10.36328125" style="194" customWidth="1"/>
    <col min="47" max="47" width="9.1796875" style="194" customWidth="1"/>
    <col min="48" max="48" width="9.90625" style="194" customWidth="1"/>
    <col min="49" max="49" width="9.26953125" style="194" customWidth="1"/>
    <col min="50" max="50" width="7.7265625" style="194" customWidth="1"/>
    <col min="51" max="51" width="8.1796875" style="194" customWidth="1"/>
    <col min="52" max="52" width="9.1796875" style="194" customWidth="1"/>
    <col min="53" max="53" width="8.54296875" style="194" customWidth="1"/>
    <col min="54" max="54" width="9.453125" style="194" customWidth="1"/>
    <col min="55" max="55" width="11.36328125" style="194" customWidth="1"/>
    <col min="56" max="56" width="8.26953125" style="195" customWidth="1"/>
    <col min="57" max="57" width="8.36328125" style="195" customWidth="1"/>
    <col min="58" max="58" width="7.54296875" style="195" customWidth="1"/>
    <col min="59" max="59" width="7.453125" style="195" customWidth="1"/>
    <col min="60" max="60" width="8.81640625" style="195" customWidth="1"/>
    <col min="61" max="61" width="8.453125" style="195" customWidth="1"/>
    <col min="62" max="62" width="8.54296875" style="195" customWidth="1"/>
    <col min="63" max="63" width="9.1796875" style="195"/>
    <col min="64" max="16384" width="9.1796875" style="194"/>
  </cols>
  <sheetData>
    <row r="1" spans="1:970" ht="30" customHeight="1">
      <c r="A1" s="267" t="s">
        <v>345</v>
      </c>
      <c r="B1" s="267"/>
      <c r="C1" s="267"/>
      <c r="D1" s="267"/>
      <c r="E1" s="267"/>
      <c r="F1" s="223"/>
      <c r="G1" s="268" t="str">
        <f>IFERROR(IF(ISBLANK(SETTINGS!$C12),"SCHOOL NAME",SETTINGS!$C12),"") &amp; " ("&amp;IF(SETTINGS!$H$12="","",SETTINGS!$H$12)&amp;")"</f>
        <v>SCHOOL NAME ()</v>
      </c>
      <c r="H1" s="268"/>
      <c r="I1" s="268"/>
      <c r="J1" s="268"/>
      <c r="K1" s="268"/>
      <c r="L1" s="268"/>
      <c r="M1" s="268"/>
      <c r="N1" s="222"/>
      <c r="O1" s="223"/>
      <c r="P1" s="223"/>
      <c r="Q1" s="222"/>
      <c r="R1" s="223"/>
      <c r="S1" s="223"/>
      <c r="T1" s="222"/>
      <c r="U1" s="223"/>
      <c r="V1" s="223"/>
      <c r="W1" s="223"/>
      <c r="X1" s="222"/>
      <c r="Y1" s="224"/>
      <c r="Z1" s="224"/>
      <c r="AA1" s="224"/>
      <c r="AB1" s="224"/>
      <c r="AC1" s="224"/>
      <c r="AD1" s="224"/>
      <c r="AE1" s="224"/>
      <c r="AF1" s="224"/>
      <c r="AG1" s="224"/>
      <c r="AH1" s="224"/>
      <c r="AI1" s="224"/>
      <c r="AJ1" s="224"/>
      <c r="AK1" s="224"/>
      <c r="AL1" s="224"/>
      <c r="AM1" s="224"/>
      <c r="AN1" s="224"/>
      <c r="AO1" s="224"/>
      <c r="AP1" s="224"/>
      <c r="AQ1" s="224"/>
      <c r="AR1" s="224"/>
      <c r="AS1" s="224"/>
      <c r="AT1" s="224"/>
      <c r="AU1" s="224"/>
      <c r="AV1" s="224"/>
      <c r="AW1" s="224"/>
      <c r="AX1" s="224"/>
      <c r="AY1" s="224"/>
      <c r="AZ1" s="224"/>
      <c r="BA1" s="224"/>
      <c r="BB1" s="224"/>
      <c r="BC1" s="224"/>
      <c r="BD1" s="199"/>
    </row>
    <row r="2" spans="1:970" ht="15" customHeight="1">
      <c r="A2" s="220"/>
      <c r="B2" s="221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199"/>
      <c r="AG2" s="199"/>
      <c r="AH2" s="199"/>
      <c r="AI2" s="199"/>
      <c r="AJ2" s="199"/>
      <c r="AK2" s="199"/>
      <c r="AL2" s="199"/>
      <c r="AM2" s="199"/>
      <c r="AN2" s="199"/>
      <c r="AO2" s="199"/>
      <c r="AP2" s="199"/>
      <c r="AQ2" s="199"/>
      <c r="AR2" s="199"/>
      <c r="AS2" s="199"/>
      <c r="AT2" s="199"/>
      <c r="AU2" s="199"/>
      <c r="AV2" s="199"/>
      <c r="AW2" s="199"/>
      <c r="AX2" s="199"/>
      <c r="AY2" s="199"/>
      <c r="AZ2" s="199"/>
      <c r="BA2" s="199"/>
      <c r="BB2" s="199"/>
      <c r="BC2" s="199"/>
      <c r="BD2" s="199"/>
    </row>
    <row r="3" spans="1:970" ht="19.5" customHeight="1">
      <c r="A3" s="220"/>
      <c r="B3" s="225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99"/>
      <c r="AB3" s="199"/>
      <c r="AC3" s="199"/>
      <c r="AD3" s="199"/>
      <c r="AE3" s="199"/>
      <c r="AF3" s="199"/>
      <c r="AG3" s="199"/>
      <c r="AH3" s="199"/>
      <c r="AI3" s="199"/>
      <c r="AJ3" s="199"/>
      <c r="AK3" s="199"/>
      <c r="AL3" s="199"/>
      <c r="AM3" s="199"/>
      <c r="AN3" s="199"/>
      <c r="AO3" s="199"/>
      <c r="AP3" s="199"/>
      <c r="AQ3" s="199"/>
      <c r="AR3" s="199"/>
      <c r="AS3" s="199"/>
      <c r="AT3" s="199"/>
      <c r="AU3" s="199"/>
      <c r="AV3" s="199"/>
      <c r="AW3" s="199"/>
      <c r="AX3" s="199"/>
      <c r="AY3" s="199"/>
      <c r="AZ3" s="199"/>
      <c r="BA3" s="199"/>
      <c r="BB3" s="199"/>
      <c r="BC3" s="199"/>
      <c r="BD3" s="199"/>
    </row>
    <row r="4" spans="1:970" ht="19.5" customHeight="1">
      <c r="A4" s="220"/>
      <c r="B4" s="225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99"/>
      <c r="AB4" s="199"/>
      <c r="AC4" s="199"/>
      <c r="AD4" s="199"/>
      <c r="AE4" s="199"/>
      <c r="AF4" s="199"/>
      <c r="AG4" s="199"/>
      <c r="AH4" s="199"/>
      <c r="AI4" s="199"/>
      <c r="AJ4" s="199"/>
      <c r="AK4" s="199"/>
      <c r="AL4" s="199"/>
      <c r="AM4" s="199"/>
      <c r="AN4" s="199"/>
      <c r="AO4" s="199"/>
      <c r="AP4" s="199"/>
      <c r="AQ4" s="199"/>
      <c r="AR4" s="199"/>
      <c r="AS4" s="199"/>
      <c r="AT4" s="199"/>
      <c r="AU4" s="199"/>
      <c r="AV4" s="199"/>
      <c r="AW4" s="199"/>
      <c r="AX4" s="199"/>
      <c r="AY4" s="199"/>
      <c r="AZ4" s="199"/>
      <c r="BA4" s="199"/>
      <c r="BB4" s="199"/>
      <c r="BC4" s="199"/>
      <c r="BD4" s="199"/>
    </row>
    <row r="5" spans="1:970" ht="19.5" customHeight="1">
      <c r="A5" s="220"/>
      <c r="B5" s="225"/>
      <c r="C5" s="269" t="str">
        <f>IF(SETTINGS!$O$14="","",SETTINGS!$O$14)</f>
        <v>ENG. LANGUAGE</v>
      </c>
      <c r="D5" s="270"/>
      <c r="E5" s="270"/>
      <c r="F5" s="270"/>
      <c r="G5" s="271"/>
      <c r="H5" s="224"/>
      <c r="I5" s="254" t="str">
        <f>IF(SETTINGS!$O$15="","",SETTINGS!$O$15)</f>
        <v>INT. SCIENCE</v>
      </c>
      <c r="J5" s="254"/>
      <c r="K5" s="254"/>
      <c r="L5" s="254"/>
      <c r="M5" s="254"/>
      <c r="N5" s="224"/>
      <c r="O5" s="254" t="str">
        <f>IF(SETTINGS!$O$16="","",SETTINGS!$O$16)</f>
        <v>C. MATHEMATICS</v>
      </c>
      <c r="P5" s="254"/>
      <c r="Q5" s="254"/>
      <c r="R5" s="254"/>
      <c r="S5" s="254"/>
      <c r="T5" s="224"/>
      <c r="U5" s="254" t="str">
        <f>IF(SETTINGS!$O$17="","",SETTINGS!$O$17)</f>
        <v>SOCIAL STUDIES</v>
      </c>
      <c r="V5" s="254"/>
      <c r="W5" s="254"/>
      <c r="X5" s="254"/>
      <c r="Y5" s="254"/>
      <c r="Z5" s="224"/>
      <c r="AA5" s="254" t="str">
        <f>IF(SETTINGS!$O$18="","",SETTINGS!$O$18)</f>
        <v>PHYSICS</v>
      </c>
      <c r="AB5" s="254"/>
      <c r="AC5" s="254"/>
      <c r="AD5" s="254"/>
      <c r="AE5" s="254"/>
      <c r="AF5" s="224"/>
      <c r="AG5" s="254" t="str">
        <f>IF(SETTINGS!$O$19="","",SETTINGS!$O$19)</f>
        <v>E. MATHEMATICS</v>
      </c>
      <c r="AH5" s="254"/>
      <c r="AI5" s="254"/>
      <c r="AJ5" s="254"/>
      <c r="AK5" s="254"/>
      <c r="AL5" s="224"/>
      <c r="AM5" s="254" t="str">
        <f>IF(SETTINGS!$O$20="","",SETTINGS!$O$20)</f>
        <v>BIOLOGY</v>
      </c>
      <c r="AN5" s="254"/>
      <c r="AO5" s="254"/>
      <c r="AP5" s="254"/>
      <c r="AQ5" s="254"/>
      <c r="AR5" s="224"/>
      <c r="AS5" s="254" t="str">
        <f>IF(SETTINGS!$O$21="","",SETTINGS!$O$21)</f>
        <v>CHEMISTRY</v>
      </c>
      <c r="AT5" s="254"/>
      <c r="AU5" s="254"/>
      <c r="AV5" s="254"/>
      <c r="AW5" s="254"/>
      <c r="AX5" s="224"/>
      <c r="AY5" s="254" t="str">
        <f>IF(SETTINGS!$O$22="","",SETTINGS!$O$22)</f>
        <v>I.C.T</v>
      </c>
      <c r="AZ5" s="254"/>
      <c r="BA5" s="254"/>
      <c r="BB5" s="254"/>
      <c r="BC5" s="254"/>
      <c r="BD5" s="199"/>
    </row>
    <row r="6" spans="1:970" s="192" customFormat="1" ht="19.5" customHeight="1">
      <c r="A6" s="226"/>
      <c r="B6" s="224"/>
      <c r="C6" s="269">
        <f>COUNTA($B$12:$B$76)</f>
        <v>0</v>
      </c>
      <c r="D6" s="270"/>
      <c r="E6" s="270"/>
      <c r="F6" s="270"/>
      <c r="G6" s="271"/>
      <c r="H6" s="224"/>
      <c r="I6" s="254">
        <f>COUNTA($B$12:$B$76)</f>
        <v>0</v>
      </c>
      <c r="J6" s="254"/>
      <c r="K6" s="254"/>
      <c r="L6" s="254"/>
      <c r="M6" s="254"/>
      <c r="N6" s="224"/>
      <c r="O6" s="254">
        <f>COUNTA($B$12:$B$76)</f>
        <v>0</v>
      </c>
      <c r="P6" s="254"/>
      <c r="Q6" s="254"/>
      <c r="R6" s="254"/>
      <c r="S6" s="254"/>
      <c r="T6" s="224"/>
      <c r="U6" s="254">
        <f>COUNTA($B$12:$B$76)</f>
        <v>0</v>
      </c>
      <c r="V6" s="254"/>
      <c r="W6" s="254"/>
      <c r="X6" s="254"/>
      <c r="Y6" s="254"/>
      <c r="Z6" s="222"/>
      <c r="AA6" s="254">
        <f>COUNTA($B$12:$B$76)</f>
        <v>0</v>
      </c>
      <c r="AB6" s="254"/>
      <c r="AC6" s="254"/>
      <c r="AD6" s="254"/>
      <c r="AE6" s="254"/>
      <c r="AF6" s="222"/>
      <c r="AG6" s="254">
        <f>COUNTA($B$12:$B$76)</f>
        <v>0</v>
      </c>
      <c r="AH6" s="254"/>
      <c r="AI6" s="254"/>
      <c r="AJ6" s="254"/>
      <c r="AK6" s="254"/>
      <c r="AL6" s="222"/>
      <c r="AM6" s="254">
        <f>COUNTA($B$12:$B$76)</f>
        <v>0</v>
      </c>
      <c r="AN6" s="254"/>
      <c r="AO6" s="254"/>
      <c r="AP6" s="254"/>
      <c r="AQ6" s="254"/>
      <c r="AR6" s="222"/>
      <c r="AS6" s="254">
        <f>COUNTA($B$12:$B$76)</f>
        <v>0</v>
      </c>
      <c r="AT6" s="254"/>
      <c r="AU6" s="254"/>
      <c r="AV6" s="254"/>
      <c r="AW6" s="254"/>
      <c r="AX6" s="222"/>
      <c r="AY6" s="254">
        <f>COUNTA($B$12:$B$76)</f>
        <v>0</v>
      </c>
      <c r="AZ6" s="254"/>
      <c r="BA6" s="254"/>
      <c r="BB6" s="254"/>
      <c r="BC6" s="254"/>
      <c r="BD6" s="199"/>
      <c r="BE6" s="195"/>
      <c r="BF6" s="195"/>
      <c r="BG6" s="195"/>
      <c r="BH6" s="195"/>
      <c r="BI6" s="195"/>
      <c r="BJ6" s="195"/>
      <c r="BK6" s="195"/>
      <c r="AKG6" s="194"/>
      <c r="AKH6" s="194"/>
    </row>
    <row r="7" spans="1:970" ht="19.5" customHeight="1">
      <c r="A7" s="226"/>
      <c r="B7" s="224"/>
      <c r="C7" s="230"/>
      <c r="D7" s="230"/>
      <c r="E7" s="230"/>
      <c r="F7" s="230"/>
      <c r="G7" s="231"/>
      <c r="H7" s="224"/>
      <c r="I7" s="228"/>
      <c r="J7" s="228"/>
      <c r="K7" s="228"/>
      <c r="L7" s="228"/>
      <c r="M7" s="229"/>
      <c r="N7" s="225"/>
      <c r="O7" s="228"/>
      <c r="P7" s="228"/>
      <c r="Q7" s="228"/>
      <c r="R7" s="228"/>
      <c r="S7" s="229"/>
      <c r="T7" s="225"/>
      <c r="U7" s="228"/>
      <c r="V7" s="228"/>
      <c r="W7" s="228"/>
      <c r="X7" s="228"/>
      <c r="Y7" s="229"/>
      <c r="Z7" s="225"/>
      <c r="AA7" s="228"/>
      <c r="AB7" s="228"/>
      <c r="AC7" s="228"/>
      <c r="AD7" s="228"/>
      <c r="AE7" s="229"/>
      <c r="AF7" s="225"/>
      <c r="AG7" s="228"/>
      <c r="AH7" s="228"/>
      <c r="AI7" s="228"/>
      <c r="AJ7" s="228"/>
      <c r="AK7" s="229"/>
      <c r="AL7" s="225"/>
      <c r="AM7" s="228"/>
      <c r="AN7" s="228"/>
      <c r="AO7" s="228"/>
      <c r="AP7" s="228"/>
      <c r="AQ7" s="229"/>
      <c r="AR7" s="225"/>
      <c r="AS7" s="228"/>
      <c r="AT7" s="228"/>
      <c r="AU7" s="228"/>
      <c r="AV7" s="228"/>
      <c r="AW7" s="229"/>
      <c r="AX7" s="225"/>
      <c r="AY7" s="228"/>
      <c r="AZ7" s="228"/>
      <c r="BA7" s="228"/>
      <c r="BB7" s="228"/>
      <c r="BC7" s="229"/>
      <c r="BD7" s="199"/>
    </row>
    <row r="8" spans="1:970" ht="19.5" customHeight="1">
      <c r="A8" s="261" t="s">
        <v>16</v>
      </c>
      <c r="B8" s="264" t="s">
        <v>17</v>
      </c>
      <c r="C8" s="258" t="str">
        <f>"INDIV. TEST" &amp; "  ("&amp;SETTINGS!$L$14*100 &amp;")"</f>
        <v>INDIV. TEST  (0)</v>
      </c>
      <c r="D8" s="258" t="str">
        <f>"GROUP
WORK" &amp; "  (" &amp; SETTINGS!$L$15*100 &amp;")"</f>
        <v>GROUP
WORK  (0)</v>
      </c>
      <c r="E8" s="258" t="str">
        <f xml:space="preserve"> "CLASS TEST" &amp;"  (" &amp; SETTINGS!$L$16*100 &amp;")"</f>
        <v>CLASS TEST  (0)</v>
      </c>
      <c r="F8" s="258" t="str">
        <f>"PROJECT" &amp;"  (" &amp; SETTINGS!$L$17*100 &amp;")"</f>
        <v>PROJECT  (0)</v>
      </c>
      <c r="G8" s="255" t="str">
        <f>"END OF TERM EXAM "&amp;"("&amp;SETTINGS!$L$19*100&amp;")"</f>
        <v>END OF TERM EXAM (0)</v>
      </c>
      <c r="H8" s="224"/>
      <c r="I8" s="258" t="str">
        <f>"INDIV. TEST" &amp; "  ("&amp;SETTINGS!$L$14*100 &amp;")"</f>
        <v>INDIV. TEST  (0)</v>
      </c>
      <c r="J8" s="258" t="str">
        <f>"GROUP
WORK" &amp; "  (" &amp; SETTINGS!$L$15*100 &amp;")"</f>
        <v>GROUP
WORK  (0)</v>
      </c>
      <c r="K8" s="258" t="str">
        <f xml:space="preserve"> "CLASS TEST" &amp;"  (" &amp; SETTINGS!$L$16*100 &amp;")"</f>
        <v>CLASS TEST  (0)</v>
      </c>
      <c r="L8" s="258" t="str">
        <f>"PROJECT" &amp;"  (" &amp; SETTINGS!$L$17*100 &amp;")"</f>
        <v>PROJECT  (0)</v>
      </c>
      <c r="M8" s="255" t="str">
        <f>"END OF TERM EXAM "&amp;"("&amp;SETTINGS!$L$19*100&amp;")"</f>
        <v>END OF TERM EXAM (0)</v>
      </c>
      <c r="N8" s="224"/>
      <c r="O8" s="258" t="str">
        <f>"INDIV. TEST" &amp; "  ("&amp;SETTINGS!$L$14*100 &amp;")"</f>
        <v>INDIV. TEST  (0)</v>
      </c>
      <c r="P8" s="258" t="str">
        <f>"GROUP
WORK" &amp; "  (" &amp; SETTINGS!$L$15*100 &amp;")"</f>
        <v>GROUP
WORK  (0)</v>
      </c>
      <c r="Q8" s="258" t="str">
        <f xml:space="preserve"> "CLASS TEST" &amp;"  (" &amp; SETTINGS!$L$16*100 &amp;")"</f>
        <v>CLASS TEST  (0)</v>
      </c>
      <c r="R8" s="258" t="str">
        <f>"PROJECT" &amp;"  (" &amp; SETTINGS!$L$17*100 &amp;")"</f>
        <v>PROJECT  (0)</v>
      </c>
      <c r="S8" s="255" t="str">
        <f>"END OF TERM EXAM "&amp;"("&amp;SETTINGS!$L$19*100&amp;")"</f>
        <v>END OF TERM EXAM (0)</v>
      </c>
      <c r="T8" s="224"/>
      <c r="U8" s="258" t="str">
        <f>"INDIV. TEST" &amp; "  ("&amp;SETTINGS!$L$14*100 &amp;")"</f>
        <v>INDIV. TEST  (0)</v>
      </c>
      <c r="V8" s="258" t="str">
        <f>"GROUP
WORK" &amp; "  (" &amp; SETTINGS!$L$15*100 &amp;")"</f>
        <v>GROUP
WORK  (0)</v>
      </c>
      <c r="W8" s="258" t="str">
        <f xml:space="preserve"> "CLASS TEST" &amp;"  (" &amp; SETTINGS!$L$16*100 &amp;")"</f>
        <v>CLASS TEST  (0)</v>
      </c>
      <c r="X8" s="258" t="str">
        <f>"PROJECT" &amp;"  (" &amp; SETTINGS!$L$17*100 &amp;")"</f>
        <v>PROJECT  (0)</v>
      </c>
      <c r="Y8" s="255" t="str">
        <f>"END OF TERM EXAM "&amp;"("&amp;SETTINGS!$L$19*100&amp;")"</f>
        <v>END OF TERM EXAM (0)</v>
      </c>
      <c r="Z8" s="224"/>
      <c r="AA8" s="258" t="str">
        <f>"INDIV. TEST" &amp; "  ("&amp;SETTINGS!$L$14*100 &amp;")"</f>
        <v>INDIV. TEST  (0)</v>
      </c>
      <c r="AB8" s="258" t="str">
        <f>"GROUP
WORK" &amp; "  (" &amp; SETTINGS!$L$15*100 &amp;")"</f>
        <v>GROUP
WORK  (0)</v>
      </c>
      <c r="AC8" s="258" t="str">
        <f xml:space="preserve"> "CLASS TEST" &amp;"  (" &amp; SETTINGS!$L$16*100 &amp;")"</f>
        <v>CLASS TEST  (0)</v>
      </c>
      <c r="AD8" s="258" t="str">
        <f>"PROJECT" &amp;"  (" &amp; SETTINGS!$L$17*100 &amp;")"</f>
        <v>PROJECT  (0)</v>
      </c>
      <c r="AE8" s="255" t="str">
        <f>"END OF TERM EXAM "&amp;"("&amp;SETTINGS!$L$19*100&amp;")"</f>
        <v>END OF TERM EXAM (0)</v>
      </c>
      <c r="AF8" s="224"/>
      <c r="AG8" s="258" t="str">
        <f>"INDIV. TEST" &amp; "  ("&amp;SETTINGS!$L$14*100 &amp;")"</f>
        <v>INDIV. TEST  (0)</v>
      </c>
      <c r="AH8" s="258" t="str">
        <f>"GROUP
WORK" &amp; "  (" &amp; SETTINGS!$L$15*100 &amp;")"</f>
        <v>GROUP
WORK  (0)</v>
      </c>
      <c r="AI8" s="258" t="str">
        <f xml:space="preserve"> "CLASS TEST" &amp;"  (" &amp; SETTINGS!$L$16*100 &amp;")"</f>
        <v>CLASS TEST  (0)</v>
      </c>
      <c r="AJ8" s="258" t="str">
        <f>"PROJECT" &amp;"  (" &amp; SETTINGS!$L$17*100 &amp;")"</f>
        <v>PROJECT  (0)</v>
      </c>
      <c r="AK8" s="255" t="str">
        <f>"END OF TERM EXAM "&amp;"("&amp;SETTINGS!$L$19*100&amp;")"</f>
        <v>END OF TERM EXAM (0)</v>
      </c>
      <c r="AL8" s="224"/>
      <c r="AM8" s="258" t="str">
        <f>"INDIV. TEST" &amp; "  ("&amp;SETTINGS!$L$14*100 &amp;")"</f>
        <v>INDIV. TEST  (0)</v>
      </c>
      <c r="AN8" s="258" t="str">
        <f>"GROUP
WORK" &amp; "  (" &amp; SETTINGS!$L$15*100 &amp;")"</f>
        <v>GROUP
WORK  (0)</v>
      </c>
      <c r="AO8" s="258" t="str">
        <f xml:space="preserve"> "CLASS TEST" &amp;"  (" &amp; SETTINGS!$L$16*100 &amp;")"</f>
        <v>CLASS TEST  (0)</v>
      </c>
      <c r="AP8" s="258" t="str">
        <f>"PROJECT" &amp;"  (" &amp; SETTINGS!$L$17*100 &amp;")"</f>
        <v>PROJECT  (0)</v>
      </c>
      <c r="AQ8" s="255" t="str">
        <f>"END OF TERM EXAM "&amp;"("&amp;SETTINGS!$L$19*100&amp;")"</f>
        <v>END OF TERM EXAM (0)</v>
      </c>
      <c r="AR8" s="224"/>
      <c r="AS8" s="258" t="str">
        <f>"INDIV. TEST" &amp; "  ("&amp;SETTINGS!$L$14*100 &amp;")"</f>
        <v>INDIV. TEST  (0)</v>
      </c>
      <c r="AT8" s="258" t="str">
        <f>"GROUP
WORK" &amp; "  (" &amp; SETTINGS!$L$15*100 &amp;")"</f>
        <v>GROUP
WORK  (0)</v>
      </c>
      <c r="AU8" s="258" t="str">
        <f xml:space="preserve"> "CLASS TEST" &amp;"  (" &amp; SETTINGS!$L$16*100 &amp;")"</f>
        <v>CLASS TEST  (0)</v>
      </c>
      <c r="AV8" s="258" t="str">
        <f>"PROJECT" &amp;"  (" &amp; SETTINGS!$L$17*100 &amp;")"</f>
        <v>PROJECT  (0)</v>
      </c>
      <c r="AW8" s="255" t="str">
        <f>"END OF TERM EXAM "&amp;"("&amp;SETTINGS!$L$19*100&amp;")"</f>
        <v>END OF TERM EXAM (0)</v>
      </c>
      <c r="AX8" s="224"/>
      <c r="AY8" s="258" t="str">
        <f>"INDIV. TEST" &amp; "  ("&amp;SETTINGS!$L$14*100 &amp;")"</f>
        <v>INDIV. TEST  (0)</v>
      </c>
      <c r="AZ8" s="258" t="str">
        <f>"GROUP
WORK" &amp; "  (" &amp; SETTINGS!$L$15*100 &amp;")"</f>
        <v>GROUP
WORK  (0)</v>
      </c>
      <c r="BA8" s="258" t="str">
        <f xml:space="preserve"> "CLASS TEST" &amp;"  (" &amp; SETTINGS!$L$16*100 &amp;")"</f>
        <v>CLASS TEST  (0)</v>
      </c>
      <c r="BB8" s="258" t="str">
        <f>"PROJECT" &amp;"  (" &amp; SETTINGS!$L$17*100 &amp;")"</f>
        <v>PROJECT  (0)</v>
      </c>
      <c r="BC8" s="255" t="str">
        <f>"END OF TERM EXAM "&amp;"("&amp;SETTINGS!$L$19*100&amp;")"</f>
        <v>END OF TERM EXAM (0)</v>
      </c>
      <c r="BD8" s="199"/>
    </row>
    <row r="9" spans="1:970" ht="19.5" customHeight="1">
      <c r="A9" s="262"/>
      <c r="B9" s="265"/>
      <c r="C9" s="259"/>
      <c r="D9" s="259"/>
      <c r="E9" s="259"/>
      <c r="F9" s="259"/>
      <c r="G9" s="256"/>
      <c r="H9" s="224"/>
      <c r="I9" s="259"/>
      <c r="J9" s="259"/>
      <c r="K9" s="259"/>
      <c r="L9" s="259"/>
      <c r="M9" s="256"/>
      <c r="N9" s="224"/>
      <c r="O9" s="259"/>
      <c r="P9" s="259"/>
      <c r="Q9" s="259"/>
      <c r="R9" s="259"/>
      <c r="S9" s="256"/>
      <c r="T9" s="224"/>
      <c r="U9" s="259"/>
      <c r="V9" s="259"/>
      <c r="W9" s="259"/>
      <c r="X9" s="259"/>
      <c r="Y9" s="256"/>
      <c r="Z9" s="224"/>
      <c r="AA9" s="259"/>
      <c r="AB9" s="259"/>
      <c r="AC9" s="259"/>
      <c r="AD9" s="259"/>
      <c r="AE9" s="256"/>
      <c r="AF9" s="224"/>
      <c r="AG9" s="259"/>
      <c r="AH9" s="259"/>
      <c r="AI9" s="259"/>
      <c r="AJ9" s="259"/>
      <c r="AK9" s="256"/>
      <c r="AL9" s="224"/>
      <c r="AM9" s="259"/>
      <c r="AN9" s="259"/>
      <c r="AO9" s="259"/>
      <c r="AP9" s="259"/>
      <c r="AQ9" s="256"/>
      <c r="AR9" s="224"/>
      <c r="AS9" s="259"/>
      <c r="AT9" s="259"/>
      <c r="AU9" s="259"/>
      <c r="AV9" s="259"/>
      <c r="AW9" s="256"/>
      <c r="AX9" s="224"/>
      <c r="AY9" s="259"/>
      <c r="AZ9" s="259"/>
      <c r="BA9" s="259"/>
      <c r="BB9" s="259"/>
      <c r="BC9" s="256"/>
      <c r="BD9" s="199"/>
    </row>
    <row r="10" spans="1:970" ht="19.5" customHeight="1">
      <c r="A10" s="262"/>
      <c r="B10" s="265"/>
      <c r="C10" s="259"/>
      <c r="D10" s="259"/>
      <c r="E10" s="259"/>
      <c r="F10" s="259"/>
      <c r="G10" s="256"/>
      <c r="H10" s="224"/>
      <c r="I10" s="259"/>
      <c r="J10" s="259"/>
      <c r="K10" s="259"/>
      <c r="L10" s="259"/>
      <c r="M10" s="256"/>
      <c r="N10" s="224"/>
      <c r="O10" s="259"/>
      <c r="P10" s="259"/>
      <c r="Q10" s="259"/>
      <c r="R10" s="259"/>
      <c r="S10" s="256"/>
      <c r="T10" s="224"/>
      <c r="U10" s="259"/>
      <c r="V10" s="259"/>
      <c r="W10" s="259"/>
      <c r="X10" s="259"/>
      <c r="Y10" s="256"/>
      <c r="Z10" s="224"/>
      <c r="AA10" s="259"/>
      <c r="AB10" s="259"/>
      <c r="AC10" s="259"/>
      <c r="AD10" s="259"/>
      <c r="AE10" s="256"/>
      <c r="AF10" s="224"/>
      <c r="AG10" s="259"/>
      <c r="AH10" s="259"/>
      <c r="AI10" s="259"/>
      <c r="AJ10" s="259"/>
      <c r="AK10" s="256"/>
      <c r="AL10" s="224"/>
      <c r="AM10" s="259"/>
      <c r="AN10" s="259"/>
      <c r="AO10" s="259"/>
      <c r="AP10" s="259"/>
      <c r="AQ10" s="256"/>
      <c r="AR10" s="224"/>
      <c r="AS10" s="259"/>
      <c r="AT10" s="259"/>
      <c r="AU10" s="259"/>
      <c r="AV10" s="259"/>
      <c r="AW10" s="256"/>
      <c r="AX10" s="224"/>
      <c r="AY10" s="259"/>
      <c r="AZ10" s="259"/>
      <c r="BA10" s="259"/>
      <c r="BB10" s="259"/>
      <c r="BC10" s="256"/>
      <c r="BD10" s="199"/>
    </row>
    <row r="11" spans="1:970" ht="19.5" customHeight="1">
      <c r="A11" s="263"/>
      <c r="B11" s="266"/>
      <c r="C11" s="260"/>
      <c r="D11" s="260"/>
      <c r="E11" s="260"/>
      <c r="F11" s="260"/>
      <c r="G11" s="257"/>
      <c r="H11" s="224"/>
      <c r="I11" s="260"/>
      <c r="J11" s="260"/>
      <c r="K11" s="260"/>
      <c r="L11" s="260"/>
      <c r="M11" s="257"/>
      <c r="N11" s="224"/>
      <c r="O11" s="260"/>
      <c r="P11" s="260"/>
      <c r="Q11" s="260"/>
      <c r="R11" s="260"/>
      <c r="S11" s="257"/>
      <c r="T11" s="224"/>
      <c r="U11" s="260"/>
      <c r="V11" s="260"/>
      <c r="W11" s="260"/>
      <c r="X11" s="260"/>
      <c r="Y11" s="257"/>
      <c r="Z11" s="224"/>
      <c r="AA11" s="260"/>
      <c r="AB11" s="260"/>
      <c r="AC11" s="260"/>
      <c r="AD11" s="260"/>
      <c r="AE11" s="257"/>
      <c r="AF11" s="224"/>
      <c r="AG11" s="260"/>
      <c r="AH11" s="260"/>
      <c r="AI11" s="260"/>
      <c r="AJ11" s="260"/>
      <c r="AK11" s="257"/>
      <c r="AL11" s="224"/>
      <c r="AM11" s="260"/>
      <c r="AN11" s="260"/>
      <c r="AO11" s="260"/>
      <c r="AP11" s="260"/>
      <c r="AQ11" s="257"/>
      <c r="AR11" s="224"/>
      <c r="AS11" s="260"/>
      <c r="AT11" s="260"/>
      <c r="AU11" s="260"/>
      <c r="AV11" s="260"/>
      <c r="AW11" s="257"/>
      <c r="AX11" s="224"/>
      <c r="AY11" s="260"/>
      <c r="AZ11" s="260"/>
      <c r="BA11" s="260"/>
      <c r="BB11" s="260"/>
      <c r="BC11" s="257"/>
      <c r="BD11" s="199"/>
    </row>
    <row r="12" spans="1:970" ht="19.5" customHeight="1">
      <c r="A12" s="227"/>
      <c r="B12" s="227"/>
      <c r="C12" s="334"/>
      <c r="D12" s="334"/>
      <c r="E12" s="334"/>
      <c r="F12" s="334"/>
      <c r="G12" s="334"/>
      <c r="H12" s="336"/>
      <c r="I12" s="334"/>
      <c r="J12" s="334"/>
      <c r="K12" s="334"/>
      <c r="L12" s="334"/>
      <c r="M12" s="334"/>
      <c r="N12" s="337"/>
      <c r="O12" s="334"/>
      <c r="P12" s="334"/>
      <c r="Q12" s="334"/>
      <c r="R12" s="334"/>
      <c r="S12" s="334"/>
      <c r="T12" s="337"/>
      <c r="U12" s="334"/>
      <c r="V12" s="334"/>
      <c r="W12" s="334"/>
      <c r="X12" s="334"/>
      <c r="Y12" s="334"/>
      <c r="Z12" s="337"/>
      <c r="AA12" s="334"/>
      <c r="AB12" s="334"/>
      <c r="AC12" s="334"/>
      <c r="AD12" s="334"/>
      <c r="AE12" s="334"/>
      <c r="AF12" s="337"/>
      <c r="AG12" s="334"/>
      <c r="AH12" s="334"/>
      <c r="AI12" s="334"/>
      <c r="AJ12" s="334"/>
      <c r="AK12" s="334"/>
      <c r="AL12" s="337"/>
      <c r="AM12" s="334"/>
      <c r="AN12" s="334"/>
      <c r="AO12" s="334"/>
      <c r="AP12" s="334"/>
      <c r="AQ12" s="334"/>
      <c r="AR12" s="337"/>
      <c r="AS12" s="334"/>
      <c r="AT12" s="334"/>
      <c r="AU12" s="334"/>
      <c r="AV12" s="334"/>
      <c r="AW12" s="334"/>
      <c r="AX12" s="337"/>
      <c r="AY12" s="334"/>
      <c r="AZ12" s="334"/>
      <c r="BA12" s="334"/>
      <c r="BB12" s="334"/>
      <c r="BC12" s="334"/>
      <c r="BD12" s="199"/>
    </row>
    <row r="13" spans="1:970" ht="19.5" customHeight="1">
      <c r="A13" s="227"/>
      <c r="B13" s="227"/>
      <c r="C13" s="334"/>
      <c r="D13" s="334"/>
      <c r="E13" s="334"/>
      <c r="F13" s="334"/>
      <c r="G13" s="334"/>
      <c r="H13" s="336"/>
      <c r="I13" s="334"/>
      <c r="J13" s="334"/>
      <c r="K13" s="334"/>
      <c r="L13" s="334"/>
      <c r="M13" s="334"/>
      <c r="N13" s="337"/>
      <c r="O13" s="334"/>
      <c r="P13" s="334"/>
      <c r="Q13" s="334"/>
      <c r="R13" s="334"/>
      <c r="S13" s="334"/>
      <c r="T13" s="337"/>
      <c r="U13" s="334"/>
      <c r="V13" s="334"/>
      <c r="W13" s="334"/>
      <c r="X13" s="334"/>
      <c r="Y13" s="334"/>
      <c r="Z13" s="337"/>
      <c r="AA13" s="334"/>
      <c r="AB13" s="334"/>
      <c r="AC13" s="334"/>
      <c r="AD13" s="334"/>
      <c r="AE13" s="334"/>
      <c r="AF13" s="337"/>
      <c r="AG13" s="334"/>
      <c r="AH13" s="334"/>
      <c r="AI13" s="334"/>
      <c r="AJ13" s="334"/>
      <c r="AK13" s="334"/>
      <c r="AL13" s="337"/>
      <c r="AM13" s="334"/>
      <c r="AN13" s="334"/>
      <c r="AO13" s="334"/>
      <c r="AP13" s="334"/>
      <c r="AQ13" s="334"/>
      <c r="AR13" s="337"/>
      <c r="AS13" s="334"/>
      <c r="AT13" s="334"/>
      <c r="AU13" s="334"/>
      <c r="AV13" s="334"/>
      <c r="AW13" s="334"/>
      <c r="AX13" s="337"/>
      <c r="AY13" s="334"/>
      <c r="AZ13" s="334"/>
      <c r="BA13" s="334"/>
      <c r="BB13" s="334"/>
      <c r="BC13" s="334"/>
      <c r="BD13" s="199"/>
    </row>
    <row r="14" spans="1:970" ht="19.5" customHeight="1">
      <c r="A14" s="227"/>
      <c r="B14" s="227"/>
      <c r="C14" s="335"/>
      <c r="D14" s="335"/>
      <c r="E14" s="335"/>
      <c r="F14" s="335"/>
      <c r="G14" s="335"/>
      <c r="H14" s="336"/>
      <c r="I14" s="335"/>
      <c r="J14" s="335"/>
      <c r="K14" s="335"/>
      <c r="L14" s="335"/>
      <c r="M14" s="335"/>
      <c r="N14" s="337"/>
      <c r="O14" s="335"/>
      <c r="P14" s="335"/>
      <c r="Q14" s="335"/>
      <c r="R14" s="335"/>
      <c r="S14" s="335"/>
      <c r="T14" s="337"/>
      <c r="U14" s="335"/>
      <c r="V14" s="335"/>
      <c r="W14" s="335"/>
      <c r="X14" s="335"/>
      <c r="Y14" s="335"/>
      <c r="Z14" s="337"/>
      <c r="AA14" s="335"/>
      <c r="AB14" s="335"/>
      <c r="AC14" s="335"/>
      <c r="AD14" s="335"/>
      <c r="AE14" s="335"/>
      <c r="AF14" s="337"/>
      <c r="AG14" s="335"/>
      <c r="AH14" s="335"/>
      <c r="AI14" s="335"/>
      <c r="AJ14" s="335"/>
      <c r="AK14" s="335"/>
      <c r="AL14" s="337"/>
      <c r="AM14" s="335"/>
      <c r="AN14" s="335"/>
      <c r="AO14" s="335"/>
      <c r="AP14" s="335"/>
      <c r="AQ14" s="335"/>
      <c r="AR14" s="337"/>
      <c r="AS14" s="335"/>
      <c r="AT14" s="335"/>
      <c r="AU14" s="335"/>
      <c r="AV14" s="335"/>
      <c r="AW14" s="335"/>
      <c r="AX14" s="337"/>
      <c r="AY14" s="335"/>
      <c r="AZ14" s="335"/>
      <c r="BA14" s="335"/>
      <c r="BB14" s="335"/>
      <c r="BC14" s="335"/>
      <c r="BD14" s="199"/>
    </row>
    <row r="15" spans="1:970" ht="19.5" customHeight="1">
      <c r="A15" s="227"/>
      <c r="B15" s="227"/>
      <c r="C15" s="334"/>
      <c r="D15" s="334"/>
      <c r="E15" s="334"/>
      <c r="F15" s="334"/>
      <c r="G15" s="334"/>
      <c r="H15" s="336"/>
      <c r="I15" s="334"/>
      <c r="J15" s="334"/>
      <c r="K15" s="334"/>
      <c r="L15" s="334"/>
      <c r="M15" s="334"/>
      <c r="N15" s="337"/>
      <c r="O15" s="334"/>
      <c r="P15" s="334"/>
      <c r="Q15" s="334"/>
      <c r="R15" s="334"/>
      <c r="S15" s="334"/>
      <c r="T15" s="337"/>
      <c r="U15" s="334"/>
      <c r="V15" s="334"/>
      <c r="W15" s="334"/>
      <c r="X15" s="334"/>
      <c r="Y15" s="334"/>
      <c r="Z15" s="337"/>
      <c r="AA15" s="334"/>
      <c r="AB15" s="334"/>
      <c r="AC15" s="334"/>
      <c r="AD15" s="334"/>
      <c r="AE15" s="334"/>
      <c r="AF15" s="337"/>
      <c r="AG15" s="334"/>
      <c r="AH15" s="334"/>
      <c r="AI15" s="334"/>
      <c r="AJ15" s="334"/>
      <c r="AK15" s="334"/>
      <c r="AL15" s="337"/>
      <c r="AM15" s="334"/>
      <c r="AN15" s="334"/>
      <c r="AO15" s="334"/>
      <c r="AP15" s="334"/>
      <c r="AQ15" s="334"/>
      <c r="AR15" s="337"/>
      <c r="AS15" s="334"/>
      <c r="AT15" s="334"/>
      <c r="AU15" s="334"/>
      <c r="AV15" s="334"/>
      <c r="AW15" s="334"/>
      <c r="AX15" s="337"/>
      <c r="AY15" s="334"/>
      <c r="AZ15" s="334"/>
      <c r="BA15" s="334"/>
      <c r="BB15" s="334"/>
      <c r="BC15" s="334"/>
      <c r="BD15" s="199"/>
    </row>
    <row r="16" spans="1:970" ht="19.5" customHeight="1">
      <c r="A16" s="227"/>
      <c r="B16" s="227"/>
      <c r="C16" s="334"/>
      <c r="D16" s="334"/>
      <c r="E16" s="334"/>
      <c r="F16" s="334"/>
      <c r="G16" s="334"/>
      <c r="H16" s="336"/>
      <c r="I16" s="334"/>
      <c r="J16" s="334"/>
      <c r="K16" s="334"/>
      <c r="L16" s="334"/>
      <c r="M16" s="334"/>
      <c r="N16" s="337"/>
      <c r="O16" s="334"/>
      <c r="P16" s="334"/>
      <c r="Q16" s="334"/>
      <c r="R16" s="334"/>
      <c r="S16" s="334"/>
      <c r="T16" s="337"/>
      <c r="U16" s="334"/>
      <c r="V16" s="334"/>
      <c r="W16" s="334"/>
      <c r="X16" s="334"/>
      <c r="Y16" s="334"/>
      <c r="Z16" s="337"/>
      <c r="AA16" s="334"/>
      <c r="AB16" s="334"/>
      <c r="AC16" s="334"/>
      <c r="AD16" s="334"/>
      <c r="AE16" s="334"/>
      <c r="AF16" s="337"/>
      <c r="AG16" s="334"/>
      <c r="AH16" s="334"/>
      <c r="AI16" s="334"/>
      <c r="AJ16" s="334"/>
      <c r="AK16" s="334"/>
      <c r="AL16" s="337"/>
      <c r="AM16" s="334"/>
      <c r="AN16" s="334"/>
      <c r="AO16" s="334"/>
      <c r="AP16" s="334"/>
      <c r="AQ16" s="334"/>
      <c r="AR16" s="337"/>
      <c r="AS16" s="334"/>
      <c r="AT16" s="334"/>
      <c r="AU16" s="334"/>
      <c r="AV16" s="334"/>
      <c r="AW16" s="334"/>
      <c r="AX16" s="337"/>
      <c r="AY16" s="334"/>
      <c r="AZ16" s="334"/>
      <c r="BA16" s="334"/>
      <c r="BB16" s="334"/>
      <c r="BC16" s="334"/>
      <c r="BD16" s="199"/>
    </row>
    <row r="17" spans="1:56" ht="19.5" customHeight="1">
      <c r="A17" s="227"/>
      <c r="B17" s="227"/>
      <c r="C17" s="334"/>
      <c r="D17" s="334"/>
      <c r="E17" s="334"/>
      <c r="F17" s="334"/>
      <c r="G17" s="334"/>
      <c r="H17" s="336"/>
      <c r="I17" s="334"/>
      <c r="J17" s="334"/>
      <c r="K17" s="334"/>
      <c r="L17" s="334"/>
      <c r="M17" s="334"/>
      <c r="N17" s="337"/>
      <c r="O17" s="334"/>
      <c r="P17" s="334"/>
      <c r="Q17" s="334"/>
      <c r="R17" s="334"/>
      <c r="S17" s="334"/>
      <c r="T17" s="337"/>
      <c r="U17" s="334"/>
      <c r="V17" s="334"/>
      <c r="W17" s="334"/>
      <c r="X17" s="334"/>
      <c r="Y17" s="334"/>
      <c r="Z17" s="337"/>
      <c r="AA17" s="334"/>
      <c r="AB17" s="334"/>
      <c r="AC17" s="334"/>
      <c r="AD17" s="334"/>
      <c r="AE17" s="334"/>
      <c r="AF17" s="337"/>
      <c r="AG17" s="334"/>
      <c r="AH17" s="334"/>
      <c r="AI17" s="334"/>
      <c r="AJ17" s="334"/>
      <c r="AK17" s="334"/>
      <c r="AL17" s="337"/>
      <c r="AM17" s="334"/>
      <c r="AN17" s="334"/>
      <c r="AO17" s="334"/>
      <c r="AP17" s="334"/>
      <c r="AQ17" s="334"/>
      <c r="AR17" s="337"/>
      <c r="AS17" s="334"/>
      <c r="AT17" s="334"/>
      <c r="AU17" s="334"/>
      <c r="AV17" s="334"/>
      <c r="AW17" s="334"/>
      <c r="AX17" s="337"/>
      <c r="AY17" s="334"/>
      <c r="AZ17" s="334"/>
      <c r="BA17" s="334"/>
      <c r="BB17" s="334"/>
      <c r="BC17" s="334"/>
      <c r="BD17" s="199"/>
    </row>
    <row r="18" spans="1:56" ht="19.5" customHeight="1">
      <c r="A18" s="227"/>
      <c r="B18" s="227"/>
      <c r="C18" s="334"/>
      <c r="D18" s="334"/>
      <c r="E18" s="334"/>
      <c r="F18" s="334"/>
      <c r="G18" s="334"/>
      <c r="H18" s="336"/>
      <c r="I18" s="334"/>
      <c r="J18" s="334"/>
      <c r="K18" s="334"/>
      <c r="L18" s="334"/>
      <c r="M18" s="334"/>
      <c r="N18" s="337"/>
      <c r="O18" s="334"/>
      <c r="P18" s="334"/>
      <c r="Q18" s="334"/>
      <c r="R18" s="334"/>
      <c r="S18" s="334"/>
      <c r="T18" s="337"/>
      <c r="U18" s="334"/>
      <c r="V18" s="334"/>
      <c r="W18" s="334"/>
      <c r="X18" s="334"/>
      <c r="Y18" s="334"/>
      <c r="Z18" s="337"/>
      <c r="AA18" s="334"/>
      <c r="AB18" s="334"/>
      <c r="AC18" s="334"/>
      <c r="AD18" s="334"/>
      <c r="AE18" s="334"/>
      <c r="AF18" s="337"/>
      <c r="AG18" s="334"/>
      <c r="AH18" s="334"/>
      <c r="AI18" s="334"/>
      <c r="AJ18" s="334"/>
      <c r="AK18" s="334"/>
      <c r="AL18" s="337"/>
      <c r="AM18" s="334"/>
      <c r="AN18" s="334"/>
      <c r="AO18" s="334"/>
      <c r="AP18" s="334"/>
      <c r="AQ18" s="334"/>
      <c r="AR18" s="337"/>
      <c r="AS18" s="334"/>
      <c r="AT18" s="334"/>
      <c r="AU18" s="334"/>
      <c r="AV18" s="334"/>
      <c r="AW18" s="334"/>
      <c r="AX18" s="337"/>
      <c r="AY18" s="334"/>
      <c r="AZ18" s="334"/>
      <c r="BA18" s="334"/>
      <c r="BB18" s="334"/>
      <c r="BC18" s="334"/>
      <c r="BD18" s="199"/>
    </row>
    <row r="19" spans="1:56" ht="19.5" customHeight="1">
      <c r="A19" s="227"/>
      <c r="B19" s="227"/>
      <c r="C19" s="335"/>
      <c r="D19" s="335"/>
      <c r="E19" s="335"/>
      <c r="F19" s="335"/>
      <c r="G19" s="335"/>
      <c r="H19" s="336"/>
      <c r="I19" s="335"/>
      <c r="J19" s="335"/>
      <c r="K19" s="335"/>
      <c r="L19" s="335"/>
      <c r="M19" s="335"/>
      <c r="N19" s="337"/>
      <c r="O19" s="335"/>
      <c r="P19" s="335"/>
      <c r="Q19" s="335"/>
      <c r="R19" s="335"/>
      <c r="S19" s="335"/>
      <c r="T19" s="337"/>
      <c r="U19" s="335"/>
      <c r="V19" s="335"/>
      <c r="W19" s="335"/>
      <c r="X19" s="335"/>
      <c r="Y19" s="335"/>
      <c r="Z19" s="337"/>
      <c r="AA19" s="335"/>
      <c r="AB19" s="335"/>
      <c r="AC19" s="335"/>
      <c r="AD19" s="335"/>
      <c r="AE19" s="335"/>
      <c r="AF19" s="337"/>
      <c r="AG19" s="335"/>
      <c r="AH19" s="335"/>
      <c r="AI19" s="335"/>
      <c r="AJ19" s="335"/>
      <c r="AK19" s="335"/>
      <c r="AL19" s="337"/>
      <c r="AM19" s="335"/>
      <c r="AN19" s="335"/>
      <c r="AO19" s="335"/>
      <c r="AP19" s="335"/>
      <c r="AQ19" s="335"/>
      <c r="AR19" s="337"/>
      <c r="AS19" s="335"/>
      <c r="AT19" s="335"/>
      <c r="AU19" s="335"/>
      <c r="AV19" s="335"/>
      <c r="AW19" s="335"/>
      <c r="AX19" s="337"/>
      <c r="AY19" s="335"/>
      <c r="AZ19" s="335"/>
      <c r="BA19" s="335"/>
      <c r="BB19" s="335"/>
      <c r="BC19" s="335"/>
      <c r="BD19" s="199"/>
    </row>
    <row r="20" spans="1:56" ht="19.5" customHeight="1">
      <c r="A20" s="227"/>
      <c r="B20" s="227"/>
      <c r="C20" s="334"/>
      <c r="D20" s="334"/>
      <c r="E20" s="334"/>
      <c r="F20" s="334"/>
      <c r="G20" s="334"/>
      <c r="H20" s="336"/>
      <c r="I20" s="334"/>
      <c r="J20" s="334"/>
      <c r="K20" s="334"/>
      <c r="L20" s="334"/>
      <c r="M20" s="334"/>
      <c r="N20" s="337"/>
      <c r="O20" s="334"/>
      <c r="P20" s="334"/>
      <c r="Q20" s="334"/>
      <c r="R20" s="334"/>
      <c r="S20" s="334"/>
      <c r="T20" s="337"/>
      <c r="U20" s="334"/>
      <c r="V20" s="334"/>
      <c r="W20" s="334"/>
      <c r="X20" s="334"/>
      <c r="Y20" s="334"/>
      <c r="Z20" s="337"/>
      <c r="AA20" s="334"/>
      <c r="AB20" s="334"/>
      <c r="AC20" s="334"/>
      <c r="AD20" s="334"/>
      <c r="AE20" s="334"/>
      <c r="AF20" s="337"/>
      <c r="AG20" s="334"/>
      <c r="AH20" s="334"/>
      <c r="AI20" s="334"/>
      <c r="AJ20" s="334"/>
      <c r="AK20" s="334"/>
      <c r="AL20" s="337"/>
      <c r="AM20" s="334"/>
      <c r="AN20" s="334"/>
      <c r="AO20" s="334"/>
      <c r="AP20" s="334"/>
      <c r="AQ20" s="334"/>
      <c r="AR20" s="337"/>
      <c r="AS20" s="334"/>
      <c r="AT20" s="334"/>
      <c r="AU20" s="334"/>
      <c r="AV20" s="334"/>
      <c r="AW20" s="334"/>
      <c r="AX20" s="337"/>
      <c r="AY20" s="334"/>
      <c r="AZ20" s="334"/>
      <c r="BA20" s="334"/>
      <c r="BB20" s="334"/>
      <c r="BC20" s="334"/>
      <c r="BD20" s="199"/>
    </row>
    <row r="21" spans="1:56" ht="19.5" customHeight="1">
      <c r="A21" s="227"/>
      <c r="B21" s="227"/>
      <c r="C21" s="334"/>
      <c r="D21" s="334"/>
      <c r="E21" s="334"/>
      <c r="F21" s="334"/>
      <c r="G21" s="334"/>
      <c r="H21" s="336"/>
      <c r="I21" s="334"/>
      <c r="J21" s="334"/>
      <c r="K21" s="334"/>
      <c r="L21" s="334"/>
      <c r="M21" s="334"/>
      <c r="N21" s="337"/>
      <c r="O21" s="334"/>
      <c r="P21" s="334"/>
      <c r="Q21" s="334"/>
      <c r="R21" s="334"/>
      <c r="S21" s="334"/>
      <c r="T21" s="337"/>
      <c r="U21" s="334"/>
      <c r="V21" s="334"/>
      <c r="W21" s="334"/>
      <c r="X21" s="334"/>
      <c r="Y21" s="334"/>
      <c r="Z21" s="337"/>
      <c r="AA21" s="334"/>
      <c r="AB21" s="334"/>
      <c r="AC21" s="334"/>
      <c r="AD21" s="334"/>
      <c r="AE21" s="334"/>
      <c r="AF21" s="337"/>
      <c r="AG21" s="334"/>
      <c r="AH21" s="334"/>
      <c r="AI21" s="334"/>
      <c r="AJ21" s="334"/>
      <c r="AK21" s="334"/>
      <c r="AL21" s="337"/>
      <c r="AM21" s="334"/>
      <c r="AN21" s="334"/>
      <c r="AO21" s="334"/>
      <c r="AP21" s="334"/>
      <c r="AQ21" s="334"/>
      <c r="AR21" s="337"/>
      <c r="AS21" s="334"/>
      <c r="AT21" s="334"/>
      <c r="AU21" s="334"/>
      <c r="AV21" s="334"/>
      <c r="AW21" s="334"/>
      <c r="AX21" s="337"/>
      <c r="AY21" s="334"/>
      <c r="AZ21" s="334"/>
      <c r="BA21" s="334"/>
      <c r="BB21" s="334"/>
      <c r="BC21" s="334"/>
      <c r="BD21" s="199"/>
    </row>
    <row r="22" spans="1:56" ht="19.5" customHeight="1">
      <c r="A22" s="227"/>
      <c r="B22" s="227"/>
      <c r="C22" s="334"/>
      <c r="D22" s="334"/>
      <c r="E22" s="334"/>
      <c r="F22" s="334"/>
      <c r="G22" s="334"/>
      <c r="H22" s="336"/>
      <c r="I22" s="334"/>
      <c r="J22" s="334"/>
      <c r="K22" s="334"/>
      <c r="L22" s="334"/>
      <c r="M22" s="334"/>
      <c r="N22" s="337"/>
      <c r="O22" s="334"/>
      <c r="P22" s="334"/>
      <c r="Q22" s="334"/>
      <c r="R22" s="334"/>
      <c r="S22" s="334"/>
      <c r="T22" s="337"/>
      <c r="U22" s="334"/>
      <c r="V22" s="334"/>
      <c r="W22" s="334"/>
      <c r="X22" s="334"/>
      <c r="Y22" s="334"/>
      <c r="Z22" s="337"/>
      <c r="AA22" s="334"/>
      <c r="AB22" s="334"/>
      <c r="AC22" s="334"/>
      <c r="AD22" s="334"/>
      <c r="AE22" s="334"/>
      <c r="AF22" s="337"/>
      <c r="AG22" s="334"/>
      <c r="AH22" s="334"/>
      <c r="AI22" s="334"/>
      <c r="AJ22" s="334"/>
      <c r="AK22" s="334"/>
      <c r="AL22" s="337"/>
      <c r="AM22" s="334"/>
      <c r="AN22" s="334"/>
      <c r="AO22" s="334"/>
      <c r="AP22" s="334"/>
      <c r="AQ22" s="334"/>
      <c r="AR22" s="337"/>
      <c r="AS22" s="334"/>
      <c r="AT22" s="334"/>
      <c r="AU22" s="334"/>
      <c r="AV22" s="334"/>
      <c r="AW22" s="334"/>
      <c r="AX22" s="337"/>
      <c r="AY22" s="334"/>
      <c r="AZ22" s="334"/>
      <c r="BA22" s="334"/>
      <c r="BB22" s="334"/>
      <c r="BC22" s="334"/>
      <c r="BD22" s="199"/>
    </row>
    <row r="23" spans="1:56" ht="19.5" customHeight="1">
      <c r="A23" s="227"/>
      <c r="B23" s="227"/>
      <c r="C23" s="334"/>
      <c r="D23" s="334"/>
      <c r="E23" s="334"/>
      <c r="F23" s="334"/>
      <c r="G23" s="334"/>
      <c r="H23" s="336"/>
      <c r="I23" s="334"/>
      <c r="J23" s="334"/>
      <c r="K23" s="334"/>
      <c r="L23" s="334"/>
      <c r="M23" s="334"/>
      <c r="N23" s="337"/>
      <c r="O23" s="334"/>
      <c r="P23" s="334"/>
      <c r="Q23" s="334"/>
      <c r="R23" s="334"/>
      <c r="S23" s="334"/>
      <c r="T23" s="337"/>
      <c r="U23" s="334"/>
      <c r="V23" s="334"/>
      <c r="W23" s="334"/>
      <c r="X23" s="334"/>
      <c r="Y23" s="334"/>
      <c r="Z23" s="337"/>
      <c r="AA23" s="334"/>
      <c r="AB23" s="334"/>
      <c r="AC23" s="334"/>
      <c r="AD23" s="334"/>
      <c r="AE23" s="334"/>
      <c r="AF23" s="337"/>
      <c r="AG23" s="334"/>
      <c r="AH23" s="334"/>
      <c r="AI23" s="334"/>
      <c r="AJ23" s="334"/>
      <c r="AK23" s="334"/>
      <c r="AL23" s="337"/>
      <c r="AM23" s="334"/>
      <c r="AN23" s="334"/>
      <c r="AO23" s="334"/>
      <c r="AP23" s="334"/>
      <c r="AQ23" s="334"/>
      <c r="AR23" s="337"/>
      <c r="AS23" s="334"/>
      <c r="AT23" s="334"/>
      <c r="AU23" s="334"/>
      <c r="AV23" s="334"/>
      <c r="AW23" s="334"/>
      <c r="AX23" s="337"/>
      <c r="AY23" s="334"/>
      <c r="AZ23" s="334"/>
      <c r="BA23" s="334"/>
      <c r="BB23" s="334"/>
      <c r="BC23" s="334"/>
      <c r="BD23" s="199"/>
    </row>
    <row r="24" spans="1:56" ht="19.5" customHeight="1">
      <c r="A24" s="227"/>
      <c r="B24" s="227"/>
      <c r="C24" s="335"/>
      <c r="D24" s="335"/>
      <c r="E24" s="335"/>
      <c r="F24" s="335"/>
      <c r="G24" s="335"/>
      <c r="H24" s="336"/>
      <c r="I24" s="335"/>
      <c r="J24" s="335"/>
      <c r="K24" s="335"/>
      <c r="L24" s="335"/>
      <c r="M24" s="335"/>
      <c r="N24" s="337"/>
      <c r="O24" s="335"/>
      <c r="P24" s="335"/>
      <c r="Q24" s="335"/>
      <c r="R24" s="335"/>
      <c r="S24" s="335"/>
      <c r="T24" s="337"/>
      <c r="U24" s="335"/>
      <c r="V24" s="335"/>
      <c r="W24" s="335"/>
      <c r="X24" s="335"/>
      <c r="Y24" s="335"/>
      <c r="Z24" s="337"/>
      <c r="AA24" s="335"/>
      <c r="AB24" s="335"/>
      <c r="AC24" s="335"/>
      <c r="AD24" s="335"/>
      <c r="AE24" s="335"/>
      <c r="AF24" s="337"/>
      <c r="AG24" s="335"/>
      <c r="AH24" s="335"/>
      <c r="AI24" s="335"/>
      <c r="AJ24" s="335"/>
      <c r="AK24" s="335"/>
      <c r="AL24" s="337"/>
      <c r="AM24" s="335"/>
      <c r="AN24" s="335"/>
      <c r="AO24" s="335"/>
      <c r="AP24" s="335"/>
      <c r="AQ24" s="335"/>
      <c r="AR24" s="337"/>
      <c r="AS24" s="335"/>
      <c r="AT24" s="335"/>
      <c r="AU24" s="335"/>
      <c r="AV24" s="335"/>
      <c r="AW24" s="335"/>
      <c r="AX24" s="337"/>
      <c r="AY24" s="335"/>
      <c r="AZ24" s="335"/>
      <c r="BA24" s="335"/>
      <c r="BB24" s="335"/>
      <c r="BC24" s="335"/>
      <c r="BD24" s="199"/>
    </row>
    <row r="25" spans="1:56" ht="19.5" customHeight="1">
      <c r="A25" s="227"/>
      <c r="B25" s="227"/>
      <c r="C25" s="334"/>
      <c r="D25" s="334"/>
      <c r="E25" s="334"/>
      <c r="F25" s="334"/>
      <c r="G25" s="334"/>
      <c r="H25" s="336"/>
      <c r="I25" s="334"/>
      <c r="J25" s="334"/>
      <c r="K25" s="334"/>
      <c r="L25" s="334"/>
      <c r="M25" s="334"/>
      <c r="N25" s="337"/>
      <c r="O25" s="334"/>
      <c r="P25" s="334"/>
      <c r="Q25" s="334"/>
      <c r="R25" s="334"/>
      <c r="S25" s="334"/>
      <c r="T25" s="337"/>
      <c r="U25" s="334"/>
      <c r="V25" s="334"/>
      <c r="W25" s="334"/>
      <c r="X25" s="334"/>
      <c r="Y25" s="334"/>
      <c r="Z25" s="337"/>
      <c r="AA25" s="334"/>
      <c r="AB25" s="334"/>
      <c r="AC25" s="334"/>
      <c r="AD25" s="334"/>
      <c r="AE25" s="334"/>
      <c r="AF25" s="337"/>
      <c r="AG25" s="334"/>
      <c r="AH25" s="334"/>
      <c r="AI25" s="334"/>
      <c r="AJ25" s="334"/>
      <c r="AK25" s="334"/>
      <c r="AL25" s="337"/>
      <c r="AM25" s="334"/>
      <c r="AN25" s="334"/>
      <c r="AO25" s="334"/>
      <c r="AP25" s="334"/>
      <c r="AQ25" s="334"/>
      <c r="AR25" s="337"/>
      <c r="AS25" s="334"/>
      <c r="AT25" s="334"/>
      <c r="AU25" s="334"/>
      <c r="AV25" s="334"/>
      <c r="AW25" s="334"/>
      <c r="AX25" s="337"/>
      <c r="AY25" s="334"/>
      <c r="AZ25" s="334"/>
      <c r="BA25" s="334"/>
      <c r="BB25" s="334"/>
      <c r="BC25" s="334"/>
      <c r="BD25" s="199"/>
    </row>
    <row r="26" spans="1:56" ht="19.5" customHeight="1">
      <c r="A26" s="227"/>
      <c r="B26" s="227"/>
      <c r="C26" s="334"/>
      <c r="D26" s="334"/>
      <c r="E26" s="334"/>
      <c r="F26" s="334"/>
      <c r="G26" s="334"/>
      <c r="H26" s="336"/>
      <c r="I26" s="334"/>
      <c r="J26" s="334"/>
      <c r="K26" s="334"/>
      <c r="L26" s="334"/>
      <c r="M26" s="334"/>
      <c r="N26" s="337"/>
      <c r="O26" s="334"/>
      <c r="P26" s="334"/>
      <c r="Q26" s="334"/>
      <c r="R26" s="334"/>
      <c r="S26" s="334"/>
      <c r="T26" s="337"/>
      <c r="U26" s="334"/>
      <c r="V26" s="334"/>
      <c r="W26" s="334"/>
      <c r="X26" s="334"/>
      <c r="Y26" s="334"/>
      <c r="Z26" s="337"/>
      <c r="AA26" s="334"/>
      <c r="AB26" s="334"/>
      <c r="AC26" s="334"/>
      <c r="AD26" s="334"/>
      <c r="AE26" s="334"/>
      <c r="AF26" s="337"/>
      <c r="AG26" s="334"/>
      <c r="AH26" s="334"/>
      <c r="AI26" s="334"/>
      <c r="AJ26" s="334"/>
      <c r="AK26" s="334"/>
      <c r="AL26" s="337"/>
      <c r="AM26" s="334"/>
      <c r="AN26" s="334"/>
      <c r="AO26" s="334"/>
      <c r="AP26" s="334"/>
      <c r="AQ26" s="334"/>
      <c r="AR26" s="337"/>
      <c r="AS26" s="334"/>
      <c r="AT26" s="334"/>
      <c r="AU26" s="334"/>
      <c r="AV26" s="334"/>
      <c r="AW26" s="334"/>
      <c r="AX26" s="337"/>
      <c r="AY26" s="334"/>
      <c r="AZ26" s="334"/>
      <c r="BA26" s="334"/>
      <c r="BB26" s="334"/>
      <c r="BC26" s="334"/>
      <c r="BD26" s="199"/>
    </row>
    <row r="27" spans="1:56" ht="19.5" customHeight="1">
      <c r="A27" s="227"/>
      <c r="B27" s="227"/>
      <c r="C27" s="334"/>
      <c r="D27" s="334"/>
      <c r="E27" s="334"/>
      <c r="F27" s="334"/>
      <c r="G27" s="334"/>
      <c r="H27" s="336"/>
      <c r="I27" s="334"/>
      <c r="J27" s="334"/>
      <c r="K27" s="334"/>
      <c r="L27" s="334"/>
      <c r="M27" s="334"/>
      <c r="N27" s="337"/>
      <c r="O27" s="334"/>
      <c r="P27" s="334"/>
      <c r="Q27" s="334"/>
      <c r="R27" s="334"/>
      <c r="S27" s="334"/>
      <c r="T27" s="337"/>
      <c r="U27" s="334"/>
      <c r="V27" s="334"/>
      <c r="W27" s="334"/>
      <c r="X27" s="334"/>
      <c r="Y27" s="334"/>
      <c r="Z27" s="337"/>
      <c r="AA27" s="334"/>
      <c r="AB27" s="334"/>
      <c r="AC27" s="334"/>
      <c r="AD27" s="334"/>
      <c r="AE27" s="334"/>
      <c r="AF27" s="337"/>
      <c r="AG27" s="334"/>
      <c r="AH27" s="334"/>
      <c r="AI27" s="334"/>
      <c r="AJ27" s="334"/>
      <c r="AK27" s="334"/>
      <c r="AL27" s="337"/>
      <c r="AM27" s="334"/>
      <c r="AN27" s="334"/>
      <c r="AO27" s="334"/>
      <c r="AP27" s="334"/>
      <c r="AQ27" s="334"/>
      <c r="AR27" s="337"/>
      <c r="AS27" s="334"/>
      <c r="AT27" s="334"/>
      <c r="AU27" s="334"/>
      <c r="AV27" s="334"/>
      <c r="AW27" s="334"/>
      <c r="AX27" s="337"/>
      <c r="AY27" s="334"/>
      <c r="AZ27" s="334"/>
      <c r="BA27" s="334"/>
      <c r="BB27" s="334"/>
      <c r="BC27" s="334"/>
      <c r="BD27" s="199"/>
    </row>
    <row r="28" spans="1:56" ht="19.5" customHeight="1">
      <c r="A28" s="227"/>
      <c r="B28" s="227"/>
      <c r="C28" s="334"/>
      <c r="D28" s="334"/>
      <c r="E28" s="334"/>
      <c r="F28" s="334"/>
      <c r="G28" s="334"/>
      <c r="H28" s="336"/>
      <c r="I28" s="334"/>
      <c r="J28" s="334"/>
      <c r="K28" s="334"/>
      <c r="L28" s="334"/>
      <c r="M28" s="334"/>
      <c r="N28" s="337"/>
      <c r="O28" s="334"/>
      <c r="P28" s="334"/>
      <c r="Q28" s="334"/>
      <c r="R28" s="334"/>
      <c r="S28" s="334"/>
      <c r="T28" s="337"/>
      <c r="U28" s="334"/>
      <c r="V28" s="334"/>
      <c r="W28" s="334"/>
      <c r="X28" s="334"/>
      <c r="Y28" s="334"/>
      <c r="Z28" s="337"/>
      <c r="AA28" s="334"/>
      <c r="AB28" s="334"/>
      <c r="AC28" s="334"/>
      <c r="AD28" s="334"/>
      <c r="AE28" s="334"/>
      <c r="AF28" s="337"/>
      <c r="AG28" s="334"/>
      <c r="AH28" s="334"/>
      <c r="AI28" s="334"/>
      <c r="AJ28" s="334"/>
      <c r="AK28" s="334"/>
      <c r="AL28" s="337"/>
      <c r="AM28" s="334"/>
      <c r="AN28" s="334"/>
      <c r="AO28" s="334"/>
      <c r="AP28" s="334"/>
      <c r="AQ28" s="334"/>
      <c r="AR28" s="337"/>
      <c r="AS28" s="334"/>
      <c r="AT28" s="334"/>
      <c r="AU28" s="334"/>
      <c r="AV28" s="334"/>
      <c r="AW28" s="334"/>
      <c r="AX28" s="337"/>
      <c r="AY28" s="334"/>
      <c r="AZ28" s="334"/>
      <c r="BA28" s="334"/>
      <c r="BB28" s="334"/>
      <c r="BC28" s="334"/>
      <c r="BD28" s="199"/>
    </row>
    <row r="29" spans="1:56" ht="19.5" customHeight="1">
      <c r="A29" s="227"/>
      <c r="B29" s="227"/>
      <c r="C29" s="335"/>
      <c r="D29" s="335"/>
      <c r="E29" s="335"/>
      <c r="F29" s="335"/>
      <c r="G29" s="335"/>
      <c r="H29" s="336"/>
      <c r="I29" s="335"/>
      <c r="J29" s="335"/>
      <c r="K29" s="335"/>
      <c r="L29" s="335"/>
      <c r="M29" s="335"/>
      <c r="N29" s="337"/>
      <c r="O29" s="335"/>
      <c r="P29" s="335"/>
      <c r="Q29" s="335"/>
      <c r="R29" s="335"/>
      <c r="S29" s="335"/>
      <c r="T29" s="337"/>
      <c r="U29" s="335"/>
      <c r="V29" s="335"/>
      <c r="W29" s="335"/>
      <c r="X29" s="335"/>
      <c r="Y29" s="335"/>
      <c r="Z29" s="337"/>
      <c r="AA29" s="335"/>
      <c r="AB29" s="335"/>
      <c r="AC29" s="335"/>
      <c r="AD29" s="335"/>
      <c r="AE29" s="335"/>
      <c r="AF29" s="337"/>
      <c r="AG29" s="335"/>
      <c r="AH29" s="335"/>
      <c r="AI29" s="335"/>
      <c r="AJ29" s="335"/>
      <c r="AK29" s="335"/>
      <c r="AL29" s="337"/>
      <c r="AM29" s="335"/>
      <c r="AN29" s="335"/>
      <c r="AO29" s="335"/>
      <c r="AP29" s="335"/>
      <c r="AQ29" s="335"/>
      <c r="AR29" s="337"/>
      <c r="AS29" s="335"/>
      <c r="AT29" s="335"/>
      <c r="AU29" s="335"/>
      <c r="AV29" s="335"/>
      <c r="AW29" s="335"/>
      <c r="AX29" s="337"/>
      <c r="AY29" s="335"/>
      <c r="AZ29" s="335"/>
      <c r="BA29" s="335"/>
      <c r="BB29" s="335"/>
      <c r="BC29" s="335"/>
      <c r="BD29" s="199"/>
    </row>
    <row r="30" spans="1:56" ht="19.5" customHeight="1">
      <c r="A30" s="227"/>
      <c r="B30" s="227"/>
      <c r="C30" s="334"/>
      <c r="D30" s="334"/>
      <c r="E30" s="334"/>
      <c r="F30" s="334"/>
      <c r="G30" s="334"/>
      <c r="H30" s="336"/>
      <c r="I30" s="334"/>
      <c r="J30" s="334"/>
      <c r="K30" s="334"/>
      <c r="L30" s="334"/>
      <c r="M30" s="334"/>
      <c r="N30" s="337"/>
      <c r="O30" s="334"/>
      <c r="P30" s="334"/>
      <c r="Q30" s="334"/>
      <c r="R30" s="334"/>
      <c r="S30" s="334"/>
      <c r="T30" s="337"/>
      <c r="U30" s="334"/>
      <c r="V30" s="334"/>
      <c r="W30" s="334"/>
      <c r="X30" s="334"/>
      <c r="Y30" s="334"/>
      <c r="Z30" s="337"/>
      <c r="AA30" s="334"/>
      <c r="AB30" s="334"/>
      <c r="AC30" s="334"/>
      <c r="AD30" s="334"/>
      <c r="AE30" s="334"/>
      <c r="AF30" s="337"/>
      <c r="AG30" s="334"/>
      <c r="AH30" s="334"/>
      <c r="AI30" s="334"/>
      <c r="AJ30" s="334"/>
      <c r="AK30" s="334"/>
      <c r="AL30" s="337"/>
      <c r="AM30" s="334"/>
      <c r="AN30" s="334"/>
      <c r="AO30" s="334"/>
      <c r="AP30" s="334"/>
      <c r="AQ30" s="334"/>
      <c r="AR30" s="337"/>
      <c r="AS30" s="334"/>
      <c r="AT30" s="334"/>
      <c r="AU30" s="334"/>
      <c r="AV30" s="334"/>
      <c r="AW30" s="334"/>
      <c r="AX30" s="337"/>
      <c r="AY30" s="334"/>
      <c r="AZ30" s="334"/>
      <c r="BA30" s="334"/>
      <c r="BB30" s="334"/>
      <c r="BC30" s="334"/>
      <c r="BD30" s="199"/>
    </row>
    <row r="31" spans="1:56" ht="19.5" customHeight="1">
      <c r="A31" s="227"/>
      <c r="B31" s="227"/>
      <c r="C31" s="334"/>
      <c r="D31" s="334"/>
      <c r="E31" s="334"/>
      <c r="F31" s="334"/>
      <c r="G31" s="334"/>
      <c r="H31" s="336"/>
      <c r="I31" s="334"/>
      <c r="J31" s="334"/>
      <c r="K31" s="334"/>
      <c r="L31" s="334"/>
      <c r="M31" s="334"/>
      <c r="N31" s="337"/>
      <c r="O31" s="334"/>
      <c r="P31" s="334"/>
      <c r="Q31" s="334"/>
      <c r="R31" s="334"/>
      <c r="S31" s="334"/>
      <c r="T31" s="337"/>
      <c r="U31" s="334"/>
      <c r="V31" s="334"/>
      <c r="W31" s="334"/>
      <c r="X31" s="334"/>
      <c r="Y31" s="334"/>
      <c r="Z31" s="337"/>
      <c r="AA31" s="334"/>
      <c r="AB31" s="334"/>
      <c r="AC31" s="334"/>
      <c r="AD31" s="334"/>
      <c r="AE31" s="334"/>
      <c r="AF31" s="337"/>
      <c r="AG31" s="334"/>
      <c r="AH31" s="334"/>
      <c r="AI31" s="334"/>
      <c r="AJ31" s="334"/>
      <c r="AK31" s="334"/>
      <c r="AL31" s="337"/>
      <c r="AM31" s="334"/>
      <c r="AN31" s="334"/>
      <c r="AO31" s="334"/>
      <c r="AP31" s="334"/>
      <c r="AQ31" s="334"/>
      <c r="AR31" s="337"/>
      <c r="AS31" s="334"/>
      <c r="AT31" s="334"/>
      <c r="AU31" s="334"/>
      <c r="AV31" s="334"/>
      <c r="AW31" s="334"/>
      <c r="AX31" s="337"/>
      <c r="AY31" s="334"/>
      <c r="AZ31" s="334"/>
      <c r="BA31" s="334"/>
      <c r="BB31" s="334"/>
      <c r="BC31" s="334"/>
      <c r="BD31" s="199"/>
    </row>
    <row r="32" spans="1:56" ht="19.5" customHeight="1">
      <c r="A32" s="227"/>
      <c r="B32" s="227"/>
      <c r="C32" s="334"/>
      <c r="D32" s="334"/>
      <c r="E32" s="334"/>
      <c r="F32" s="334"/>
      <c r="G32" s="334"/>
      <c r="H32" s="336"/>
      <c r="I32" s="334"/>
      <c r="J32" s="334"/>
      <c r="K32" s="334"/>
      <c r="L32" s="334"/>
      <c r="M32" s="334"/>
      <c r="N32" s="337"/>
      <c r="O32" s="334"/>
      <c r="P32" s="334"/>
      <c r="Q32" s="334"/>
      <c r="R32" s="334"/>
      <c r="S32" s="334"/>
      <c r="T32" s="337"/>
      <c r="U32" s="334"/>
      <c r="V32" s="334"/>
      <c r="W32" s="334"/>
      <c r="X32" s="334"/>
      <c r="Y32" s="334"/>
      <c r="Z32" s="337"/>
      <c r="AA32" s="334"/>
      <c r="AB32" s="334"/>
      <c r="AC32" s="334"/>
      <c r="AD32" s="334"/>
      <c r="AE32" s="334"/>
      <c r="AF32" s="337"/>
      <c r="AG32" s="334"/>
      <c r="AH32" s="334"/>
      <c r="AI32" s="334"/>
      <c r="AJ32" s="334"/>
      <c r="AK32" s="334"/>
      <c r="AL32" s="337"/>
      <c r="AM32" s="334"/>
      <c r="AN32" s="334"/>
      <c r="AO32" s="334"/>
      <c r="AP32" s="334"/>
      <c r="AQ32" s="334"/>
      <c r="AR32" s="337"/>
      <c r="AS32" s="334"/>
      <c r="AT32" s="334"/>
      <c r="AU32" s="334"/>
      <c r="AV32" s="334"/>
      <c r="AW32" s="334"/>
      <c r="AX32" s="337"/>
      <c r="AY32" s="334"/>
      <c r="AZ32" s="334"/>
      <c r="BA32" s="334"/>
      <c r="BB32" s="334"/>
      <c r="BC32" s="334"/>
      <c r="BD32" s="199"/>
    </row>
    <row r="33" spans="1:56" ht="19.5" customHeight="1">
      <c r="A33" s="227"/>
      <c r="B33" s="227"/>
      <c r="C33" s="334"/>
      <c r="D33" s="334"/>
      <c r="E33" s="334"/>
      <c r="F33" s="334"/>
      <c r="G33" s="334"/>
      <c r="H33" s="336"/>
      <c r="I33" s="334"/>
      <c r="J33" s="334"/>
      <c r="K33" s="334"/>
      <c r="L33" s="334"/>
      <c r="M33" s="334"/>
      <c r="N33" s="337"/>
      <c r="O33" s="334"/>
      <c r="P33" s="334"/>
      <c r="Q33" s="334"/>
      <c r="R33" s="334"/>
      <c r="S33" s="334"/>
      <c r="T33" s="337"/>
      <c r="U33" s="334"/>
      <c r="V33" s="334"/>
      <c r="W33" s="334"/>
      <c r="X33" s="334"/>
      <c r="Y33" s="334"/>
      <c r="Z33" s="337"/>
      <c r="AA33" s="334"/>
      <c r="AB33" s="334"/>
      <c r="AC33" s="334"/>
      <c r="AD33" s="334"/>
      <c r="AE33" s="334"/>
      <c r="AF33" s="337"/>
      <c r="AG33" s="334"/>
      <c r="AH33" s="334"/>
      <c r="AI33" s="334"/>
      <c r="AJ33" s="334"/>
      <c r="AK33" s="334"/>
      <c r="AL33" s="337"/>
      <c r="AM33" s="334"/>
      <c r="AN33" s="334"/>
      <c r="AO33" s="334"/>
      <c r="AP33" s="334"/>
      <c r="AQ33" s="334"/>
      <c r="AR33" s="337"/>
      <c r="AS33" s="334"/>
      <c r="AT33" s="334"/>
      <c r="AU33" s="334"/>
      <c r="AV33" s="334"/>
      <c r="AW33" s="334"/>
      <c r="AX33" s="337"/>
      <c r="AY33" s="334"/>
      <c r="AZ33" s="334"/>
      <c r="BA33" s="334"/>
      <c r="BB33" s="334"/>
      <c r="BC33" s="334"/>
      <c r="BD33" s="199"/>
    </row>
    <row r="34" spans="1:56" ht="19.5" customHeight="1">
      <c r="A34" s="227"/>
      <c r="B34" s="227"/>
      <c r="C34" s="335"/>
      <c r="D34" s="335"/>
      <c r="E34" s="335"/>
      <c r="F34" s="335"/>
      <c r="G34" s="335"/>
      <c r="H34" s="336"/>
      <c r="I34" s="335"/>
      <c r="J34" s="335"/>
      <c r="K34" s="335"/>
      <c r="L34" s="335"/>
      <c r="M34" s="335"/>
      <c r="N34" s="337"/>
      <c r="O34" s="335"/>
      <c r="P34" s="335"/>
      <c r="Q34" s="335"/>
      <c r="R34" s="335"/>
      <c r="S34" s="335"/>
      <c r="T34" s="337"/>
      <c r="U34" s="335"/>
      <c r="V34" s="335"/>
      <c r="W34" s="335"/>
      <c r="X34" s="335"/>
      <c r="Y34" s="335"/>
      <c r="Z34" s="337"/>
      <c r="AA34" s="335"/>
      <c r="AB34" s="335"/>
      <c r="AC34" s="335"/>
      <c r="AD34" s="335"/>
      <c r="AE34" s="335"/>
      <c r="AF34" s="337"/>
      <c r="AG34" s="335"/>
      <c r="AH34" s="335"/>
      <c r="AI34" s="335"/>
      <c r="AJ34" s="335"/>
      <c r="AK34" s="335"/>
      <c r="AL34" s="337"/>
      <c r="AM34" s="335"/>
      <c r="AN34" s="335"/>
      <c r="AO34" s="335"/>
      <c r="AP34" s="335"/>
      <c r="AQ34" s="335"/>
      <c r="AR34" s="337"/>
      <c r="AS34" s="335"/>
      <c r="AT34" s="335"/>
      <c r="AU34" s="335"/>
      <c r="AV34" s="335"/>
      <c r="AW34" s="335"/>
      <c r="AX34" s="337"/>
      <c r="AY34" s="335"/>
      <c r="AZ34" s="335"/>
      <c r="BA34" s="335"/>
      <c r="BB34" s="335"/>
      <c r="BC34" s="335"/>
      <c r="BD34" s="199"/>
    </row>
    <row r="35" spans="1:56" ht="19.5" customHeight="1">
      <c r="A35" s="227"/>
      <c r="B35" s="227"/>
      <c r="C35" s="334"/>
      <c r="D35" s="334"/>
      <c r="E35" s="334"/>
      <c r="F35" s="334"/>
      <c r="G35" s="334"/>
      <c r="H35" s="336"/>
      <c r="I35" s="334"/>
      <c r="J35" s="334"/>
      <c r="K35" s="334"/>
      <c r="L35" s="334"/>
      <c r="M35" s="334"/>
      <c r="N35" s="337"/>
      <c r="O35" s="334"/>
      <c r="P35" s="334"/>
      <c r="Q35" s="334"/>
      <c r="R35" s="334"/>
      <c r="S35" s="334"/>
      <c r="T35" s="337"/>
      <c r="U35" s="334"/>
      <c r="V35" s="334"/>
      <c r="W35" s="334"/>
      <c r="X35" s="334"/>
      <c r="Y35" s="334"/>
      <c r="Z35" s="337"/>
      <c r="AA35" s="334"/>
      <c r="AB35" s="334"/>
      <c r="AC35" s="334"/>
      <c r="AD35" s="334"/>
      <c r="AE35" s="334"/>
      <c r="AF35" s="337"/>
      <c r="AG35" s="334"/>
      <c r="AH35" s="334"/>
      <c r="AI35" s="334"/>
      <c r="AJ35" s="334"/>
      <c r="AK35" s="334"/>
      <c r="AL35" s="337"/>
      <c r="AM35" s="334"/>
      <c r="AN35" s="334"/>
      <c r="AO35" s="334"/>
      <c r="AP35" s="334"/>
      <c r="AQ35" s="334"/>
      <c r="AR35" s="337"/>
      <c r="AS35" s="334"/>
      <c r="AT35" s="334"/>
      <c r="AU35" s="334"/>
      <c r="AV35" s="334"/>
      <c r="AW35" s="334"/>
      <c r="AX35" s="337"/>
      <c r="AY35" s="334"/>
      <c r="AZ35" s="334"/>
      <c r="BA35" s="334"/>
      <c r="BB35" s="334"/>
      <c r="BC35" s="334"/>
      <c r="BD35" s="199"/>
    </row>
    <row r="36" spans="1:56" ht="19.5" customHeight="1">
      <c r="A36" s="227"/>
      <c r="B36" s="227"/>
      <c r="C36" s="334"/>
      <c r="D36" s="334"/>
      <c r="E36" s="334"/>
      <c r="F36" s="334"/>
      <c r="G36" s="334"/>
      <c r="H36" s="336"/>
      <c r="I36" s="334"/>
      <c r="J36" s="334"/>
      <c r="K36" s="334"/>
      <c r="L36" s="334"/>
      <c r="M36" s="334"/>
      <c r="N36" s="337"/>
      <c r="O36" s="334"/>
      <c r="P36" s="334"/>
      <c r="Q36" s="334"/>
      <c r="R36" s="334"/>
      <c r="S36" s="334"/>
      <c r="T36" s="337"/>
      <c r="U36" s="334"/>
      <c r="V36" s="334"/>
      <c r="W36" s="334"/>
      <c r="X36" s="334"/>
      <c r="Y36" s="334"/>
      <c r="Z36" s="337"/>
      <c r="AA36" s="334"/>
      <c r="AB36" s="334"/>
      <c r="AC36" s="334"/>
      <c r="AD36" s="334"/>
      <c r="AE36" s="334"/>
      <c r="AF36" s="337"/>
      <c r="AG36" s="334"/>
      <c r="AH36" s="334"/>
      <c r="AI36" s="334"/>
      <c r="AJ36" s="334"/>
      <c r="AK36" s="334"/>
      <c r="AL36" s="337"/>
      <c r="AM36" s="334"/>
      <c r="AN36" s="334"/>
      <c r="AO36" s="334"/>
      <c r="AP36" s="334"/>
      <c r="AQ36" s="334"/>
      <c r="AR36" s="337"/>
      <c r="AS36" s="334"/>
      <c r="AT36" s="334"/>
      <c r="AU36" s="334"/>
      <c r="AV36" s="334"/>
      <c r="AW36" s="334"/>
      <c r="AX36" s="337"/>
      <c r="AY36" s="334"/>
      <c r="AZ36" s="334"/>
      <c r="BA36" s="334"/>
      <c r="BB36" s="334"/>
      <c r="BC36" s="334"/>
      <c r="BD36" s="199"/>
    </row>
    <row r="37" spans="1:56" ht="19.5" customHeight="1">
      <c r="A37" s="227"/>
      <c r="B37" s="227"/>
      <c r="C37" s="334"/>
      <c r="D37" s="334"/>
      <c r="E37" s="334"/>
      <c r="F37" s="334"/>
      <c r="G37" s="334"/>
      <c r="H37" s="336"/>
      <c r="I37" s="334"/>
      <c r="J37" s="334"/>
      <c r="K37" s="334"/>
      <c r="L37" s="334"/>
      <c r="M37" s="334"/>
      <c r="N37" s="337"/>
      <c r="O37" s="334"/>
      <c r="P37" s="334"/>
      <c r="Q37" s="334"/>
      <c r="R37" s="334"/>
      <c r="S37" s="334"/>
      <c r="T37" s="337"/>
      <c r="U37" s="334"/>
      <c r="V37" s="334"/>
      <c r="W37" s="334"/>
      <c r="X37" s="334"/>
      <c r="Y37" s="334"/>
      <c r="Z37" s="337"/>
      <c r="AA37" s="334"/>
      <c r="AB37" s="334"/>
      <c r="AC37" s="334"/>
      <c r="AD37" s="334"/>
      <c r="AE37" s="334"/>
      <c r="AF37" s="337"/>
      <c r="AG37" s="334"/>
      <c r="AH37" s="334"/>
      <c r="AI37" s="334"/>
      <c r="AJ37" s="334"/>
      <c r="AK37" s="334"/>
      <c r="AL37" s="337"/>
      <c r="AM37" s="334"/>
      <c r="AN37" s="334"/>
      <c r="AO37" s="334"/>
      <c r="AP37" s="334"/>
      <c r="AQ37" s="334"/>
      <c r="AR37" s="337"/>
      <c r="AS37" s="334"/>
      <c r="AT37" s="334"/>
      <c r="AU37" s="334"/>
      <c r="AV37" s="334"/>
      <c r="AW37" s="334"/>
      <c r="AX37" s="337"/>
      <c r="AY37" s="334"/>
      <c r="AZ37" s="334"/>
      <c r="BA37" s="334"/>
      <c r="BB37" s="334"/>
      <c r="BC37" s="334"/>
      <c r="BD37" s="199"/>
    </row>
    <row r="38" spans="1:56" ht="19.5" customHeight="1">
      <c r="A38" s="227"/>
      <c r="B38" s="227"/>
      <c r="C38" s="334"/>
      <c r="D38" s="334"/>
      <c r="E38" s="334"/>
      <c r="F38" s="334"/>
      <c r="G38" s="334"/>
      <c r="H38" s="336"/>
      <c r="I38" s="334"/>
      <c r="J38" s="334"/>
      <c r="K38" s="334"/>
      <c r="L38" s="334"/>
      <c r="M38" s="334"/>
      <c r="N38" s="337"/>
      <c r="O38" s="334"/>
      <c r="P38" s="334"/>
      <c r="Q38" s="334"/>
      <c r="R38" s="334"/>
      <c r="S38" s="334"/>
      <c r="T38" s="337"/>
      <c r="U38" s="334"/>
      <c r="V38" s="334"/>
      <c r="W38" s="334"/>
      <c r="X38" s="334"/>
      <c r="Y38" s="334"/>
      <c r="Z38" s="337"/>
      <c r="AA38" s="334"/>
      <c r="AB38" s="334"/>
      <c r="AC38" s="334"/>
      <c r="AD38" s="334"/>
      <c r="AE38" s="334"/>
      <c r="AF38" s="337"/>
      <c r="AG38" s="334"/>
      <c r="AH38" s="334"/>
      <c r="AI38" s="334"/>
      <c r="AJ38" s="334"/>
      <c r="AK38" s="334"/>
      <c r="AL38" s="337"/>
      <c r="AM38" s="334"/>
      <c r="AN38" s="334"/>
      <c r="AO38" s="334"/>
      <c r="AP38" s="334"/>
      <c r="AQ38" s="334"/>
      <c r="AR38" s="337"/>
      <c r="AS38" s="334"/>
      <c r="AT38" s="334"/>
      <c r="AU38" s="334"/>
      <c r="AV38" s="334"/>
      <c r="AW38" s="334"/>
      <c r="AX38" s="337"/>
      <c r="AY38" s="334"/>
      <c r="AZ38" s="334"/>
      <c r="BA38" s="334"/>
      <c r="BB38" s="334"/>
      <c r="BC38" s="334"/>
      <c r="BD38" s="199"/>
    </row>
    <row r="39" spans="1:56" ht="19.5" customHeight="1">
      <c r="A39" s="227"/>
      <c r="B39" s="227"/>
      <c r="C39" s="335"/>
      <c r="D39" s="335"/>
      <c r="E39" s="335"/>
      <c r="F39" s="335"/>
      <c r="G39" s="335"/>
      <c r="H39" s="336"/>
      <c r="I39" s="335"/>
      <c r="J39" s="335"/>
      <c r="K39" s="335"/>
      <c r="L39" s="335"/>
      <c r="M39" s="335"/>
      <c r="N39" s="337"/>
      <c r="O39" s="335"/>
      <c r="P39" s="335"/>
      <c r="Q39" s="335"/>
      <c r="R39" s="335"/>
      <c r="S39" s="335"/>
      <c r="T39" s="337"/>
      <c r="U39" s="335"/>
      <c r="V39" s="335"/>
      <c r="W39" s="335"/>
      <c r="X39" s="335"/>
      <c r="Y39" s="335"/>
      <c r="Z39" s="337"/>
      <c r="AA39" s="335"/>
      <c r="AB39" s="335"/>
      <c r="AC39" s="335"/>
      <c r="AD39" s="335"/>
      <c r="AE39" s="335"/>
      <c r="AF39" s="337"/>
      <c r="AG39" s="335"/>
      <c r="AH39" s="335"/>
      <c r="AI39" s="335"/>
      <c r="AJ39" s="335"/>
      <c r="AK39" s="335"/>
      <c r="AL39" s="337"/>
      <c r="AM39" s="335"/>
      <c r="AN39" s="335"/>
      <c r="AO39" s="335"/>
      <c r="AP39" s="335"/>
      <c r="AQ39" s="335"/>
      <c r="AR39" s="337"/>
      <c r="AS39" s="335"/>
      <c r="AT39" s="335"/>
      <c r="AU39" s="335"/>
      <c r="AV39" s="335"/>
      <c r="AW39" s="335"/>
      <c r="AX39" s="337"/>
      <c r="AY39" s="335"/>
      <c r="AZ39" s="335"/>
      <c r="BA39" s="335"/>
      <c r="BB39" s="335"/>
      <c r="BC39" s="335"/>
      <c r="BD39" s="199"/>
    </row>
    <row r="40" spans="1:56" ht="19.5" customHeight="1">
      <c r="A40" s="227"/>
      <c r="B40" s="227"/>
      <c r="C40" s="334"/>
      <c r="D40" s="334"/>
      <c r="E40" s="334"/>
      <c r="F40" s="334"/>
      <c r="G40" s="334"/>
      <c r="H40" s="336"/>
      <c r="I40" s="334"/>
      <c r="J40" s="334"/>
      <c r="K40" s="334"/>
      <c r="L40" s="334"/>
      <c r="M40" s="334"/>
      <c r="N40" s="337"/>
      <c r="O40" s="334"/>
      <c r="P40" s="334"/>
      <c r="Q40" s="334"/>
      <c r="R40" s="334"/>
      <c r="S40" s="334"/>
      <c r="T40" s="337"/>
      <c r="U40" s="334"/>
      <c r="V40" s="334"/>
      <c r="W40" s="334"/>
      <c r="X40" s="334"/>
      <c r="Y40" s="334"/>
      <c r="Z40" s="337"/>
      <c r="AA40" s="334"/>
      <c r="AB40" s="334"/>
      <c r="AC40" s="334"/>
      <c r="AD40" s="334"/>
      <c r="AE40" s="334"/>
      <c r="AF40" s="337"/>
      <c r="AG40" s="334"/>
      <c r="AH40" s="334"/>
      <c r="AI40" s="334"/>
      <c r="AJ40" s="334"/>
      <c r="AK40" s="334"/>
      <c r="AL40" s="337"/>
      <c r="AM40" s="334"/>
      <c r="AN40" s="334"/>
      <c r="AO40" s="334"/>
      <c r="AP40" s="334"/>
      <c r="AQ40" s="334"/>
      <c r="AR40" s="337"/>
      <c r="AS40" s="334"/>
      <c r="AT40" s="334"/>
      <c r="AU40" s="334"/>
      <c r="AV40" s="334"/>
      <c r="AW40" s="334"/>
      <c r="AX40" s="337"/>
      <c r="AY40" s="334"/>
      <c r="AZ40" s="334"/>
      <c r="BA40" s="334"/>
      <c r="BB40" s="334"/>
      <c r="BC40" s="334"/>
      <c r="BD40" s="199"/>
    </row>
    <row r="41" spans="1:56" ht="19.5" customHeight="1">
      <c r="A41" s="227"/>
      <c r="B41" s="227"/>
      <c r="C41" s="334"/>
      <c r="D41" s="334"/>
      <c r="E41" s="334"/>
      <c r="F41" s="334"/>
      <c r="G41" s="334"/>
      <c r="H41" s="336"/>
      <c r="I41" s="334"/>
      <c r="J41" s="334"/>
      <c r="K41" s="334"/>
      <c r="L41" s="334"/>
      <c r="M41" s="334"/>
      <c r="N41" s="337"/>
      <c r="O41" s="334"/>
      <c r="P41" s="334"/>
      <c r="Q41" s="334"/>
      <c r="R41" s="334"/>
      <c r="S41" s="334"/>
      <c r="T41" s="337"/>
      <c r="U41" s="334"/>
      <c r="V41" s="334"/>
      <c r="W41" s="334"/>
      <c r="X41" s="334"/>
      <c r="Y41" s="334"/>
      <c r="Z41" s="337"/>
      <c r="AA41" s="334"/>
      <c r="AB41" s="334"/>
      <c r="AC41" s="334"/>
      <c r="AD41" s="334"/>
      <c r="AE41" s="334"/>
      <c r="AF41" s="337"/>
      <c r="AG41" s="334"/>
      <c r="AH41" s="334"/>
      <c r="AI41" s="334"/>
      <c r="AJ41" s="334"/>
      <c r="AK41" s="334"/>
      <c r="AL41" s="337"/>
      <c r="AM41" s="334"/>
      <c r="AN41" s="334"/>
      <c r="AO41" s="334"/>
      <c r="AP41" s="334"/>
      <c r="AQ41" s="334"/>
      <c r="AR41" s="337"/>
      <c r="AS41" s="334"/>
      <c r="AT41" s="334"/>
      <c r="AU41" s="334"/>
      <c r="AV41" s="334"/>
      <c r="AW41" s="334"/>
      <c r="AX41" s="337"/>
      <c r="AY41" s="334"/>
      <c r="AZ41" s="334"/>
      <c r="BA41" s="334"/>
      <c r="BB41" s="334"/>
      <c r="BC41" s="334"/>
      <c r="BD41" s="199"/>
    </row>
    <row r="42" spans="1:56" ht="19.5" customHeight="1">
      <c r="A42" s="227"/>
      <c r="B42" s="227"/>
      <c r="C42" s="334"/>
      <c r="D42" s="334"/>
      <c r="E42" s="334"/>
      <c r="F42" s="334"/>
      <c r="G42" s="334"/>
      <c r="H42" s="336"/>
      <c r="I42" s="334"/>
      <c r="J42" s="334"/>
      <c r="K42" s="334"/>
      <c r="L42" s="334"/>
      <c r="M42" s="334"/>
      <c r="N42" s="337"/>
      <c r="O42" s="334"/>
      <c r="P42" s="334"/>
      <c r="Q42" s="334"/>
      <c r="R42" s="334"/>
      <c r="S42" s="334"/>
      <c r="T42" s="337"/>
      <c r="U42" s="334"/>
      <c r="V42" s="334"/>
      <c r="W42" s="334"/>
      <c r="X42" s="334"/>
      <c r="Y42" s="334"/>
      <c r="Z42" s="337"/>
      <c r="AA42" s="334"/>
      <c r="AB42" s="334"/>
      <c r="AC42" s="334"/>
      <c r="AD42" s="334"/>
      <c r="AE42" s="334"/>
      <c r="AF42" s="337"/>
      <c r="AG42" s="334"/>
      <c r="AH42" s="334"/>
      <c r="AI42" s="334"/>
      <c r="AJ42" s="334"/>
      <c r="AK42" s="334"/>
      <c r="AL42" s="337"/>
      <c r="AM42" s="334"/>
      <c r="AN42" s="334"/>
      <c r="AO42" s="334"/>
      <c r="AP42" s="334"/>
      <c r="AQ42" s="334"/>
      <c r="AR42" s="337"/>
      <c r="AS42" s="334"/>
      <c r="AT42" s="334"/>
      <c r="AU42" s="334"/>
      <c r="AV42" s="334"/>
      <c r="AW42" s="334"/>
      <c r="AX42" s="337"/>
      <c r="AY42" s="334"/>
      <c r="AZ42" s="334"/>
      <c r="BA42" s="334"/>
      <c r="BB42" s="334"/>
      <c r="BC42" s="334"/>
      <c r="BD42" s="199"/>
    </row>
    <row r="43" spans="1:56" ht="19.5" customHeight="1">
      <c r="A43" s="227"/>
      <c r="B43" s="227"/>
      <c r="C43" s="334"/>
      <c r="D43" s="334"/>
      <c r="E43" s="334"/>
      <c r="F43" s="334"/>
      <c r="G43" s="334"/>
      <c r="H43" s="336"/>
      <c r="I43" s="334"/>
      <c r="J43" s="334"/>
      <c r="K43" s="334"/>
      <c r="L43" s="334"/>
      <c r="M43" s="334"/>
      <c r="N43" s="337"/>
      <c r="O43" s="334"/>
      <c r="P43" s="334"/>
      <c r="Q43" s="334"/>
      <c r="R43" s="334"/>
      <c r="S43" s="334"/>
      <c r="T43" s="337"/>
      <c r="U43" s="334"/>
      <c r="V43" s="334"/>
      <c r="W43" s="334"/>
      <c r="X43" s="334"/>
      <c r="Y43" s="334"/>
      <c r="Z43" s="337"/>
      <c r="AA43" s="334"/>
      <c r="AB43" s="334"/>
      <c r="AC43" s="334"/>
      <c r="AD43" s="334"/>
      <c r="AE43" s="334"/>
      <c r="AF43" s="337"/>
      <c r="AG43" s="334"/>
      <c r="AH43" s="334"/>
      <c r="AI43" s="334"/>
      <c r="AJ43" s="334"/>
      <c r="AK43" s="334"/>
      <c r="AL43" s="337"/>
      <c r="AM43" s="334"/>
      <c r="AN43" s="334"/>
      <c r="AO43" s="334"/>
      <c r="AP43" s="334"/>
      <c r="AQ43" s="334"/>
      <c r="AR43" s="337"/>
      <c r="AS43" s="334"/>
      <c r="AT43" s="334"/>
      <c r="AU43" s="334"/>
      <c r="AV43" s="334"/>
      <c r="AW43" s="334"/>
      <c r="AX43" s="337"/>
      <c r="AY43" s="334"/>
      <c r="AZ43" s="334"/>
      <c r="BA43" s="334"/>
      <c r="BB43" s="334"/>
      <c r="BC43" s="334"/>
      <c r="BD43" s="199"/>
    </row>
    <row r="44" spans="1:56" ht="19.5" customHeight="1">
      <c r="A44" s="227"/>
      <c r="B44" s="227"/>
      <c r="C44" s="335"/>
      <c r="D44" s="335"/>
      <c r="E44" s="335"/>
      <c r="F44" s="335"/>
      <c r="G44" s="335"/>
      <c r="H44" s="336"/>
      <c r="I44" s="335"/>
      <c r="J44" s="335"/>
      <c r="K44" s="335"/>
      <c r="L44" s="335"/>
      <c r="M44" s="335"/>
      <c r="N44" s="337"/>
      <c r="O44" s="335"/>
      <c r="P44" s="335"/>
      <c r="Q44" s="335"/>
      <c r="R44" s="335"/>
      <c r="S44" s="335"/>
      <c r="T44" s="337"/>
      <c r="U44" s="335"/>
      <c r="V44" s="335"/>
      <c r="W44" s="335"/>
      <c r="X44" s="335"/>
      <c r="Y44" s="335"/>
      <c r="Z44" s="337"/>
      <c r="AA44" s="335"/>
      <c r="AB44" s="335"/>
      <c r="AC44" s="335"/>
      <c r="AD44" s="335"/>
      <c r="AE44" s="335"/>
      <c r="AF44" s="337"/>
      <c r="AG44" s="335"/>
      <c r="AH44" s="335"/>
      <c r="AI44" s="335"/>
      <c r="AJ44" s="335"/>
      <c r="AK44" s="335"/>
      <c r="AL44" s="337"/>
      <c r="AM44" s="335"/>
      <c r="AN44" s="335"/>
      <c r="AO44" s="335"/>
      <c r="AP44" s="335"/>
      <c r="AQ44" s="335"/>
      <c r="AR44" s="337"/>
      <c r="AS44" s="335"/>
      <c r="AT44" s="335"/>
      <c r="AU44" s="335"/>
      <c r="AV44" s="335"/>
      <c r="AW44" s="335"/>
      <c r="AX44" s="337"/>
      <c r="AY44" s="335"/>
      <c r="AZ44" s="335"/>
      <c r="BA44" s="335"/>
      <c r="BB44" s="335"/>
      <c r="BC44" s="335"/>
      <c r="BD44" s="199"/>
    </row>
    <row r="45" spans="1:56" ht="19.5" customHeight="1">
      <c r="A45" s="227"/>
      <c r="B45" s="227"/>
      <c r="C45" s="334"/>
      <c r="D45" s="334"/>
      <c r="E45" s="334"/>
      <c r="F45" s="334"/>
      <c r="G45" s="334"/>
      <c r="H45" s="336"/>
      <c r="I45" s="334"/>
      <c r="J45" s="334"/>
      <c r="K45" s="334"/>
      <c r="L45" s="334"/>
      <c r="M45" s="334"/>
      <c r="N45" s="337"/>
      <c r="O45" s="334"/>
      <c r="P45" s="334"/>
      <c r="Q45" s="334"/>
      <c r="R45" s="334"/>
      <c r="S45" s="334"/>
      <c r="T45" s="337"/>
      <c r="U45" s="334"/>
      <c r="V45" s="334"/>
      <c r="W45" s="334"/>
      <c r="X45" s="334"/>
      <c r="Y45" s="334"/>
      <c r="Z45" s="337"/>
      <c r="AA45" s="334"/>
      <c r="AB45" s="334"/>
      <c r="AC45" s="334"/>
      <c r="AD45" s="334"/>
      <c r="AE45" s="334"/>
      <c r="AF45" s="337"/>
      <c r="AG45" s="334"/>
      <c r="AH45" s="334"/>
      <c r="AI45" s="334"/>
      <c r="AJ45" s="334"/>
      <c r="AK45" s="334"/>
      <c r="AL45" s="337"/>
      <c r="AM45" s="334"/>
      <c r="AN45" s="334"/>
      <c r="AO45" s="334"/>
      <c r="AP45" s="334"/>
      <c r="AQ45" s="334"/>
      <c r="AR45" s="337"/>
      <c r="AS45" s="334"/>
      <c r="AT45" s="334"/>
      <c r="AU45" s="334"/>
      <c r="AV45" s="334"/>
      <c r="AW45" s="334"/>
      <c r="AX45" s="337"/>
      <c r="AY45" s="334"/>
      <c r="AZ45" s="334"/>
      <c r="BA45" s="334"/>
      <c r="BB45" s="334"/>
      <c r="BC45" s="334"/>
      <c r="BD45" s="199"/>
    </row>
    <row r="46" spans="1:56" ht="19.5" customHeight="1">
      <c r="A46" s="227"/>
      <c r="B46" s="227"/>
      <c r="C46" s="334"/>
      <c r="D46" s="334"/>
      <c r="E46" s="334"/>
      <c r="F46" s="334"/>
      <c r="G46" s="334"/>
      <c r="H46" s="336"/>
      <c r="I46" s="334"/>
      <c r="J46" s="334"/>
      <c r="K46" s="334"/>
      <c r="L46" s="334"/>
      <c r="M46" s="334"/>
      <c r="N46" s="337"/>
      <c r="O46" s="334"/>
      <c r="P46" s="334"/>
      <c r="Q46" s="334"/>
      <c r="R46" s="334"/>
      <c r="S46" s="334"/>
      <c r="T46" s="337"/>
      <c r="U46" s="334"/>
      <c r="V46" s="334"/>
      <c r="W46" s="334"/>
      <c r="X46" s="334"/>
      <c r="Y46" s="334"/>
      <c r="Z46" s="337"/>
      <c r="AA46" s="334"/>
      <c r="AB46" s="334"/>
      <c r="AC46" s="334"/>
      <c r="AD46" s="334"/>
      <c r="AE46" s="334"/>
      <c r="AF46" s="337"/>
      <c r="AG46" s="334"/>
      <c r="AH46" s="334"/>
      <c r="AI46" s="334"/>
      <c r="AJ46" s="334"/>
      <c r="AK46" s="334"/>
      <c r="AL46" s="337"/>
      <c r="AM46" s="334"/>
      <c r="AN46" s="334"/>
      <c r="AO46" s="334"/>
      <c r="AP46" s="334"/>
      <c r="AQ46" s="334"/>
      <c r="AR46" s="337"/>
      <c r="AS46" s="334"/>
      <c r="AT46" s="334"/>
      <c r="AU46" s="334"/>
      <c r="AV46" s="334"/>
      <c r="AW46" s="334"/>
      <c r="AX46" s="337"/>
      <c r="AY46" s="334"/>
      <c r="AZ46" s="334"/>
      <c r="BA46" s="334"/>
      <c r="BB46" s="334"/>
      <c r="BC46" s="334"/>
      <c r="BD46" s="199"/>
    </row>
    <row r="47" spans="1:56" ht="19.5" customHeight="1">
      <c r="A47" s="227"/>
      <c r="B47" s="227"/>
      <c r="C47" s="334"/>
      <c r="D47" s="334"/>
      <c r="E47" s="334"/>
      <c r="F47" s="334"/>
      <c r="G47" s="334"/>
      <c r="H47" s="336"/>
      <c r="I47" s="334"/>
      <c r="J47" s="334"/>
      <c r="K47" s="334"/>
      <c r="L47" s="334"/>
      <c r="M47" s="334"/>
      <c r="N47" s="337"/>
      <c r="O47" s="334"/>
      <c r="P47" s="334"/>
      <c r="Q47" s="334"/>
      <c r="R47" s="334"/>
      <c r="S47" s="334"/>
      <c r="T47" s="337"/>
      <c r="U47" s="334"/>
      <c r="V47" s="334"/>
      <c r="W47" s="334"/>
      <c r="X47" s="334"/>
      <c r="Y47" s="334"/>
      <c r="Z47" s="337"/>
      <c r="AA47" s="334"/>
      <c r="AB47" s="334"/>
      <c r="AC47" s="334"/>
      <c r="AD47" s="334"/>
      <c r="AE47" s="334"/>
      <c r="AF47" s="337"/>
      <c r="AG47" s="334"/>
      <c r="AH47" s="334"/>
      <c r="AI47" s="334"/>
      <c r="AJ47" s="334"/>
      <c r="AK47" s="334"/>
      <c r="AL47" s="337"/>
      <c r="AM47" s="334"/>
      <c r="AN47" s="334"/>
      <c r="AO47" s="334"/>
      <c r="AP47" s="334"/>
      <c r="AQ47" s="334"/>
      <c r="AR47" s="337"/>
      <c r="AS47" s="334"/>
      <c r="AT47" s="334"/>
      <c r="AU47" s="334"/>
      <c r="AV47" s="334"/>
      <c r="AW47" s="334"/>
      <c r="AX47" s="337"/>
      <c r="AY47" s="334"/>
      <c r="AZ47" s="334"/>
      <c r="BA47" s="334"/>
      <c r="BB47" s="334"/>
      <c r="BC47" s="334"/>
      <c r="BD47" s="199"/>
    </row>
    <row r="48" spans="1:56" ht="19.5" customHeight="1">
      <c r="A48" s="227"/>
      <c r="B48" s="227"/>
      <c r="C48" s="334"/>
      <c r="D48" s="334"/>
      <c r="E48" s="334"/>
      <c r="F48" s="334"/>
      <c r="G48" s="334"/>
      <c r="H48" s="336"/>
      <c r="I48" s="334"/>
      <c r="J48" s="334"/>
      <c r="K48" s="334"/>
      <c r="L48" s="334"/>
      <c r="M48" s="334"/>
      <c r="N48" s="337"/>
      <c r="O48" s="334"/>
      <c r="P48" s="334"/>
      <c r="Q48" s="334"/>
      <c r="R48" s="334"/>
      <c r="S48" s="334"/>
      <c r="T48" s="337"/>
      <c r="U48" s="334"/>
      <c r="V48" s="334"/>
      <c r="W48" s="334"/>
      <c r="X48" s="334"/>
      <c r="Y48" s="334"/>
      <c r="Z48" s="337"/>
      <c r="AA48" s="334"/>
      <c r="AB48" s="334"/>
      <c r="AC48" s="334"/>
      <c r="AD48" s="334"/>
      <c r="AE48" s="334"/>
      <c r="AF48" s="337"/>
      <c r="AG48" s="334"/>
      <c r="AH48" s="334"/>
      <c r="AI48" s="334"/>
      <c r="AJ48" s="334"/>
      <c r="AK48" s="334"/>
      <c r="AL48" s="337"/>
      <c r="AM48" s="334"/>
      <c r="AN48" s="334"/>
      <c r="AO48" s="334"/>
      <c r="AP48" s="334"/>
      <c r="AQ48" s="334"/>
      <c r="AR48" s="337"/>
      <c r="AS48" s="334"/>
      <c r="AT48" s="334"/>
      <c r="AU48" s="334"/>
      <c r="AV48" s="334"/>
      <c r="AW48" s="334"/>
      <c r="AX48" s="337"/>
      <c r="AY48" s="334"/>
      <c r="AZ48" s="334"/>
      <c r="BA48" s="334"/>
      <c r="BB48" s="334"/>
      <c r="BC48" s="334"/>
      <c r="BD48" s="199"/>
    </row>
    <row r="49" spans="1:56" ht="19.5" customHeight="1">
      <c r="A49" s="227"/>
      <c r="B49" s="227"/>
      <c r="C49" s="335"/>
      <c r="D49" s="335"/>
      <c r="E49" s="335"/>
      <c r="F49" s="335"/>
      <c r="G49" s="335"/>
      <c r="H49" s="336"/>
      <c r="I49" s="335"/>
      <c r="J49" s="335"/>
      <c r="K49" s="335"/>
      <c r="L49" s="335"/>
      <c r="M49" s="335"/>
      <c r="N49" s="337"/>
      <c r="O49" s="335"/>
      <c r="P49" s="335"/>
      <c r="Q49" s="335"/>
      <c r="R49" s="335"/>
      <c r="S49" s="335"/>
      <c r="T49" s="337"/>
      <c r="U49" s="335"/>
      <c r="V49" s="335"/>
      <c r="W49" s="335"/>
      <c r="X49" s="335"/>
      <c r="Y49" s="335"/>
      <c r="Z49" s="337"/>
      <c r="AA49" s="335"/>
      <c r="AB49" s="335"/>
      <c r="AC49" s="335"/>
      <c r="AD49" s="335"/>
      <c r="AE49" s="335"/>
      <c r="AF49" s="337"/>
      <c r="AG49" s="335"/>
      <c r="AH49" s="335"/>
      <c r="AI49" s="335"/>
      <c r="AJ49" s="335"/>
      <c r="AK49" s="335"/>
      <c r="AL49" s="337"/>
      <c r="AM49" s="335"/>
      <c r="AN49" s="335"/>
      <c r="AO49" s="335"/>
      <c r="AP49" s="335"/>
      <c r="AQ49" s="335"/>
      <c r="AR49" s="337"/>
      <c r="AS49" s="335"/>
      <c r="AT49" s="335"/>
      <c r="AU49" s="335"/>
      <c r="AV49" s="335"/>
      <c r="AW49" s="335"/>
      <c r="AX49" s="337"/>
      <c r="AY49" s="335"/>
      <c r="AZ49" s="335"/>
      <c r="BA49" s="335"/>
      <c r="BB49" s="335"/>
      <c r="BC49" s="335"/>
      <c r="BD49" s="199"/>
    </row>
    <row r="50" spans="1:56" ht="19.5" customHeight="1">
      <c r="A50" s="227"/>
      <c r="B50" s="227"/>
      <c r="C50" s="334"/>
      <c r="D50" s="334"/>
      <c r="E50" s="334"/>
      <c r="F50" s="334"/>
      <c r="G50" s="334"/>
      <c r="H50" s="336"/>
      <c r="I50" s="334"/>
      <c r="J50" s="334"/>
      <c r="K50" s="334"/>
      <c r="L50" s="334"/>
      <c r="M50" s="334"/>
      <c r="N50" s="337"/>
      <c r="O50" s="334"/>
      <c r="P50" s="334"/>
      <c r="Q50" s="334"/>
      <c r="R50" s="334"/>
      <c r="S50" s="334"/>
      <c r="T50" s="337"/>
      <c r="U50" s="334"/>
      <c r="V50" s="334"/>
      <c r="W50" s="334"/>
      <c r="X50" s="334"/>
      <c r="Y50" s="334"/>
      <c r="Z50" s="337"/>
      <c r="AA50" s="334"/>
      <c r="AB50" s="334"/>
      <c r="AC50" s="334"/>
      <c r="AD50" s="334"/>
      <c r="AE50" s="334"/>
      <c r="AF50" s="337"/>
      <c r="AG50" s="334"/>
      <c r="AH50" s="334"/>
      <c r="AI50" s="334"/>
      <c r="AJ50" s="334"/>
      <c r="AK50" s="334"/>
      <c r="AL50" s="337"/>
      <c r="AM50" s="334"/>
      <c r="AN50" s="334"/>
      <c r="AO50" s="334"/>
      <c r="AP50" s="334"/>
      <c r="AQ50" s="334"/>
      <c r="AR50" s="337"/>
      <c r="AS50" s="334"/>
      <c r="AT50" s="334"/>
      <c r="AU50" s="334"/>
      <c r="AV50" s="334"/>
      <c r="AW50" s="334"/>
      <c r="AX50" s="337"/>
      <c r="AY50" s="334"/>
      <c r="AZ50" s="334"/>
      <c r="BA50" s="334"/>
      <c r="BB50" s="334"/>
      <c r="BC50" s="334"/>
      <c r="BD50" s="199"/>
    </row>
    <row r="51" spans="1:56" ht="19.5" customHeight="1">
      <c r="A51" s="227"/>
      <c r="B51" s="227"/>
      <c r="C51" s="334"/>
      <c r="D51" s="334"/>
      <c r="E51" s="334"/>
      <c r="F51" s="334"/>
      <c r="G51" s="334"/>
      <c r="H51" s="336"/>
      <c r="I51" s="334"/>
      <c r="J51" s="334"/>
      <c r="K51" s="334"/>
      <c r="L51" s="334"/>
      <c r="M51" s="334"/>
      <c r="N51" s="337"/>
      <c r="O51" s="334"/>
      <c r="P51" s="334"/>
      <c r="Q51" s="334"/>
      <c r="R51" s="334"/>
      <c r="S51" s="334"/>
      <c r="T51" s="337"/>
      <c r="U51" s="334"/>
      <c r="V51" s="334"/>
      <c r="W51" s="334"/>
      <c r="X51" s="334"/>
      <c r="Y51" s="334"/>
      <c r="Z51" s="337"/>
      <c r="AA51" s="334"/>
      <c r="AB51" s="334"/>
      <c r="AC51" s="334"/>
      <c r="AD51" s="334"/>
      <c r="AE51" s="334"/>
      <c r="AF51" s="337"/>
      <c r="AG51" s="334"/>
      <c r="AH51" s="334"/>
      <c r="AI51" s="334"/>
      <c r="AJ51" s="334"/>
      <c r="AK51" s="334"/>
      <c r="AL51" s="337"/>
      <c r="AM51" s="334"/>
      <c r="AN51" s="334"/>
      <c r="AO51" s="334"/>
      <c r="AP51" s="334"/>
      <c r="AQ51" s="334"/>
      <c r="AR51" s="337"/>
      <c r="AS51" s="334"/>
      <c r="AT51" s="334"/>
      <c r="AU51" s="334"/>
      <c r="AV51" s="334"/>
      <c r="AW51" s="334"/>
      <c r="AX51" s="337"/>
      <c r="AY51" s="334"/>
      <c r="AZ51" s="334"/>
      <c r="BA51" s="334"/>
      <c r="BB51" s="334"/>
      <c r="BC51" s="334"/>
      <c r="BD51" s="199"/>
    </row>
    <row r="52" spans="1:56" ht="19.5" customHeight="1">
      <c r="A52" s="227"/>
      <c r="B52" s="227"/>
      <c r="C52" s="334"/>
      <c r="D52" s="334"/>
      <c r="E52" s="334"/>
      <c r="F52" s="334"/>
      <c r="G52" s="334"/>
      <c r="H52" s="336"/>
      <c r="I52" s="334"/>
      <c r="J52" s="334"/>
      <c r="K52" s="334"/>
      <c r="L52" s="334"/>
      <c r="M52" s="334"/>
      <c r="N52" s="337"/>
      <c r="O52" s="334"/>
      <c r="P52" s="334"/>
      <c r="Q52" s="334"/>
      <c r="R52" s="334"/>
      <c r="S52" s="334"/>
      <c r="T52" s="337"/>
      <c r="U52" s="334"/>
      <c r="V52" s="334"/>
      <c r="W52" s="334"/>
      <c r="X52" s="334"/>
      <c r="Y52" s="334"/>
      <c r="Z52" s="337"/>
      <c r="AA52" s="334"/>
      <c r="AB52" s="334"/>
      <c r="AC52" s="334"/>
      <c r="AD52" s="334"/>
      <c r="AE52" s="334"/>
      <c r="AF52" s="337"/>
      <c r="AG52" s="334"/>
      <c r="AH52" s="334"/>
      <c r="AI52" s="334"/>
      <c r="AJ52" s="334"/>
      <c r="AK52" s="334"/>
      <c r="AL52" s="337"/>
      <c r="AM52" s="334"/>
      <c r="AN52" s="334"/>
      <c r="AO52" s="334"/>
      <c r="AP52" s="334"/>
      <c r="AQ52" s="334"/>
      <c r="AR52" s="337"/>
      <c r="AS52" s="334"/>
      <c r="AT52" s="334"/>
      <c r="AU52" s="334"/>
      <c r="AV52" s="334"/>
      <c r="AW52" s="334"/>
      <c r="AX52" s="337"/>
      <c r="AY52" s="334"/>
      <c r="AZ52" s="334"/>
      <c r="BA52" s="334"/>
      <c r="BB52" s="334"/>
      <c r="BC52" s="334"/>
      <c r="BD52" s="199"/>
    </row>
    <row r="53" spans="1:56" ht="19.5" customHeight="1">
      <c r="A53" s="227"/>
      <c r="B53" s="227"/>
      <c r="C53" s="334"/>
      <c r="D53" s="334"/>
      <c r="E53" s="334"/>
      <c r="F53" s="334"/>
      <c r="G53" s="334"/>
      <c r="H53" s="336"/>
      <c r="I53" s="334"/>
      <c r="J53" s="334"/>
      <c r="K53" s="334"/>
      <c r="L53" s="334"/>
      <c r="M53" s="334"/>
      <c r="N53" s="337"/>
      <c r="O53" s="334"/>
      <c r="P53" s="334"/>
      <c r="Q53" s="334"/>
      <c r="R53" s="334"/>
      <c r="S53" s="334"/>
      <c r="T53" s="337"/>
      <c r="U53" s="334"/>
      <c r="V53" s="334"/>
      <c r="W53" s="334"/>
      <c r="X53" s="334"/>
      <c r="Y53" s="334"/>
      <c r="Z53" s="337"/>
      <c r="AA53" s="334"/>
      <c r="AB53" s="334"/>
      <c r="AC53" s="334"/>
      <c r="AD53" s="334"/>
      <c r="AE53" s="334"/>
      <c r="AF53" s="337"/>
      <c r="AG53" s="334"/>
      <c r="AH53" s="334"/>
      <c r="AI53" s="334"/>
      <c r="AJ53" s="334"/>
      <c r="AK53" s="334"/>
      <c r="AL53" s="337"/>
      <c r="AM53" s="334"/>
      <c r="AN53" s="334"/>
      <c r="AO53" s="334"/>
      <c r="AP53" s="334"/>
      <c r="AQ53" s="334"/>
      <c r="AR53" s="337"/>
      <c r="AS53" s="334"/>
      <c r="AT53" s="334"/>
      <c r="AU53" s="334"/>
      <c r="AV53" s="334"/>
      <c r="AW53" s="334"/>
      <c r="AX53" s="337"/>
      <c r="AY53" s="334"/>
      <c r="AZ53" s="334"/>
      <c r="BA53" s="334"/>
      <c r="BB53" s="334"/>
      <c r="BC53" s="334"/>
      <c r="BD53" s="199"/>
    </row>
    <row r="54" spans="1:56" ht="19.5" customHeight="1">
      <c r="A54" s="227"/>
      <c r="B54" s="227"/>
      <c r="C54" s="335"/>
      <c r="D54" s="335"/>
      <c r="E54" s="335"/>
      <c r="F54" s="335"/>
      <c r="G54" s="335"/>
      <c r="H54" s="336"/>
      <c r="I54" s="335"/>
      <c r="J54" s="335"/>
      <c r="K54" s="335"/>
      <c r="L54" s="335"/>
      <c r="M54" s="335"/>
      <c r="N54" s="337"/>
      <c r="O54" s="335"/>
      <c r="P54" s="335"/>
      <c r="Q54" s="335"/>
      <c r="R54" s="335"/>
      <c r="S54" s="335"/>
      <c r="T54" s="337"/>
      <c r="U54" s="335"/>
      <c r="V54" s="335"/>
      <c r="W54" s="335"/>
      <c r="X54" s="335"/>
      <c r="Y54" s="335"/>
      <c r="Z54" s="337"/>
      <c r="AA54" s="335"/>
      <c r="AB54" s="335"/>
      <c r="AC54" s="335"/>
      <c r="AD54" s="335"/>
      <c r="AE54" s="335"/>
      <c r="AF54" s="337"/>
      <c r="AG54" s="335"/>
      <c r="AH54" s="335"/>
      <c r="AI54" s="335"/>
      <c r="AJ54" s="335"/>
      <c r="AK54" s="335"/>
      <c r="AL54" s="337"/>
      <c r="AM54" s="335"/>
      <c r="AN54" s="335"/>
      <c r="AO54" s="335"/>
      <c r="AP54" s="335"/>
      <c r="AQ54" s="335"/>
      <c r="AR54" s="337"/>
      <c r="AS54" s="335"/>
      <c r="AT54" s="335"/>
      <c r="AU54" s="335"/>
      <c r="AV54" s="335"/>
      <c r="AW54" s="335"/>
      <c r="AX54" s="337"/>
      <c r="AY54" s="335"/>
      <c r="AZ54" s="335"/>
      <c r="BA54" s="335"/>
      <c r="BB54" s="335"/>
      <c r="BC54" s="335"/>
      <c r="BD54" s="199"/>
    </row>
    <row r="55" spans="1:56" ht="19.5" customHeight="1">
      <c r="A55" s="227"/>
      <c r="B55" s="227"/>
      <c r="C55" s="334"/>
      <c r="D55" s="334"/>
      <c r="E55" s="334"/>
      <c r="F55" s="334"/>
      <c r="G55" s="334"/>
      <c r="H55" s="336"/>
      <c r="I55" s="334"/>
      <c r="J55" s="334"/>
      <c r="K55" s="334"/>
      <c r="L55" s="334"/>
      <c r="M55" s="334"/>
      <c r="N55" s="337"/>
      <c r="O55" s="334"/>
      <c r="P55" s="334"/>
      <c r="Q55" s="334"/>
      <c r="R55" s="334"/>
      <c r="S55" s="334"/>
      <c r="T55" s="337"/>
      <c r="U55" s="334"/>
      <c r="V55" s="334"/>
      <c r="W55" s="334"/>
      <c r="X55" s="334"/>
      <c r="Y55" s="334"/>
      <c r="Z55" s="337"/>
      <c r="AA55" s="334"/>
      <c r="AB55" s="334"/>
      <c r="AC55" s="334"/>
      <c r="AD55" s="334"/>
      <c r="AE55" s="334"/>
      <c r="AF55" s="337"/>
      <c r="AG55" s="334"/>
      <c r="AH55" s="334"/>
      <c r="AI55" s="334"/>
      <c r="AJ55" s="334"/>
      <c r="AK55" s="334"/>
      <c r="AL55" s="337"/>
      <c r="AM55" s="334"/>
      <c r="AN55" s="334"/>
      <c r="AO55" s="334"/>
      <c r="AP55" s="334"/>
      <c r="AQ55" s="334"/>
      <c r="AR55" s="337"/>
      <c r="AS55" s="334"/>
      <c r="AT55" s="334"/>
      <c r="AU55" s="334"/>
      <c r="AV55" s="334"/>
      <c r="AW55" s="334"/>
      <c r="AX55" s="337"/>
      <c r="AY55" s="334"/>
      <c r="AZ55" s="334"/>
      <c r="BA55" s="334"/>
      <c r="BB55" s="334"/>
      <c r="BC55" s="334"/>
      <c r="BD55" s="199"/>
    </row>
    <row r="56" spans="1:56" ht="19.5" customHeight="1">
      <c r="A56" s="227"/>
      <c r="B56" s="227"/>
      <c r="C56" s="334"/>
      <c r="D56" s="334"/>
      <c r="E56" s="334"/>
      <c r="F56" s="334"/>
      <c r="G56" s="334"/>
      <c r="H56" s="336"/>
      <c r="I56" s="334"/>
      <c r="J56" s="334"/>
      <c r="K56" s="334"/>
      <c r="L56" s="334"/>
      <c r="M56" s="334"/>
      <c r="N56" s="337"/>
      <c r="O56" s="334"/>
      <c r="P56" s="334"/>
      <c r="Q56" s="334"/>
      <c r="R56" s="334"/>
      <c r="S56" s="334"/>
      <c r="T56" s="337"/>
      <c r="U56" s="334"/>
      <c r="V56" s="334"/>
      <c r="W56" s="334"/>
      <c r="X56" s="334"/>
      <c r="Y56" s="334"/>
      <c r="Z56" s="337"/>
      <c r="AA56" s="334"/>
      <c r="AB56" s="334"/>
      <c r="AC56" s="334"/>
      <c r="AD56" s="334"/>
      <c r="AE56" s="334"/>
      <c r="AF56" s="337"/>
      <c r="AG56" s="334"/>
      <c r="AH56" s="334"/>
      <c r="AI56" s="334"/>
      <c r="AJ56" s="334"/>
      <c r="AK56" s="334"/>
      <c r="AL56" s="337"/>
      <c r="AM56" s="334"/>
      <c r="AN56" s="334"/>
      <c r="AO56" s="334"/>
      <c r="AP56" s="334"/>
      <c r="AQ56" s="334"/>
      <c r="AR56" s="337"/>
      <c r="AS56" s="334"/>
      <c r="AT56" s="334"/>
      <c r="AU56" s="334"/>
      <c r="AV56" s="334"/>
      <c r="AW56" s="334"/>
      <c r="AX56" s="337"/>
      <c r="AY56" s="334"/>
      <c r="AZ56" s="334"/>
      <c r="BA56" s="334"/>
      <c r="BB56" s="334"/>
      <c r="BC56" s="334"/>
      <c r="BD56" s="199"/>
    </row>
    <row r="57" spans="1:56" ht="19.5" customHeight="1">
      <c r="A57" s="227"/>
      <c r="B57" s="227"/>
      <c r="C57" s="334"/>
      <c r="D57" s="334"/>
      <c r="E57" s="334"/>
      <c r="F57" s="334"/>
      <c r="G57" s="334"/>
      <c r="H57" s="336"/>
      <c r="I57" s="334"/>
      <c r="J57" s="334"/>
      <c r="K57" s="334"/>
      <c r="L57" s="334"/>
      <c r="M57" s="334"/>
      <c r="N57" s="337"/>
      <c r="O57" s="334"/>
      <c r="P57" s="334"/>
      <c r="Q57" s="334"/>
      <c r="R57" s="334"/>
      <c r="S57" s="334"/>
      <c r="T57" s="337"/>
      <c r="U57" s="334"/>
      <c r="V57" s="334"/>
      <c r="W57" s="334"/>
      <c r="X57" s="334"/>
      <c r="Y57" s="334"/>
      <c r="Z57" s="337"/>
      <c r="AA57" s="334"/>
      <c r="AB57" s="334"/>
      <c r="AC57" s="334"/>
      <c r="AD57" s="334"/>
      <c r="AE57" s="334"/>
      <c r="AF57" s="337"/>
      <c r="AG57" s="334"/>
      <c r="AH57" s="334"/>
      <c r="AI57" s="334"/>
      <c r="AJ57" s="334"/>
      <c r="AK57" s="334"/>
      <c r="AL57" s="337"/>
      <c r="AM57" s="334"/>
      <c r="AN57" s="334"/>
      <c r="AO57" s="334"/>
      <c r="AP57" s="334"/>
      <c r="AQ57" s="334"/>
      <c r="AR57" s="337"/>
      <c r="AS57" s="334"/>
      <c r="AT57" s="334"/>
      <c r="AU57" s="334"/>
      <c r="AV57" s="334"/>
      <c r="AW57" s="334"/>
      <c r="AX57" s="337"/>
      <c r="AY57" s="334"/>
      <c r="AZ57" s="334"/>
      <c r="BA57" s="334"/>
      <c r="BB57" s="334"/>
      <c r="BC57" s="334"/>
      <c r="BD57" s="199"/>
    </row>
    <row r="58" spans="1:56" ht="19.5" customHeight="1">
      <c r="A58" s="227"/>
      <c r="B58" s="227"/>
      <c r="C58" s="334"/>
      <c r="D58" s="334"/>
      <c r="E58" s="334"/>
      <c r="F58" s="334"/>
      <c r="G58" s="334"/>
      <c r="H58" s="336"/>
      <c r="I58" s="334"/>
      <c r="J58" s="334"/>
      <c r="K58" s="334"/>
      <c r="L58" s="334"/>
      <c r="M58" s="334"/>
      <c r="N58" s="337"/>
      <c r="O58" s="334"/>
      <c r="P58" s="334"/>
      <c r="Q58" s="334"/>
      <c r="R58" s="334"/>
      <c r="S58" s="334"/>
      <c r="T58" s="337"/>
      <c r="U58" s="334"/>
      <c r="V58" s="334"/>
      <c r="W58" s="334"/>
      <c r="X58" s="334"/>
      <c r="Y58" s="334"/>
      <c r="Z58" s="337"/>
      <c r="AA58" s="334"/>
      <c r="AB58" s="334"/>
      <c r="AC58" s="334"/>
      <c r="AD58" s="334"/>
      <c r="AE58" s="334"/>
      <c r="AF58" s="337"/>
      <c r="AG58" s="334"/>
      <c r="AH58" s="334"/>
      <c r="AI58" s="334"/>
      <c r="AJ58" s="334"/>
      <c r="AK58" s="334"/>
      <c r="AL58" s="337"/>
      <c r="AM58" s="334"/>
      <c r="AN58" s="334"/>
      <c r="AO58" s="334"/>
      <c r="AP58" s="334"/>
      <c r="AQ58" s="334"/>
      <c r="AR58" s="337"/>
      <c r="AS58" s="334"/>
      <c r="AT58" s="334"/>
      <c r="AU58" s="334"/>
      <c r="AV58" s="334"/>
      <c r="AW58" s="334"/>
      <c r="AX58" s="337"/>
      <c r="AY58" s="334"/>
      <c r="AZ58" s="334"/>
      <c r="BA58" s="334"/>
      <c r="BB58" s="334"/>
      <c r="BC58" s="334"/>
      <c r="BD58" s="199"/>
    </row>
    <row r="59" spans="1:56" ht="19.5" customHeight="1">
      <c r="A59" s="227"/>
      <c r="B59" s="227"/>
      <c r="C59" s="335"/>
      <c r="D59" s="335"/>
      <c r="E59" s="335"/>
      <c r="F59" s="335"/>
      <c r="G59" s="335"/>
      <c r="H59" s="336"/>
      <c r="I59" s="335"/>
      <c r="J59" s="335"/>
      <c r="K59" s="335"/>
      <c r="L59" s="335"/>
      <c r="M59" s="335"/>
      <c r="N59" s="337"/>
      <c r="O59" s="335"/>
      <c r="P59" s="335"/>
      <c r="Q59" s="335"/>
      <c r="R59" s="335"/>
      <c r="S59" s="335"/>
      <c r="T59" s="337"/>
      <c r="U59" s="335"/>
      <c r="V59" s="335"/>
      <c r="W59" s="335"/>
      <c r="X59" s="335"/>
      <c r="Y59" s="335"/>
      <c r="Z59" s="337"/>
      <c r="AA59" s="335"/>
      <c r="AB59" s="335"/>
      <c r="AC59" s="335"/>
      <c r="AD59" s="335"/>
      <c r="AE59" s="335"/>
      <c r="AF59" s="337"/>
      <c r="AG59" s="335"/>
      <c r="AH59" s="335"/>
      <c r="AI59" s="335"/>
      <c r="AJ59" s="335"/>
      <c r="AK59" s="335"/>
      <c r="AL59" s="337"/>
      <c r="AM59" s="335"/>
      <c r="AN59" s="335"/>
      <c r="AO59" s="335"/>
      <c r="AP59" s="335"/>
      <c r="AQ59" s="335"/>
      <c r="AR59" s="337"/>
      <c r="AS59" s="335"/>
      <c r="AT59" s="335"/>
      <c r="AU59" s="335"/>
      <c r="AV59" s="335"/>
      <c r="AW59" s="335"/>
      <c r="AX59" s="337"/>
      <c r="AY59" s="335"/>
      <c r="AZ59" s="335"/>
      <c r="BA59" s="335"/>
      <c r="BB59" s="335"/>
      <c r="BC59" s="335"/>
      <c r="BD59" s="199"/>
    </row>
    <row r="60" spans="1:56" ht="19.5" customHeight="1">
      <c r="A60" s="227"/>
      <c r="B60" s="227"/>
      <c r="C60" s="334"/>
      <c r="D60" s="334"/>
      <c r="E60" s="334"/>
      <c r="F60" s="334"/>
      <c r="G60" s="334"/>
      <c r="H60" s="336"/>
      <c r="I60" s="334"/>
      <c r="J60" s="334"/>
      <c r="K60" s="334"/>
      <c r="L60" s="334"/>
      <c r="M60" s="334"/>
      <c r="N60" s="337"/>
      <c r="O60" s="334"/>
      <c r="P60" s="334"/>
      <c r="Q60" s="334"/>
      <c r="R60" s="334"/>
      <c r="S60" s="334"/>
      <c r="T60" s="337"/>
      <c r="U60" s="334"/>
      <c r="V60" s="334"/>
      <c r="W60" s="334"/>
      <c r="X60" s="334"/>
      <c r="Y60" s="334"/>
      <c r="Z60" s="337"/>
      <c r="AA60" s="334"/>
      <c r="AB60" s="334"/>
      <c r="AC60" s="334"/>
      <c r="AD60" s="334"/>
      <c r="AE60" s="334"/>
      <c r="AF60" s="337"/>
      <c r="AG60" s="334"/>
      <c r="AH60" s="334"/>
      <c r="AI60" s="334"/>
      <c r="AJ60" s="334"/>
      <c r="AK60" s="334"/>
      <c r="AL60" s="337"/>
      <c r="AM60" s="334"/>
      <c r="AN60" s="334"/>
      <c r="AO60" s="334"/>
      <c r="AP60" s="334"/>
      <c r="AQ60" s="334"/>
      <c r="AR60" s="337"/>
      <c r="AS60" s="334"/>
      <c r="AT60" s="334"/>
      <c r="AU60" s="334"/>
      <c r="AV60" s="334"/>
      <c r="AW60" s="334"/>
      <c r="AX60" s="337"/>
      <c r="AY60" s="334"/>
      <c r="AZ60" s="334"/>
      <c r="BA60" s="334"/>
      <c r="BB60" s="334"/>
      <c r="BC60" s="334"/>
      <c r="BD60" s="199"/>
    </row>
    <row r="61" spans="1:56" ht="19.5" customHeight="1">
      <c r="A61" s="227"/>
      <c r="B61" s="227"/>
      <c r="C61" s="334"/>
      <c r="D61" s="334"/>
      <c r="E61" s="334"/>
      <c r="F61" s="334"/>
      <c r="G61" s="334"/>
      <c r="H61" s="336"/>
      <c r="I61" s="334"/>
      <c r="J61" s="334"/>
      <c r="K61" s="334"/>
      <c r="L61" s="334"/>
      <c r="M61" s="334"/>
      <c r="N61" s="337"/>
      <c r="O61" s="334"/>
      <c r="P61" s="334"/>
      <c r="Q61" s="334"/>
      <c r="R61" s="334"/>
      <c r="S61" s="334"/>
      <c r="T61" s="337"/>
      <c r="U61" s="334"/>
      <c r="V61" s="334"/>
      <c r="W61" s="334"/>
      <c r="X61" s="334"/>
      <c r="Y61" s="334"/>
      <c r="Z61" s="337"/>
      <c r="AA61" s="334"/>
      <c r="AB61" s="334"/>
      <c r="AC61" s="334"/>
      <c r="AD61" s="334"/>
      <c r="AE61" s="334"/>
      <c r="AF61" s="337"/>
      <c r="AG61" s="334"/>
      <c r="AH61" s="334"/>
      <c r="AI61" s="334"/>
      <c r="AJ61" s="334"/>
      <c r="AK61" s="334"/>
      <c r="AL61" s="337"/>
      <c r="AM61" s="334"/>
      <c r="AN61" s="334"/>
      <c r="AO61" s="334"/>
      <c r="AP61" s="334"/>
      <c r="AQ61" s="334"/>
      <c r="AR61" s="337"/>
      <c r="AS61" s="334"/>
      <c r="AT61" s="334"/>
      <c r="AU61" s="334"/>
      <c r="AV61" s="334"/>
      <c r="AW61" s="334"/>
      <c r="AX61" s="337"/>
      <c r="AY61" s="334"/>
      <c r="AZ61" s="334"/>
      <c r="BA61" s="334"/>
      <c r="BB61" s="334"/>
      <c r="BC61" s="334"/>
      <c r="BD61" s="199"/>
    </row>
    <row r="62" spans="1:56" ht="19.5" customHeight="1">
      <c r="A62" s="227"/>
      <c r="B62" s="227"/>
      <c r="C62" s="334"/>
      <c r="D62" s="334"/>
      <c r="E62" s="334"/>
      <c r="F62" s="334"/>
      <c r="G62" s="334"/>
      <c r="H62" s="336"/>
      <c r="I62" s="334"/>
      <c r="J62" s="334"/>
      <c r="K62" s="334"/>
      <c r="L62" s="334"/>
      <c r="M62" s="334"/>
      <c r="N62" s="337"/>
      <c r="O62" s="334"/>
      <c r="P62" s="334"/>
      <c r="Q62" s="334"/>
      <c r="R62" s="334"/>
      <c r="S62" s="334"/>
      <c r="T62" s="337"/>
      <c r="U62" s="334"/>
      <c r="V62" s="334"/>
      <c r="W62" s="334"/>
      <c r="X62" s="334"/>
      <c r="Y62" s="334"/>
      <c r="Z62" s="337"/>
      <c r="AA62" s="334"/>
      <c r="AB62" s="334"/>
      <c r="AC62" s="334"/>
      <c r="AD62" s="334"/>
      <c r="AE62" s="334"/>
      <c r="AF62" s="337"/>
      <c r="AG62" s="334"/>
      <c r="AH62" s="334"/>
      <c r="AI62" s="334"/>
      <c r="AJ62" s="334"/>
      <c r="AK62" s="334"/>
      <c r="AL62" s="337"/>
      <c r="AM62" s="334"/>
      <c r="AN62" s="334"/>
      <c r="AO62" s="334"/>
      <c r="AP62" s="334"/>
      <c r="AQ62" s="334"/>
      <c r="AR62" s="337"/>
      <c r="AS62" s="334"/>
      <c r="AT62" s="334"/>
      <c r="AU62" s="334"/>
      <c r="AV62" s="334"/>
      <c r="AW62" s="334"/>
      <c r="AX62" s="337"/>
      <c r="AY62" s="334"/>
      <c r="AZ62" s="334"/>
      <c r="BA62" s="334"/>
      <c r="BB62" s="334"/>
      <c r="BC62" s="334"/>
      <c r="BD62" s="199"/>
    </row>
    <row r="63" spans="1:56" ht="19.5" customHeight="1">
      <c r="A63" s="227"/>
      <c r="B63" s="227"/>
      <c r="C63" s="334"/>
      <c r="D63" s="334"/>
      <c r="E63" s="334"/>
      <c r="F63" s="334"/>
      <c r="G63" s="334"/>
      <c r="H63" s="336"/>
      <c r="I63" s="334"/>
      <c r="J63" s="334"/>
      <c r="K63" s="334"/>
      <c r="L63" s="334"/>
      <c r="M63" s="334"/>
      <c r="N63" s="337"/>
      <c r="O63" s="334"/>
      <c r="P63" s="334"/>
      <c r="Q63" s="334"/>
      <c r="R63" s="334"/>
      <c r="S63" s="334"/>
      <c r="T63" s="337"/>
      <c r="U63" s="334"/>
      <c r="V63" s="334"/>
      <c r="W63" s="334"/>
      <c r="X63" s="334"/>
      <c r="Y63" s="334"/>
      <c r="Z63" s="337"/>
      <c r="AA63" s="334"/>
      <c r="AB63" s="334"/>
      <c r="AC63" s="334"/>
      <c r="AD63" s="334"/>
      <c r="AE63" s="334"/>
      <c r="AF63" s="337"/>
      <c r="AG63" s="334"/>
      <c r="AH63" s="334"/>
      <c r="AI63" s="334"/>
      <c r="AJ63" s="334"/>
      <c r="AK63" s="334"/>
      <c r="AL63" s="337"/>
      <c r="AM63" s="334"/>
      <c r="AN63" s="334"/>
      <c r="AO63" s="334"/>
      <c r="AP63" s="334"/>
      <c r="AQ63" s="334"/>
      <c r="AR63" s="337"/>
      <c r="AS63" s="334"/>
      <c r="AT63" s="334"/>
      <c r="AU63" s="334"/>
      <c r="AV63" s="334"/>
      <c r="AW63" s="334"/>
      <c r="AX63" s="337"/>
      <c r="AY63" s="334"/>
      <c r="AZ63" s="334"/>
      <c r="BA63" s="334"/>
      <c r="BB63" s="334"/>
      <c r="BC63" s="334"/>
      <c r="BD63" s="199"/>
    </row>
    <row r="64" spans="1:56" ht="19.5" customHeight="1">
      <c r="A64" s="227"/>
      <c r="B64" s="227"/>
      <c r="C64" s="335"/>
      <c r="D64" s="335"/>
      <c r="E64" s="335"/>
      <c r="F64" s="335"/>
      <c r="G64" s="335"/>
      <c r="H64" s="336"/>
      <c r="I64" s="335"/>
      <c r="J64" s="335"/>
      <c r="K64" s="335"/>
      <c r="L64" s="335"/>
      <c r="M64" s="335"/>
      <c r="N64" s="337"/>
      <c r="O64" s="335"/>
      <c r="P64" s="335"/>
      <c r="Q64" s="335"/>
      <c r="R64" s="335"/>
      <c r="S64" s="335"/>
      <c r="T64" s="337"/>
      <c r="U64" s="335"/>
      <c r="V64" s="335"/>
      <c r="W64" s="335"/>
      <c r="X64" s="335"/>
      <c r="Y64" s="335"/>
      <c r="Z64" s="337"/>
      <c r="AA64" s="335"/>
      <c r="AB64" s="335"/>
      <c r="AC64" s="335"/>
      <c r="AD64" s="335"/>
      <c r="AE64" s="335"/>
      <c r="AF64" s="337"/>
      <c r="AG64" s="335"/>
      <c r="AH64" s="335"/>
      <c r="AI64" s="335"/>
      <c r="AJ64" s="335"/>
      <c r="AK64" s="335"/>
      <c r="AL64" s="337"/>
      <c r="AM64" s="335"/>
      <c r="AN64" s="335"/>
      <c r="AO64" s="335"/>
      <c r="AP64" s="335"/>
      <c r="AQ64" s="335"/>
      <c r="AR64" s="337"/>
      <c r="AS64" s="335"/>
      <c r="AT64" s="335"/>
      <c r="AU64" s="335"/>
      <c r="AV64" s="335"/>
      <c r="AW64" s="335"/>
      <c r="AX64" s="337"/>
      <c r="AY64" s="335"/>
      <c r="AZ64" s="335"/>
      <c r="BA64" s="335"/>
      <c r="BB64" s="335"/>
      <c r="BC64" s="335"/>
      <c r="BD64" s="199"/>
    </row>
    <row r="65" spans="1:56" ht="19.5" customHeight="1">
      <c r="A65" s="227"/>
      <c r="B65" s="227"/>
      <c r="C65" s="334"/>
      <c r="D65" s="334"/>
      <c r="E65" s="334"/>
      <c r="F65" s="334"/>
      <c r="G65" s="334"/>
      <c r="H65" s="336"/>
      <c r="I65" s="334"/>
      <c r="J65" s="334"/>
      <c r="K65" s="334"/>
      <c r="L65" s="334"/>
      <c r="M65" s="334"/>
      <c r="N65" s="337"/>
      <c r="O65" s="334"/>
      <c r="P65" s="334"/>
      <c r="Q65" s="334"/>
      <c r="R65" s="334"/>
      <c r="S65" s="334"/>
      <c r="T65" s="337"/>
      <c r="U65" s="334"/>
      <c r="V65" s="334"/>
      <c r="W65" s="334"/>
      <c r="X65" s="334"/>
      <c r="Y65" s="334"/>
      <c r="Z65" s="337"/>
      <c r="AA65" s="334"/>
      <c r="AB65" s="334"/>
      <c r="AC65" s="334"/>
      <c r="AD65" s="334"/>
      <c r="AE65" s="334"/>
      <c r="AF65" s="337"/>
      <c r="AG65" s="334"/>
      <c r="AH65" s="334"/>
      <c r="AI65" s="334"/>
      <c r="AJ65" s="334"/>
      <c r="AK65" s="334"/>
      <c r="AL65" s="337"/>
      <c r="AM65" s="334"/>
      <c r="AN65" s="334"/>
      <c r="AO65" s="334"/>
      <c r="AP65" s="334"/>
      <c r="AQ65" s="334"/>
      <c r="AR65" s="337"/>
      <c r="AS65" s="334"/>
      <c r="AT65" s="334"/>
      <c r="AU65" s="334"/>
      <c r="AV65" s="334"/>
      <c r="AW65" s="334"/>
      <c r="AX65" s="337"/>
      <c r="AY65" s="334"/>
      <c r="AZ65" s="334"/>
      <c r="BA65" s="334"/>
      <c r="BB65" s="334"/>
      <c r="BC65" s="334"/>
      <c r="BD65" s="199"/>
    </row>
    <row r="66" spans="1:56" ht="19.5" customHeight="1">
      <c r="A66" s="227"/>
      <c r="B66" s="227"/>
      <c r="C66" s="334"/>
      <c r="D66" s="334"/>
      <c r="E66" s="334"/>
      <c r="F66" s="334"/>
      <c r="G66" s="334"/>
      <c r="H66" s="336"/>
      <c r="I66" s="334"/>
      <c r="J66" s="334"/>
      <c r="K66" s="334"/>
      <c r="L66" s="334"/>
      <c r="M66" s="334"/>
      <c r="N66" s="337"/>
      <c r="O66" s="334"/>
      <c r="P66" s="334"/>
      <c r="Q66" s="334"/>
      <c r="R66" s="334"/>
      <c r="S66" s="334"/>
      <c r="T66" s="337"/>
      <c r="U66" s="334"/>
      <c r="V66" s="334"/>
      <c r="W66" s="334"/>
      <c r="X66" s="334"/>
      <c r="Y66" s="334"/>
      <c r="Z66" s="337"/>
      <c r="AA66" s="334"/>
      <c r="AB66" s="334"/>
      <c r="AC66" s="334"/>
      <c r="AD66" s="334"/>
      <c r="AE66" s="334"/>
      <c r="AF66" s="337"/>
      <c r="AG66" s="334"/>
      <c r="AH66" s="334"/>
      <c r="AI66" s="334"/>
      <c r="AJ66" s="334"/>
      <c r="AK66" s="334"/>
      <c r="AL66" s="337"/>
      <c r="AM66" s="334"/>
      <c r="AN66" s="334"/>
      <c r="AO66" s="334"/>
      <c r="AP66" s="334"/>
      <c r="AQ66" s="334"/>
      <c r="AR66" s="337"/>
      <c r="AS66" s="334"/>
      <c r="AT66" s="334"/>
      <c r="AU66" s="334"/>
      <c r="AV66" s="334"/>
      <c r="AW66" s="334"/>
      <c r="AX66" s="337"/>
      <c r="AY66" s="334"/>
      <c r="AZ66" s="334"/>
      <c r="BA66" s="334"/>
      <c r="BB66" s="334"/>
      <c r="BC66" s="334"/>
      <c r="BD66" s="199"/>
    </row>
    <row r="67" spans="1:56" ht="19.5" customHeight="1">
      <c r="A67" s="227"/>
      <c r="B67" s="227"/>
      <c r="C67" s="334"/>
      <c r="D67" s="334"/>
      <c r="E67" s="334"/>
      <c r="F67" s="334"/>
      <c r="G67" s="334"/>
      <c r="H67" s="336"/>
      <c r="I67" s="334"/>
      <c r="J67" s="334"/>
      <c r="K67" s="334"/>
      <c r="L67" s="334"/>
      <c r="M67" s="334"/>
      <c r="N67" s="337"/>
      <c r="O67" s="334"/>
      <c r="P67" s="334"/>
      <c r="Q67" s="334"/>
      <c r="R67" s="334"/>
      <c r="S67" s="334"/>
      <c r="T67" s="337"/>
      <c r="U67" s="334"/>
      <c r="V67" s="334"/>
      <c r="W67" s="334"/>
      <c r="X67" s="334"/>
      <c r="Y67" s="334"/>
      <c r="Z67" s="337"/>
      <c r="AA67" s="334"/>
      <c r="AB67" s="334"/>
      <c r="AC67" s="334"/>
      <c r="AD67" s="334"/>
      <c r="AE67" s="334"/>
      <c r="AF67" s="337"/>
      <c r="AG67" s="334"/>
      <c r="AH67" s="334"/>
      <c r="AI67" s="334"/>
      <c r="AJ67" s="334"/>
      <c r="AK67" s="334"/>
      <c r="AL67" s="337"/>
      <c r="AM67" s="334"/>
      <c r="AN67" s="334"/>
      <c r="AO67" s="334"/>
      <c r="AP67" s="334"/>
      <c r="AQ67" s="334"/>
      <c r="AR67" s="337"/>
      <c r="AS67" s="334"/>
      <c r="AT67" s="334"/>
      <c r="AU67" s="334"/>
      <c r="AV67" s="334"/>
      <c r="AW67" s="334"/>
      <c r="AX67" s="337"/>
      <c r="AY67" s="334"/>
      <c r="AZ67" s="334"/>
      <c r="BA67" s="334"/>
      <c r="BB67" s="334"/>
      <c r="BC67" s="334"/>
      <c r="BD67" s="199"/>
    </row>
    <row r="68" spans="1:56" ht="19.5" customHeight="1">
      <c r="A68" s="227"/>
      <c r="B68" s="227"/>
      <c r="C68" s="334"/>
      <c r="D68" s="334"/>
      <c r="E68" s="334"/>
      <c r="F68" s="334"/>
      <c r="G68" s="334"/>
      <c r="H68" s="336"/>
      <c r="I68" s="334"/>
      <c r="J68" s="334"/>
      <c r="K68" s="334"/>
      <c r="L68" s="334"/>
      <c r="M68" s="334"/>
      <c r="N68" s="337"/>
      <c r="O68" s="334"/>
      <c r="P68" s="334"/>
      <c r="Q68" s="334"/>
      <c r="R68" s="334"/>
      <c r="S68" s="334"/>
      <c r="T68" s="337"/>
      <c r="U68" s="334"/>
      <c r="V68" s="334"/>
      <c r="W68" s="334"/>
      <c r="X68" s="334"/>
      <c r="Y68" s="334"/>
      <c r="Z68" s="337"/>
      <c r="AA68" s="334"/>
      <c r="AB68" s="334"/>
      <c r="AC68" s="334"/>
      <c r="AD68" s="334"/>
      <c r="AE68" s="334"/>
      <c r="AF68" s="337"/>
      <c r="AG68" s="334"/>
      <c r="AH68" s="334"/>
      <c r="AI68" s="334"/>
      <c r="AJ68" s="334"/>
      <c r="AK68" s="334"/>
      <c r="AL68" s="337"/>
      <c r="AM68" s="334"/>
      <c r="AN68" s="334"/>
      <c r="AO68" s="334"/>
      <c r="AP68" s="334"/>
      <c r="AQ68" s="334"/>
      <c r="AR68" s="337"/>
      <c r="AS68" s="334"/>
      <c r="AT68" s="334"/>
      <c r="AU68" s="334"/>
      <c r="AV68" s="334"/>
      <c r="AW68" s="334"/>
      <c r="AX68" s="337"/>
      <c r="AY68" s="334"/>
      <c r="AZ68" s="334"/>
      <c r="BA68" s="334"/>
      <c r="BB68" s="334"/>
      <c r="BC68" s="334"/>
      <c r="BD68" s="199"/>
    </row>
    <row r="69" spans="1:56" ht="19.5" customHeight="1">
      <c r="A69" s="227"/>
      <c r="B69" s="227"/>
      <c r="C69" s="335"/>
      <c r="D69" s="335"/>
      <c r="E69" s="335"/>
      <c r="F69" s="335"/>
      <c r="G69" s="335"/>
      <c r="H69" s="336"/>
      <c r="I69" s="335"/>
      <c r="J69" s="335"/>
      <c r="K69" s="335"/>
      <c r="L69" s="335"/>
      <c r="M69" s="335"/>
      <c r="N69" s="337"/>
      <c r="O69" s="335"/>
      <c r="P69" s="335"/>
      <c r="Q69" s="335"/>
      <c r="R69" s="335"/>
      <c r="S69" s="335"/>
      <c r="T69" s="337"/>
      <c r="U69" s="335"/>
      <c r="V69" s="335"/>
      <c r="W69" s="335"/>
      <c r="X69" s="335"/>
      <c r="Y69" s="335"/>
      <c r="Z69" s="337"/>
      <c r="AA69" s="335"/>
      <c r="AB69" s="335"/>
      <c r="AC69" s="335"/>
      <c r="AD69" s="335"/>
      <c r="AE69" s="335"/>
      <c r="AF69" s="337"/>
      <c r="AG69" s="335"/>
      <c r="AH69" s="335"/>
      <c r="AI69" s="335"/>
      <c r="AJ69" s="335"/>
      <c r="AK69" s="335"/>
      <c r="AL69" s="337"/>
      <c r="AM69" s="335"/>
      <c r="AN69" s="335"/>
      <c r="AO69" s="335"/>
      <c r="AP69" s="335"/>
      <c r="AQ69" s="335"/>
      <c r="AR69" s="337"/>
      <c r="AS69" s="335"/>
      <c r="AT69" s="335"/>
      <c r="AU69" s="335"/>
      <c r="AV69" s="335"/>
      <c r="AW69" s="335"/>
      <c r="AX69" s="337"/>
      <c r="AY69" s="335"/>
      <c r="AZ69" s="335"/>
      <c r="BA69" s="335"/>
      <c r="BB69" s="335"/>
      <c r="BC69" s="335"/>
      <c r="BD69" s="199"/>
    </row>
    <row r="70" spans="1:56" ht="19.5" customHeight="1">
      <c r="A70" s="227" t="str">
        <f>IFERROR(IF(ISBLANK(#REF!),"",#REF!),"")</f>
        <v/>
      </c>
      <c r="B70" s="227"/>
      <c r="C70" s="334"/>
      <c r="D70" s="334"/>
      <c r="E70" s="334"/>
      <c r="F70" s="334"/>
      <c r="G70" s="334"/>
      <c r="H70" s="336"/>
      <c r="I70" s="334"/>
      <c r="J70" s="334"/>
      <c r="K70" s="334"/>
      <c r="L70" s="334"/>
      <c r="M70" s="334"/>
      <c r="N70" s="337"/>
      <c r="O70" s="334"/>
      <c r="P70" s="334"/>
      <c r="Q70" s="334"/>
      <c r="R70" s="334"/>
      <c r="S70" s="334"/>
      <c r="T70" s="337"/>
      <c r="U70" s="334"/>
      <c r="V70" s="334"/>
      <c r="W70" s="334"/>
      <c r="X70" s="334"/>
      <c r="Y70" s="334"/>
      <c r="Z70" s="337"/>
      <c r="AA70" s="334"/>
      <c r="AB70" s="334"/>
      <c r="AC70" s="334"/>
      <c r="AD70" s="334"/>
      <c r="AE70" s="334"/>
      <c r="AF70" s="337"/>
      <c r="AG70" s="334"/>
      <c r="AH70" s="334"/>
      <c r="AI70" s="334"/>
      <c r="AJ70" s="334"/>
      <c r="AK70" s="334"/>
      <c r="AL70" s="337"/>
      <c r="AM70" s="334"/>
      <c r="AN70" s="334"/>
      <c r="AO70" s="334"/>
      <c r="AP70" s="334"/>
      <c r="AQ70" s="334"/>
      <c r="AR70" s="337"/>
      <c r="AS70" s="334"/>
      <c r="AT70" s="334"/>
      <c r="AU70" s="334"/>
      <c r="AV70" s="334"/>
      <c r="AW70" s="334"/>
      <c r="AX70" s="337"/>
      <c r="AY70" s="334"/>
      <c r="AZ70" s="334"/>
      <c r="BA70" s="334"/>
      <c r="BB70" s="334"/>
      <c r="BC70" s="334"/>
      <c r="BD70" s="199"/>
    </row>
    <row r="71" spans="1:56" ht="19.5" customHeight="1">
      <c r="A71" s="227" t="str">
        <f>IFERROR(IF(ISBLANK(#REF!),"",#REF!),"")</f>
        <v/>
      </c>
      <c r="B71" s="227"/>
      <c r="C71" s="334"/>
      <c r="D71" s="334"/>
      <c r="E71" s="334"/>
      <c r="F71" s="334"/>
      <c r="G71" s="334"/>
      <c r="H71" s="336"/>
      <c r="I71" s="334"/>
      <c r="J71" s="334"/>
      <c r="K71" s="334"/>
      <c r="L71" s="334"/>
      <c r="M71" s="334"/>
      <c r="N71" s="337"/>
      <c r="O71" s="334"/>
      <c r="P71" s="334"/>
      <c r="Q71" s="334"/>
      <c r="R71" s="334"/>
      <c r="S71" s="334"/>
      <c r="T71" s="337"/>
      <c r="U71" s="334"/>
      <c r="V71" s="334"/>
      <c r="W71" s="334"/>
      <c r="X71" s="334"/>
      <c r="Y71" s="334"/>
      <c r="Z71" s="337"/>
      <c r="AA71" s="334"/>
      <c r="AB71" s="334"/>
      <c r="AC71" s="334"/>
      <c r="AD71" s="334"/>
      <c r="AE71" s="334"/>
      <c r="AF71" s="337"/>
      <c r="AG71" s="334"/>
      <c r="AH71" s="334"/>
      <c r="AI71" s="334"/>
      <c r="AJ71" s="334"/>
      <c r="AK71" s="334"/>
      <c r="AL71" s="337"/>
      <c r="AM71" s="334"/>
      <c r="AN71" s="334"/>
      <c r="AO71" s="334"/>
      <c r="AP71" s="334"/>
      <c r="AQ71" s="334"/>
      <c r="AR71" s="337"/>
      <c r="AS71" s="334"/>
      <c r="AT71" s="334"/>
      <c r="AU71" s="334"/>
      <c r="AV71" s="334"/>
      <c r="AW71" s="334"/>
      <c r="AX71" s="337"/>
      <c r="AY71" s="334"/>
      <c r="AZ71" s="334"/>
      <c r="BA71" s="334"/>
      <c r="BB71" s="334"/>
      <c r="BC71" s="334"/>
      <c r="BD71" s="199"/>
    </row>
    <row r="72" spans="1:56" ht="19.5" customHeight="1">
      <c r="A72" s="227" t="str">
        <f>IFERROR(IF(ISBLANK(#REF!),"",#REF!),"")</f>
        <v/>
      </c>
      <c r="B72" s="227"/>
      <c r="C72" s="334"/>
      <c r="D72" s="334"/>
      <c r="E72" s="334"/>
      <c r="F72" s="334"/>
      <c r="G72" s="334"/>
      <c r="H72" s="336"/>
      <c r="I72" s="334"/>
      <c r="J72" s="334"/>
      <c r="K72" s="334"/>
      <c r="L72" s="334"/>
      <c r="M72" s="334"/>
      <c r="N72" s="337"/>
      <c r="O72" s="334"/>
      <c r="P72" s="334"/>
      <c r="Q72" s="334"/>
      <c r="R72" s="334"/>
      <c r="S72" s="334"/>
      <c r="T72" s="337"/>
      <c r="U72" s="334"/>
      <c r="V72" s="334"/>
      <c r="W72" s="334"/>
      <c r="X72" s="334"/>
      <c r="Y72" s="334"/>
      <c r="Z72" s="337"/>
      <c r="AA72" s="334"/>
      <c r="AB72" s="334"/>
      <c r="AC72" s="334"/>
      <c r="AD72" s="334"/>
      <c r="AE72" s="334"/>
      <c r="AF72" s="337"/>
      <c r="AG72" s="334"/>
      <c r="AH72" s="334"/>
      <c r="AI72" s="334"/>
      <c r="AJ72" s="334"/>
      <c r="AK72" s="334"/>
      <c r="AL72" s="337"/>
      <c r="AM72" s="334"/>
      <c r="AN72" s="334"/>
      <c r="AO72" s="334"/>
      <c r="AP72" s="334"/>
      <c r="AQ72" s="334"/>
      <c r="AR72" s="337"/>
      <c r="AS72" s="334"/>
      <c r="AT72" s="334"/>
      <c r="AU72" s="334"/>
      <c r="AV72" s="334"/>
      <c r="AW72" s="334"/>
      <c r="AX72" s="337"/>
      <c r="AY72" s="334"/>
      <c r="AZ72" s="334"/>
      <c r="BA72" s="334"/>
      <c r="BB72" s="334"/>
      <c r="BC72" s="334"/>
      <c r="BD72" s="199"/>
    </row>
    <row r="73" spans="1:56" ht="19.5" customHeight="1">
      <c r="A73" s="227" t="str">
        <f>IFERROR(IF(ISBLANK(#REF!),"",#REF!),"")</f>
        <v/>
      </c>
      <c r="B73" s="227"/>
      <c r="C73" s="334"/>
      <c r="D73" s="334"/>
      <c r="E73" s="334"/>
      <c r="F73" s="334"/>
      <c r="G73" s="334"/>
      <c r="H73" s="338"/>
      <c r="I73" s="334"/>
      <c r="J73" s="334"/>
      <c r="K73" s="334"/>
      <c r="L73" s="334"/>
      <c r="M73" s="334"/>
      <c r="N73" s="338"/>
      <c r="O73" s="334"/>
      <c r="P73" s="334"/>
      <c r="Q73" s="334"/>
      <c r="R73" s="334"/>
      <c r="S73" s="334"/>
      <c r="T73" s="338"/>
      <c r="U73" s="334"/>
      <c r="V73" s="334"/>
      <c r="W73" s="334"/>
      <c r="X73" s="334"/>
      <c r="Y73" s="334"/>
      <c r="Z73" s="337"/>
      <c r="AA73" s="334"/>
      <c r="AB73" s="334"/>
      <c r="AC73" s="334"/>
      <c r="AD73" s="334"/>
      <c r="AE73" s="334"/>
      <c r="AF73" s="337"/>
      <c r="AG73" s="334"/>
      <c r="AH73" s="334"/>
      <c r="AI73" s="334"/>
      <c r="AJ73" s="334"/>
      <c r="AK73" s="334"/>
      <c r="AL73" s="337"/>
      <c r="AM73" s="334"/>
      <c r="AN73" s="334"/>
      <c r="AO73" s="334"/>
      <c r="AP73" s="334"/>
      <c r="AQ73" s="334"/>
      <c r="AR73" s="337"/>
      <c r="AS73" s="334"/>
      <c r="AT73" s="334"/>
      <c r="AU73" s="334"/>
      <c r="AV73" s="334"/>
      <c r="AW73" s="334"/>
      <c r="AX73" s="337"/>
      <c r="AY73" s="334"/>
      <c r="AZ73" s="334"/>
      <c r="BA73" s="334"/>
      <c r="BB73" s="334"/>
      <c r="BC73" s="334"/>
      <c r="BD73" s="199"/>
    </row>
    <row r="74" spans="1:56" ht="19.5" customHeight="1">
      <c r="A74" s="227" t="str">
        <f>IFERROR(IF(ISBLANK(#REF!),"",#REF!),"")</f>
        <v/>
      </c>
      <c r="B74" s="227"/>
      <c r="C74" s="335"/>
      <c r="D74" s="335"/>
      <c r="E74" s="335"/>
      <c r="F74" s="335"/>
      <c r="G74" s="335"/>
      <c r="H74" s="338"/>
      <c r="I74" s="335"/>
      <c r="J74" s="335"/>
      <c r="K74" s="335"/>
      <c r="L74" s="335"/>
      <c r="M74" s="335"/>
      <c r="N74" s="338"/>
      <c r="O74" s="335"/>
      <c r="P74" s="335"/>
      <c r="Q74" s="335"/>
      <c r="R74" s="335"/>
      <c r="S74" s="335"/>
      <c r="T74" s="338"/>
      <c r="U74" s="335"/>
      <c r="V74" s="335"/>
      <c r="W74" s="335"/>
      <c r="X74" s="335"/>
      <c r="Y74" s="335"/>
      <c r="Z74" s="337"/>
      <c r="AA74" s="335"/>
      <c r="AB74" s="335"/>
      <c r="AC74" s="335"/>
      <c r="AD74" s="335"/>
      <c r="AE74" s="335"/>
      <c r="AF74" s="337"/>
      <c r="AG74" s="335"/>
      <c r="AH74" s="335"/>
      <c r="AI74" s="335"/>
      <c r="AJ74" s="335"/>
      <c r="AK74" s="335"/>
      <c r="AL74" s="337"/>
      <c r="AM74" s="335"/>
      <c r="AN74" s="335"/>
      <c r="AO74" s="335"/>
      <c r="AP74" s="335"/>
      <c r="AQ74" s="335"/>
      <c r="AR74" s="337"/>
      <c r="AS74" s="335"/>
      <c r="AT74" s="335"/>
      <c r="AU74" s="335"/>
      <c r="AV74" s="335"/>
      <c r="AW74" s="335"/>
      <c r="AX74" s="337"/>
      <c r="AY74" s="335"/>
      <c r="AZ74" s="335"/>
      <c r="BA74" s="335"/>
      <c r="BB74" s="335"/>
      <c r="BC74" s="335"/>
      <c r="BD74" s="199"/>
    </row>
    <row r="75" spans="1:56" ht="19.5" customHeight="1">
      <c r="A75" s="227" t="str">
        <f>IFERROR(IF(ISBLANK(#REF!),"",#REF!),"")</f>
        <v/>
      </c>
      <c r="B75" s="227"/>
      <c r="C75" s="334"/>
      <c r="D75" s="334"/>
      <c r="E75" s="334"/>
      <c r="F75" s="334"/>
      <c r="G75" s="334"/>
      <c r="H75" s="338"/>
      <c r="I75" s="334"/>
      <c r="J75" s="334"/>
      <c r="K75" s="334"/>
      <c r="L75" s="334"/>
      <c r="M75" s="334"/>
      <c r="N75" s="338"/>
      <c r="O75" s="334"/>
      <c r="P75" s="334"/>
      <c r="Q75" s="334"/>
      <c r="R75" s="334"/>
      <c r="S75" s="334"/>
      <c r="T75" s="338"/>
      <c r="U75" s="334"/>
      <c r="V75" s="334"/>
      <c r="W75" s="334"/>
      <c r="X75" s="334"/>
      <c r="Y75" s="334"/>
      <c r="Z75" s="337"/>
      <c r="AA75" s="334"/>
      <c r="AB75" s="334"/>
      <c r="AC75" s="334"/>
      <c r="AD75" s="334"/>
      <c r="AE75" s="334"/>
      <c r="AF75" s="337"/>
      <c r="AG75" s="334"/>
      <c r="AH75" s="334"/>
      <c r="AI75" s="334"/>
      <c r="AJ75" s="334"/>
      <c r="AK75" s="334"/>
      <c r="AL75" s="337"/>
      <c r="AM75" s="334"/>
      <c r="AN75" s="334"/>
      <c r="AO75" s="334"/>
      <c r="AP75" s="334"/>
      <c r="AQ75" s="334"/>
      <c r="AR75" s="337"/>
      <c r="AS75" s="334"/>
      <c r="AT75" s="334"/>
      <c r="AU75" s="334"/>
      <c r="AV75" s="334"/>
      <c r="AW75" s="334"/>
      <c r="AX75" s="337"/>
      <c r="AY75" s="334"/>
      <c r="AZ75" s="334"/>
      <c r="BA75" s="334"/>
      <c r="BB75" s="334"/>
      <c r="BC75" s="334"/>
      <c r="BD75" s="199"/>
    </row>
    <row r="76" spans="1:56" ht="19.5" customHeight="1">
      <c r="A76" s="227" t="str">
        <f>IFERROR(IF(ISBLANK(#REF!),"",#REF!),"")</f>
        <v/>
      </c>
      <c r="B76" s="227"/>
      <c r="C76" s="334"/>
      <c r="D76" s="334"/>
      <c r="E76" s="334"/>
      <c r="F76" s="334"/>
      <c r="G76" s="334"/>
      <c r="H76" s="338"/>
      <c r="I76" s="334"/>
      <c r="J76" s="334"/>
      <c r="K76" s="334"/>
      <c r="L76" s="334"/>
      <c r="M76" s="334"/>
      <c r="N76" s="338"/>
      <c r="O76" s="334"/>
      <c r="P76" s="334"/>
      <c r="Q76" s="334"/>
      <c r="R76" s="334"/>
      <c r="S76" s="334"/>
      <c r="T76" s="338"/>
      <c r="U76" s="334"/>
      <c r="V76" s="334"/>
      <c r="W76" s="334"/>
      <c r="X76" s="334"/>
      <c r="Y76" s="334"/>
      <c r="Z76" s="337"/>
      <c r="AA76" s="334"/>
      <c r="AB76" s="334"/>
      <c r="AC76" s="334"/>
      <c r="AD76" s="334"/>
      <c r="AE76" s="334"/>
      <c r="AF76" s="337"/>
      <c r="AG76" s="334"/>
      <c r="AH76" s="334"/>
      <c r="AI76" s="334"/>
      <c r="AJ76" s="334"/>
      <c r="AK76" s="334"/>
      <c r="AL76" s="337"/>
      <c r="AM76" s="334"/>
      <c r="AN76" s="334"/>
      <c r="AO76" s="334"/>
      <c r="AP76" s="334"/>
      <c r="AQ76" s="334"/>
      <c r="AR76" s="337"/>
      <c r="AS76" s="334"/>
      <c r="AT76" s="334"/>
      <c r="AU76" s="334"/>
      <c r="AV76" s="334"/>
      <c r="AW76" s="334"/>
      <c r="AX76" s="337"/>
      <c r="AY76" s="334"/>
      <c r="AZ76" s="334"/>
      <c r="BA76" s="334"/>
      <c r="BB76" s="334"/>
      <c r="BC76" s="334"/>
      <c r="BD76" s="199"/>
    </row>
    <row r="77" spans="1:56" ht="19.5" customHeight="1">
      <c r="A77" s="339"/>
      <c r="B77" s="340" t="s">
        <v>50</v>
      </c>
      <c r="C77" s="339" t="str">
        <f>IFERROR(IF(OR(C12:C76)="","",SUM(C12:C76)),"")</f>
        <v/>
      </c>
      <c r="D77" s="339" t="str">
        <f t="shared" ref="D77:F77" si="0">IFERROR(IF(OR(D12:D76)="","",SUM(D12:D76)),"")</f>
        <v/>
      </c>
      <c r="E77" s="339" t="str">
        <f t="shared" si="0"/>
        <v/>
      </c>
      <c r="F77" s="339" t="str">
        <f t="shared" si="0"/>
        <v/>
      </c>
      <c r="G77" s="339" t="str">
        <f t="shared" ref="G77" si="1">IFERROR(IF(OR(G12:G76)="","",SUM(G12:G76)),"")</f>
        <v/>
      </c>
      <c r="H77" s="341"/>
      <c r="I77" s="339" t="str">
        <f>IFERROR(IF(OR(I12:I76)="","",SUM(I12:I76)),"")</f>
        <v/>
      </c>
      <c r="J77" s="339" t="str">
        <f t="shared" ref="J77:M77" si="2">IFERROR(IF(OR(J12:J76)="","",SUM(J12:J76)),"")</f>
        <v/>
      </c>
      <c r="K77" s="339" t="str">
        <f t="shared" si="2"/>
        <v/>
      </c>
      <c r="L77" s="339" t="str">
        <f t="shared" si="2"/>
        <v/>
      </c>
      <c r="M77" s="339" t="str">
        <f t="shared" si="2"/>
        <v/>
      </c>
      <c r="N77" s="341"/>
      <c r="O77" s="339" t="str">
        <f>IFERROR(IF(OR(O12:O76)="","",SUM(O12:O76)),"")</f>
        <v/>
      </c>
      <c r="P77" s="339" t="str">
        <f t="shared" ref="P77:S77" si="3">IFERROR(IF(OR(P12:P76)="","",SUM(P12:P76)),"")</f>
        <v/>
      </c>
      <c r="Q77" s="339" t="str">
        <f t="shared" si="3"/>
        <v/>
      </c>
      <c r="R77" s="339" t="str">
        <f t="shared" si="3"/>
        <v/>
      </c>
      <c r="S77" s="339" t="str">
        <f t="shared" si="3"/>
        <v/>
      </c>
      <c r="T77" s="341"/>
      <c r="U77" s="339" t="str">
        <f>IFERROR(IF(OR(U12:U76)="","",SUM(U12:U76)),"")</f>
        <v/>
      </c>
      <c r="V77" s="339" t="str">
        <f t="shared" ref="V77:Y77" si="4">IFERROR(IF(OR(V12:V76)="","",SUM(V12:V76)),"")</f>
        <v/>
      </c>
      <c r="W77" s="339" t="str">
        <f t="shared" si="4"/>
        <v/>
      </c>
      <c r="X77" s="339" t="str">
        <f t="shared" si="4"/>
        <v/>
      </c>
      <c r="Y77" s="339" t="str">
        <f t="shared" si="4"/>
        <v/>
      </c>
      <c r="Z77" s="342"/>
      <c r="AA77" s="339" t="str">
        <f>IFERROR(IF(OR(AA12:AA76)="","",SUM(AA12:AA76)),"")</f>
        <v/>
      </c>
      <c r="AB77" s="339" t="str">
        <f t="shared" ref="AB77:AE77" si="5">IFERROR(IF(OR(AB12:AB76)="","",SUM(AB12:AB76)),"")</f>
        <v/>
      </c>
      <c r="AC77" s="339" t="str">
        <f t="shared" si="5"/>
        <v/>
      </c>
      <c r="AD77" s="339" t="str">
        <f t="shared" si="5"/>
        <v/>
      </c>
      <c r="AE77" s="339" t="str">
        <f t="shared" si="5"/>
        <v/>
      </c>
      <c r="AF77" s="342"/>
      <c r="AG77" s="339" t="str">
        <f>IFERROR(IF(OR(AG12:AG76)="","",SUM(AG12:AG76)),"")</f>
        <v/>
      </c>
      <c r="AH77" s="339" t="str">
        <f t="shared" ref="AH77:AK77" si="6">IFERROR(IF(OR(AH12:AH76)="","",SUM(AH12:AH76)),"")</f>
        <v/>
      </c>
      <c r="AI77" s="339" t="str">
        <f t="shared" si="6"/>
        <v/>
      </c>
      <c r="AJ77" s="339" t="str">
        <f t="shared" si="6"/>
        <v/>
      </c>
      <c r="AK77" s="339" t="str">
        <f t="shared" si="6"/>
        <v/>
      </c>
      <c r="AL77" s="342"/>
      <c r="AM77" s="339" t="str">
        <f>IFERROR(IF(OR(AM12:AM76)="","",SUM(AM12:AM76)),"")</f>
        <v/>
      </c>
      <c r="AN77" s="339" t="str">
        <f t="shared" ref="AN77:AQ77" si="7">IFERROR(IF(OR(AN12:AN76)="","",SUM(AN12:AN76)),"")</f>
        <v/>
      </c>
      <c r="AO77" s="339" t="str">
        <f t="shared" si="7"/>
        <v/>
      </c>
      <c r="AP77" s="339" t="str">
        <f t="shared" si="7"/>
        <v/>
      </c>
      <c r="AQ77" s="339" t="str">
        <f t="shared" si="7"/>
        <v/>
      </c>
      <c r="AR77" s="342"/>
      <c r="AS77" s="339" t="str">
        <f>IFERROR(IF(OR(AS12:AS76)="","",SUM(AS12:AS76)),"")</f>
        <v/>
      </c>
      <c r="AT77" s="339" t="str">
        <f t="shared" ref="AT77:AW77" si="8">IFERROR(IF(OR(AT12:AT76)="","",SUM(AT12:AT76)),"")</f>
        <v/>
      </c>
      <c r="AU77" s="339" t="str">
        <f t="shared" si="8"/>
        <v/>
      </c>
      <c r="AV77" s="339" t="str">
        <f t="shared" si="8"/>
        <v/>
      </c>
      <c r="AW77" s="339" t="str">
        <f t="shared" si="8"/>
        <v/>
      </c>
      <c r="AX77" s="342"/>
      <c r="AY77" s="339" t="str">
        <f>IFERROR(IF(OR(AY12:AY76)="","",SUM(AY12:AY76)),"")</f>
        <v/>
      </c>
      <c r="AZ77" s="339" t="str">
        <f t="shared" ref="AZ77:BC77" si="9">IFERROR(IF(OR(AZ12:AZ76)="","",SUM(AZ12:AZ76)),"")</f>
        <v/>
      </c>
      <c r="BA77" s="339" t="str">
        <f t="shared" si="9"/>
        <v/>
      </c>
      <c r="BB77" s="339" t="str">
        <f t="shared" si="9"/>
        <v/>
      </c>
      <c r="BC77" s="339" t="str">
        <f t="shared" si="9"/>
        <v/>
      </c>
      <c r="BD77" s="199"/>
    </row>
    <row r="78" spans="1:56" ht="19.5" customHeight="1">
      <c r="A78" s="339"/>
      <c r="B78" s="340" t="s">
        <v>54</v>
      </c>
      <c r="C78" s="339" t="str">
        <f>IFERROR(IF(OR(C12:C76)="","",AVERAGE(C12:C76)),"")</f>
        <v/>
      </c>
      <c r="D78" s="339" t="str">
        <f t="shared" ref="D78:F78" si="10">IFERROR(IF(OR(D12:D76)="","",AVERAGE(D12:D76)),"")</f>
        <v/>
      </c>
      <c r="E78" s="339" t="str">
        <f t="shared" si="10"/>
        <v/>
      </c>
      <c r="F78" s="339" t="str">
        <f t="shared" si="10"/>
        <v/>
      </c>
      <c r="G78" s="339" t="str">
        <f t="shared" ref="G78" si="11">IFERROR(IF(OR(G12:G76)="","",AVERAGE(G12:G76)),"")</f>
        <v/>
      </c>
      <c r="H78" s="341"/>
      <c r="I78" s="339" t="str">
        <f>IFERROR(IF(OR(I12:I76)="","",AVERAGE(I12:I76)),"")</f>
        <v/>
      </c>
      <c r="J78" s="339" t="str">
        <f t="shared" ref="J78:M78" si="12">IFERROR(IF(OR(J12:J76)="","",AVERAGE(J12:J76)),"")</f>
        <v/>
      </c>
      <c r="K78" s="339" t="str">
        <f t="shared" si="12"/>
        <v/>
      </c>
      <c r="L78" s="339" t="str">
        <f t="shared" si="12"/>
        <v/>
      </c>
      <c r="M78" s="339" t="str">
        <f t="shared" si="12"/>
        <v/>
      </c>
      <c r="N78" s="341"/>
      <c r="O78" s="339" t="str">
        <f>IFERROR(IF(OR(O12:O76)="","",AVERAGE(O12:O76)),"")</f>
        <v/>
      </c>
      <c r="P78" s="339" t="str">
        <f t="shared" ref="P78:S78" si="13">IFERROR(IF(OR(P12:P76)="","",AVERAGE(P12:P76)),"")</f>
        <v/>
      </c>
      <c r="Q78" s="339" t="str">
        <f t="shared" si="13"/>
        <v/>
      </c>
      <c r="R78" s="339" t="str">
        <f t="shared" si="13"/>
        <v/>
      </c>
      <c r="S78" s="339" t="str">
        <f t="shared" si="13"/>
        <v/>
      </c>
      <c r="T78" s="341"/>
      <c r="U78" s="339" t="str">
        <f>IFERROR(IF(OR(U12:U76)="","",AVERAGE(U12:U76)),"")</f>
        <v/>
      </c>
      <c r="V78" s="339" t="str">
        <f t="shared" ref="V78:Y78" si="14">IFERROR(IF(OR(V12:V76)="","",AVERAGE(V12:V76)),"")</f>
        <v/>
      </c>
      <c r="W78" s="339" t="str">
        <f t="shared" si="14"/>
        <v/>
      </c>
      <c r="X78" s="339" t="str">
        <f t="shared" si="14"/>
        <v/>
      </c>
      <c r="Y78" s="339" t="str">
        <f t="shared" si="14"/>
        <v/>
      </c>
      <c r="Z78" s="342"/>
      <c r="AA78" s="339" t="str">
        <f>IFERROR(IF(OR(AA12:AA76)="","",AVERAGE(AA12:AA76)),"")</f>
        <v/>
      </c>
      <c r="AB78" s="339" t="str">
        <f t="shared" ref="AB78:AE78" si="15">IFERROR(IF(OR(AB12:AB76)="","",AVERAGE(AB12:AB76)),"")</f>
        <v/>
      </c>
      <c r="AC78" s="339" t="str">
        <f t="shared" si="15"/>
        <v/>
      </c>
      <c r="AD78" s="339" t="str">
        <f t="shared" si="15"/>
        <v/>
      </c>
      <c r="AE78" s="339" t="str">
        <f t="shared" si="15"/>
        <v/>
      </c>
      <c r="AF78" s="342"/>
      <c r="AG78" s="339" t="str">
        <f>IFERROR(IF(OR(AG12:AG76)="","",AVERAGE(AG12:AG76)),"")</f>
        <v/>
      </c>
      <c r="AH78" s="339" t="str">
        <f t="shared" ref="AH78:AK78" si="16">IFERROR(IF(OR(AH12:AH76)="","",AVERAGE(AH12:AH76)),"")</f>
        <v/>
      </c>
      <c r="AI78" s="339" t="str">
        <f t="shared" si="16"/>
        <v/>
      </c>
      <c r="AJ78" s="339" t="str">
        <f t="shared" si="16"/>
        <v/>
      </c>
      <c r="AK78" s="339" t="str">
        <f t="shared" si="16"/>
        <v/>
      </c>
      <c r="AL78" s="342"/>
      <c r="AM78" s="339" t="str">
        <f>IFERROR(IF(OR(AM12:AM76)="","",AVERAGE(AM12:AM76)),"")</f>
        <v/>
      </c>
      <c r="AN78" s="339" t="str">
        <f t="shared" ref="AN78:AQ78" si="17">IFERROR(IF(OR(AN12:AN76)="","",AVERAGE(AN12:AN76)),"")</f>
        <v/>
      </c>
      <c r="AO78" s="339" t="str">
        <f t="shared" si="17"/>
        <v/>
      </c>
      <c r="AP78" s="339" t="str">
        <f t="shared" si="17"/>
        <v/>
      </c>
      <c r="AQ78" s="339" t="str">
        <f t="shared" si="17"/>
        <v/>
      </c>
      <c r="AR78" s="342"/>
      <c r="AS78" s="339" t="str">
        <f>IFERROR(IF(OR(AS12:AS76)="","",AVERAGE(AS12:AS76)),"")</f>
        <v/>
      </c>
      <c r="AT78" s="339" t="str">
        <f t="shared" ref="AT78:AW78" si="18">IFERROR(IF(OR(AT12:AT76)="","",AVERAGE(AT12:AT76)),"")</f>
        <v/>
      </c>
      <c r="AU78" s="339" t="str">
        <f t="shared" si="18"/>
        <v/>
      </c>
      <c r="AV78" s="339" t="str">
        <f t="shared" si="18"/>
        <v/>
      </c>
      <c r="AW78" s="339" t="str">
        <f t="shared" si="18"/>
        <v/>
      </c>
      <c r="AX78" s="342"/>
      <c r="AY78" s="339" t="str">
        <f>IFERROR(IF(OR(AY12:AY76)="","",AVERAGE(AY12:AY76)),"")</f>
        <v/>
      </c>
      <c r="AZ78" s="339" t="str">
        <f t="shared" ref="AZ78:BC78" si="19">IFERROR(IF(OR(AZ12:AZ76)="","",AVERAGE(AZ12:AZ76)),"")</f>
        <v/>
      </c>
      <c r="BA78" s="339" t="str">
        <f t="shared" si="19"/>
        <v/>
      </c>
      <c r="BB78" s="339" t="str">
        <f t="shared" si="19"/>
        <v/>
      </c>
      <c r="BC78" s="339" t="str">
        <f t="shared" si="19"/>
        <v/>
      </c>
      <c r="BD78" s="199"/>
    </row>
    <row r="79" spans="1:56" ht="19.5" customHeight="1">
      <c r="A79" s="222"/>
      <c r="B79" s="223"/>
      <c r="C79" s="223"/>
      <c r="D79" s="223"/>
      <c r="E79" s="223"/>
      <c r="F79" s="223"/>
      <c r="G79" s="223"/>
      <c r="H79" s="222"/>
      <c r="I79" s="222"/>
      <c r="J79" s="222"/>
      <c r="K79" s="222"/>
      <c r="L79" s="223"/>
      <c r="M79" s="223"/>
      <c r="N79" s="222"/>
      <c r="O79" s="223"/>
      <c r="P79" s="223"/>
      <c r="Q79" s="222"/>
      <c r="R79" s="223"/>
      <c r="S79" s="223"/>
      <c r="T79" s="222"/>
      <c r="U79" s="223"/>
      <c r="V79" s="223"/>
      <c r="W79" s="223"/>
      <c r="X79" s="222"/>
      <c r="Y79" s="224"/>
      <c r="Z79" s="224"/>
      <c r="AA79" s="224"/>
      <c r="AB79" s="224"/>
      <c r="AC79" s="224"/>
      <c r="AD79" s="224"/>
      <c r="AE79" s="224"/>
      <c r="AF79" s="224"/>
      <c r="AG79" s="224"/>
      <c r="AH79" s="224"/>
      <c r="AI79" s="224"/>
      <c r="AJ79" s="224"/>
      <c r="AK79" s="224"/>
      <c r="AL79" s="224"/>
      <c r="AM79" s="224"/>
      <c r="AN79" s="224"/>
      <c r="AO79" s="224"/>
      <c r="AP79" s="224"/>
      <c r="AQ79" s="224"/>
      <c r="AR79" s="224"/>
      <c r="AS79" s="224"/>
      <c r="AT79" s="224"/>
      <c r="AU79" s="224"/>
      <c r="AV79" s="224"/>
      <c r="AW79" s="224"/>
      <c r="AX79" s="224"/>
      <c r="AY79" s="224"/>
      <c r="AZ79" s="224"/>
      <c r="BA79" s="224"/>
      <c r="BB79" s="224"/>
      <c r="BC79" s="224"/>
      <c r="BD79" s="199"/>
    </row>
    <row r="80" spans="1:56" ht="19.5" customHeight="1">
      <c r="A80" s="222"/>
      <c r="B80" s="223"/>
      <c r="C80" s="199"/>
      <c r="D80" s="199"/>
      <c r="E80" s="199"/>
      <c r="F80" s="199"/>
      <c r="G80" s="199"/>
      <c r="H80" s="199"/>
      <c r="I80" s="199"/>
      <c r="J80" s="199"/>
      <c r="K80" s="199"/>
      <c r="L80" s="199"/>
      <c r="M80" s="199"/>
      <c r="N80" s="199"/>
      <c r="O80" s="199"/>
      <c r="P80" s="199"/>
      <c r="Q80" s="199"/>
      <c r="R80" s="199"/>
      <c r="S80" s="199"/>
      <c r="T80" s="199"/>
      <c r="U80" s="199"/>
      <c r="V80" s="199"/>
      <c r="W80" s="199"/>
      <c r="X80" s="199"/>
      <c r="Y80" s="199"/>
      <c r="Z80" s="199"/>
      <c r="AA80" s="199"/>
      <c r="AB80" s="199"/>
      <c r="AC80" s="199"/>
      <c r="AD80" s="199"/>
      <c r="AE80" s="199"/>
      <c r="AF80" s="199"/>
      <c r="AG80" s="199"/>
      <c r="AH80" s="199"/>
      <c r="AI80" s="199"/>
      <c r="AJ80" s="199"/>
      <c r="AK80" s="199"/>
      <c r="AL80" s="199"/>
      <c r="AM80" s="199"/>
      <c r="AN80" s="199"/>
      <c r="AO80" s="199"/>
      <c r="AP80" s="199"/>
      <c r="AQ80" s="199"/>
      <c r="AR80" s="199"/>
      <c r="AS80" s="199"/>
      <c r="AT80" s="199"/>
      <c r="AU80" s="199"/>
      <c r="AV80" s="199"/>
      <c r="AW80" s="199"/>
      <c r="AX80" s="199"/>
      <c r="AY80" s="199"/>
      <c r="AZ80" s="199"/>
      <c r="BA80" s="199"/>
      <c r="BB80" s="199"/>
      <c r="BC80" s="199"/>
      <c r="BD80" s="199"/>
    </row>
    <row r="81" spans="1:56" ht="19.5" customHeight="1">
      <c r="A81" s="222"/>
      <c r="B81" s="223"/>
      <c r="C81" s="199"/>
      <c r="D81" s="199"/>
      <c r="E81" s="199"/>
      <c r="F81" s="199"/>
      <c r="G81" s="199"/>
      <c r="H81" s="199"/>
      <c r="I81" s="199"/>
      <c r="J81" s="199"/>
      <c r="K81" s="199"/>
      <c r="L81" s="199"/>
      <c r="M81" s="199"/>
      <c r="N81" s="199"/>
      <c r="O81" s="199"/>
      <c r="P81" s="199"/>
      <c r="Q81" s="199"/>
      <c r="R81" s="199"/>
      <c r="S81" s="199"/>
      <c r="T81" s="199"/>
      <c r="U81" s="199"/>
      <c r="V81" s="199"/>
      <c r="W81" s="199"/>
      <c r="X81" s="199"/>
      <c r="Y81" s="199"/>
      <c r="Z81" s="199"/>
      <c r="AA81" s="199"/>
      <c r="AB81" s="199"/>
      <c r="AC81" s="199"/>
      <c r="AD81" s="199"/>
      <c r="AE81" s="199"/>
      <c r="AF81" s="199"/>
      <c r="AG81" s="199"/>
      <c r="AH81" s="199"/>
      <c r="AI81" s="199"/>
      <c r="AJ81" s="199"/>
      <c r="AK81" s="199"/>
      <c r="AL81" s="199"/>
      <c r="AM81" s="199"/>
      <c r="AN81" s="199"/>
      <c r="AO81" s="199"/>
      <c r="AP81" s="199"/>
      <c r="AQ81" s="199"/>
      <c r="AR81" s="199"/>
      <c r="AS81" s="199"/>
      <c r="AT81" s="199"/>
      <c r="AU81" s="199"/>
      <c r="AV81" s="199"/>
      <c r="AW81" s="199"/>
      <c r="AX81" s="199"/>
      <c r="AY81" s="199"/>
      <c r="AZ81" s="199"/>
      <c r="BA81" s="199"/>
      <c r="BB81" s="199"/>
      <c r="BC81" s="199"/>
      <c r="BD81" s="199"/>
    </row>
    <row r="82" spans="1:56" ht="19.5" customHeight="1">
      <c r="A82" s="222"/>
      <c r="B82" s="223"/>
      <c r="C82" s="199"/>
      <c r="D82" s="199"/>
      <c r="E82" s="199"/>
      <c r="F82" s="199"/>
      <c r="G82" s="199"/>
      <c r="H82" s="199"/>
      <c r="I82" s="199"/>
      <c r="J82" s="199"/>
      <c r="K82" s="199"/>
      <c r="L82" s="199"/>
      <c r="M82" s="199"/>
      <c r="N82" s="199"/>
      <c r="O82" s="199"/>
      <c r="P82" s="199"/>
      <c r="Q82" s="199"/>
      <c r="R82" s="199"/>
      <c r="S82" s="199"/>
      <c r="T82" s="199"/>
      <c r="U82" s="199"/>
      <c r="V82" s="199"/>
      <c r="W82" s="199"/>
      <c r="X82" s="199"/>
      <c r="Y82" s="199"/>
      <c r="Z82" s="199"/>
      <c r="AA82" s="199"/>
      <c r="AB82" s="199"/>
      <c r="AC82" s="199"/>
      <c r="AD82" s="199"/>
      <c r="AE82" s="199"/>
      <c r="AF82" s="199"/>
      <c r="AG82" s="199"/>
      <c r="AH82" s="199"/>
      <c r="AI82" s="199"/>
      <c r="AJ82" s="199"/>
      <c r="AK82" s="199"/>
      <c r="AL82" s="199"/>
      <c r="AM82" s="199"/>
      <c r="AN82" s="199"/>
      <c r="AO82" s="199"/>
      <c r="AP82" s="199"/>
      <c r="AQ82" s="199"/>
      <c r="AR82" s="199"/>
      <c r="AS82" s="199"/>
      <c r="AT82" s="199"/>
      <c r="AU82" s="199"/>
      <c r="AV82" s="199"/>
      <c r="AW82" s="199"/>
      <c r="AX82" s="199"/>
      <c r="AY82" s="199"/>
      <c r="AZ82" s="199"/>
      <c r="BA82" s="199"/>
      <c r="BB82" s="199"/>
      <c r="BC82" s="199"/>
      <c r="BD82" s="199"/>
    </row>
  </sheetData>
  <sheetProtection sheet="1" objects="1" scenarios="1"/>
  <mergeCells count="67">
    <mergeCell ref="AY6:BC6"/>
    <mergeCell ref="A1:E1"/>
    <mergeCell ref="G1:M1"/>
    <mergeCell ref="AG5:AK5"/>
    <mergeCell ref="AG6:AK6"/>
    <mergeCell ref="AM5:AQ5"/>
    <mergeCell ref="AM6:AQ6"/>
    <mergeCell ref="C5:G5"/>
    <mergeCell ref="C6:G6"/>
    <mergeCell ref="I5:M5"/>
    <mergeCell ref="I6:M6"/>
    <mergeCell ref="O5:S5"/>
    <mergeCell ref="O6:S6"/>
    <mergeCell ref="AS6:AW6"/>
    <mergeCell ref="AA6:AE6"/>
    <mergeCell ref="U6:Y6"/>
    <mergeCell ref="AZ8:AZ11"/>
    <mergeCell ref="BA8:BA11"/>
    <mergeCell ref="BB8:BB11"/>
    <mergeCell ref="BC8:BC11"/>
    <mergeCell ref="AW8:AW11"/>
    <mergeCell ref="AY8:AY11"/>
    <mergeCell ref="AS8:AS11"/>
    <mergeCell ref="AT8:AT11"/>
    <mergeCell ref="AU8:AU11"/>
    <mergeCell ref="AV8:AV11"/>
    <mergeCell ref="AQ8:AQ11"/>
    <mergeCell ref="AM8:AM11"/>
    <mergeCell ref="AN8:AN11"/>
    <mergeCell ref="AO8:AO11"/>
    <mergeCell ref="AP8:AP11"/>
    <mergeCell ref="AK8:AK11"/>
    <mergeCell ref="Y8:Y11"/>
    <mergeCell ref="AG8:AG11"/>
    <mergeCell ref="AH8:AH11"/>
    <mergeCell ref="AI8:AI11"/>
    <mergeCell ref="AJ8:AJ11"/>
    <mergeCell ref="AD8:AD11"/>
    <mergeCell ref="AE8:AE11"/>
    <mergeCell ref="F8:F11"/>
    <mergeCell ref="M8:M11"/>
    <mergeCell ref="O8:O11"/>
    <mergeCell ref="I8:I11"/>
    <mergeCell ref="J8:J11"/>
    <mergeCell ref="K8:K11"/>
    <mergeCell ref="L8:L11"/>
    <mergeCell ref="A8:A11"/>
    <mergeCell ref="B8:B11"/>
    <mergeCell ref="C8:C11"/>
    <mergeCell ref="D8:D11"/>
    <mergeCell ref="E8:E11"/>
    <mergeCell ref="AS5:AW5"/>
    <mergeCell ref="AY5:BC5"/>
    <mergeCell ref="U5:Y5"/>
    <mergeCell ref="AA5:AE5"/>
    <mergeCell ref="G8:G11"/>
    <mergeCell ref="U8:U11"/>
    <mergeCell ref="V8:V11"/>
    <mergeCell ref="P8:P11"/>
    <mergeCell ref="Q8:Q11"/>
    <mergeCell ref="R8:R11"/>
    <mergeCell ref="S8:S11"/>
    <mergeCell ref="AA8:AA11"/>
    <mergeCell ref="AB8:AB11"/>
    <mergeCell ref="AC8:AC11"/>
    <mergeCell ref="W8:W11"/>
    <mergeCell ref="X8:X11"/>
  </mergeCells>
  <conditionalFormatting sqref="A12:B76">
    <cfRule type="expression" dxfId="219" priority="140">
      <formula>MOD(ROW(),5)=0</formula>
    </cfRule>
  </conditionalFormatting>
  <conditionalFormatting sqref="C77:G78">
    <cfRule type="colorScale" priority="2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4">
      <colorScale>
        <cfvo type="min"/>
        <cfvo type="max"/>
        <color rgb="FFFF7128"/>
        <color rgb="FFFFEF9C"/>
      </colorScale>
    </cfRule>
  </conditionalFormatting>
  <conditionalFormatting sqref="C77:G78">
    <cfRule type="colorScale" priority="247">
      <colorScale>
        <cfvo type="min"/>
        <cfvo type="max"/>
        <color theme="6" tint="-0.249977111117893"/>
        <color rgb="FFFFEF9C"/>
      </colorScale>
    </cfRule>
  </conditionalFormatting>
  <conditionalFormatting sqref="I78:M78">
    <cfRule type="colorScale" priority="2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4">
      <colorScale>
        <cfvo type="min"/>
        <cfvo type="max"/>
        <color rgb="FFFF7128"/>
        <color rgb="FFFFEF9C"/>
      </colorScale>
    </cfRule>
  </conditionalFormatting>
  <conditionalFormatting sqref="I78:M78">
    <cfRule type="colorScale" priority="255">
      <colorScale>
        <cfvo type="min"/>
        <cfvo type="max"/>
        <color theme="6" tint="-0.249977111117893"/>
        <color rgb="FFFFEF9C"/>
      </colorScale>
    </cfRule>
  </conditionalFormatting>
  <conditionalFormatting sqref="I77:M77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min"/>
        <cfvo type="max"/>
        <color rgb="FFFF7128"/>
        <color rgb="FFFFEF9C"/>
      </colorScale>
    </cfRule>
  </conditionalFormatting>
  <conditionalFormatting sqref="I77:M77">
    <cfRule type="colorScale" priority="60">
      <colorScale>
        <cfvo type="min"/>
        <cfvo type="max"/>
        <color theme="6" tint="-0.249977111117893"/>
        <color rgb="FFFFEF9C"/>
      </colorScale>
    </cfRule>
  </conditionalFormatting>
  <conditionalFormatting sqref="O78:S78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max"/>
        <color rgb="FFFF7128"/>
        <color rgb="FFFFEF9C"/>
      </colorScale>
    </cfRule>
  </conditionalFormatting>
  <conditionalFormatting sqref="O78:S78">
    <cfRule type="colorScale" priority="42">
      <colorScale>
        <cfvo type="min"/>
        <cfvo type="max"/>
        <color theme="6" tint="-0.249977111117893"/>
        <color rgb="FFFFEF9C"/>
      </colorScale>
    </cfRule>
  </conditionalFormatting>
  <conditionalFormatting sqref="O77:S7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max"/>
        <color rgb="FFFF7128"/>
        <color rgb="FFFFEF9C"/>
      </colorScale>
    </cfRule>
  </conditionalFormatting>
  <conditionalFormatting sqref="O77:S77">
    <cfRule type="colorScale" priority="39">
      <colorScale>
        <cfvo type="min"/>
        <cfvo type="max"/>
        <color theme="6" tint="-0.249977111117893"/>
        <color rgb="FFFFEF9C"/>
      </colorScale>
    </cfRule>
  </conditionalFormatting>
  <conditionalFormatting sqref="U78:Y7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max"/>
        <color rgb="FFFF7128"/>
        <color rgb="FFFFEF9C"/>
      </colorScale>
    </cfRule>
  </conditionalFormatting>
  <conditionalFormatting sqref="U78:Y78">
    <cfRule type="colorScale" priority="36">
      <colorScale>
        <cfvo type="min"/>
        <cfvo type="max"/>
        <color theme="6" tint="-0.249977111117893"/>
        <color rgb="FFFFEF9C"/>
      </colorScale>
    </cfRule>
  </conditionalFormatting>
  <conditionalFormatting sqref="U77:Y7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max"/>
        <color rgb="FFFF7128"/>
        <color rgb="FFFFEF9C"/>
      </colorScale>
    </cfRule>
  </conditionalFormatting>
  <conditionalFormatting sqref="U77:Y77">
    <cfRule type="colorScale" priority="33">
      <colorScale>
        <cfvo type="min"/>
        <cfvo type="max"/>
        <color theme="6" tint="-0.249977111117893"/>
        <color rgb="FFFFEF9C"/>
      </colorScale>
    </cfRule>
  </conditionalFormatting>
  <conditionalFormatting sqref="AA78:AE7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max"/>
        <color rgb="FFFF7128"/>
        <color rgb="FFFFEF9C"/>
      </colorScale>
    </cfRule>
  </conditionalFormatting>
  <conditionalFormatting sqref="AA78:AE78">
    <cfRule type="colorScale" priority="30">
      <colorScale>
        <cfvo type="min"/>
        <cfvo type="max"/>
        <color theme="6" tint="-0.249977111117893"/>
        <color rgb="FFFFEF9C"/>
      </colorScale>
    </cfRule>
  </conditionalFormatting>
  <conditionalFormatting sqref="AA77:AE7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max"/>
        <color rgb="FFFF7128"/>
        <color rgb="FFFFEF9C"/>
      </colorScale>
    </cfRule>
  </conditionalFormatting>
  <conditionalFormatting sqref="AA77:AE77">
    <cfRule type="colorScale" priority="27">
      <colorScale>
        <cfvo type="min"/>
        <cfvo type="max"/>
        <color theme="6" tint="-0.249977111117893"/>
        <color rgb="FFFFEF9C"/>
      </colorScale>
    </cfRule>
  </conditionalFormatting>
  <conditionalFormatting sqref="AG78:AK78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max"/>
        <color rgb="FFFF7128"/>
        <color rgb="FFFFEF9C"/>
      </colorScale>
    </cfRule>
  </conditionalFormatting>
  <conditionalFormatting sqref="AG78:AK78">
    <cfRule type="colorScale" priority="24">
      <colorScale>
        <cfvo type="min"/>
        <cfvo type="max"/>
        <color theme="6" tint="-0.249977111117893"/>
        <color rgb="FFFFEF9C"/>
      </colorScale>
    </cfRule>
  </conditionalFormatting>
  <conditionalFormatting sqref="AG77:AK7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max"/>
        <color rgb="FFFF7128"/>
        <color rgb="FFFFEF9C"/>
      </colorScale>
    </cfRule>
  </conditionalFormatting>
  <conditionalFormatting sqref="AG77:AK77">
    <cfRule type="colorScale" priority="21">
      <colorScale>
        <cfvo type="min"/>
        <cfvo type="max"/>
        <color theme="6" tint="-0.249977111117893"/>
        <color rgb="FFFFEF9C"/>
      </colorScale>
    </cfRule>
  </conditionalFormatting>
  <conditionalFormatting sqref="AM78:AQ7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max"/>
        <color rgb="FFFF7128"/>
        <color rgb="FFFFEF9C"/>
      </colorScale>
    </cfRule>
  </conditionalFormatting>
  <conditionalFormatting sqref="AM78:AQ78">
    <cfRule type="colorScale" priority="18">
      <colorScale>
        <cfvo type="min"/>
        <cfvo type="max"/>
        <color theme="6" tint="-0.249977111117893"/>
        <color rgb="FFFFEF9C"/>
      </colorScale>
    </cfRule>
  </conditionalFormatting>
  <conditionalFormatting sqref="AM77:AQ7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max"/>
        <color rgb="FFFF7128"/>
        <color rgb="FFFFEF9C"/>
      </colorScale>
    </cfRule>
  </conditionalFormatting>
  <conditionalFormatting sqref="AM77:AQ77">
    <cfRule type="colorScale" priority="15">
      <colorScale>
        <cfvo type="min"/>
        <cfvo type="max"/>
        <color theme="6" tint="-0.249977111117893"/>
        <color rgb="FFFFEF9C"/>
      </colorScale>
    </cfRule>
  </conditionalFormatting>
  <conditionalFormatting sqref="AS78:AW7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max"/>
        <color rgb="FFFF7128"/>
        <color rgb="FFFFEF9C"/>
      </colorScale>
    </cfRule>
  </conditionalFormatting>
  <conditionalFormatting sqref="AS78:AW78">
    <cfRule type="colorScale" priority="12">
      <colorScale>
        <cfvo type="min"/>
        <cfvo type="max"/>
        <color theme="6" tint="-0.249977111117893"/>
        <color rgb="FFFFEF9C"/>
      </colorScale>
    </cfRule>
  </conditionalFormatting>
  <conditionalFormatting sqref="AS77:AW7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max"/>
        <color rgb="FFFF7128"/>
        <color rgb="FFFFEF9C"/>
      </colorScale>
    </cfRule>
  </conditionalFormatting>
  <conditionalFormatting sqref="AS77:AW77">
    <cfRule type="colorScale" priority="9">
      <colorScale>
        <cfvo type="min"/>
        <cfvo type="max"/>
        <color theme="6" tint="-0.249977111117893"/>
        <color rgb="FFFFEF9C"/>
      </colorScale>
    </cfRule>
  </conditionalFormatting>
  <conditionalFormatting sqref="AY78:BC7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max"/>
        <color rgb="FFFF7128"/>
        <color rgb="FFFFEF9C"/>
      </colorScale>
    </cfRule>
  </conditionalFormatting>
  <conditionalFormatting sqref="AY78:BC78">
    <cfRule type="colorScale" priority="6">
      <colorScale>
        <cfvo type="min"/>
        <cfvo type="max"/>
        <color theme="6" tint="-0.249977111117893"/>
        <color rgb="FFFFEF9C"/>
      </colorScale>
    </cfRule>
  </conditionalFormatting>
  <conditionalFormatting sqref="AY77:BC7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max"/>
        <color rgb="FFFF7128"/>
        <color rgb="FFFFEF9C"/>
      </colorScale>
    </cfRule>
  </conditionalFormatting>
  <conditionalFormatting sqref="AY77:BC77">
    <cfRule type="colorScale" priority="3">
      <colorScale>
        <cfvo type="min"/>
        <cfvo type="max"/>
        <color theme="6" tint="-0.249977111117893"/>
        <color rgb="FFFFEF9C"/>
      </colorScale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owMarksEntryForm">
                <anchor moveWithCells="1" sizeWithCells="1">
                  <from>
                    <xdr:col>0</xdr:col>
                    <xdr:colOff>603250</xdr:colOff>
                    <xdr:row>2</xdr:row>
                    <xdr:rowOff>12700</xdr:rowOff>
                  </from>
                  <to>
                    <xdr:col>1</xdr:col>
                    <xdr:colOff>1993900</xdr:colOff>
                    <xdr:row>4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MJ82"/>
  <sheetViews>
    <sheetView topLeftCell="A4" zoomScale="82" zoomScaleNormal="82" workbookViewId="0">
      <pane xSplit="2" ySplit="8" topLeftCell="C12" activePane="bottomRight" state="frozen"/>
      <selection activeCell="A4" sqref="A4"/>
      <selection pane="topRight" activeCell="C4" sqref="C4"/>
      <selection pane="bottomLeft" activeCell="A12" sqref="A12"/>
      <selection pane="bottomRight" activeCell="F19" sqref="F19"/>
    </sheetView>
  </sheetViews>
  <sheetFormatPr defaultColWidth="9.1796875" defaultRowHeight="19.5" customHeight="1"/>
  <cols>
    <col min="1" max="1" width="10.08984375" style="64" customWidth="1"/>
    <col min="2" max="2" width="38.453125" style="68" customWidth="1"/>
    <col min="3" max="3" width="6" style="68" customWidth="1"/>
    <col min="4" max="4" width="6.54296875" style="68" customWidth="1"/>
    <col min="5" max="5" width="6.453125" style="68" customWidth="1"/>
    <col min="6" max="6" width="5.7265625" style="68" customWidth="1"/>
    <col min="7" max="7" width="6" style="68" bestFit="1" customWidth="1"/>
    <col min="8" max="8" width="7.1796875" style="68" customWidth="1"/>
    <col min="9" max="9" width="5.81640625" style="68" customWidth="1"/>
    <col min="10" max="10" width="7.36328125" style="68" customWidth="1"/>
    <col min="11" max="11" width="6.7265625" style="68" customWidth="1"/>
    <col min="12" max="12" width="4.81640625" style="68" customWidth="1"/>
    <col min="13" max="13" width="5.453125" style="68" customWidth="1"/>
    <col min="14" max="14" width="4.81640625" style="64"/>
    <col min="15" max="15" width="5.54296875" style="64" customWidth="1"/>
    <col min="16" max="16" width="7.90625" style="64" customWidth="1"/>
    <col min="17" max="17" width="6.7265625" style="64" customWidth="1"/>
    <col min="18" max="18" width="5.453125" style="68" customWidth="1"/>
    <col min="19" max="19" width="6" style="68" bestFit="1" customWidth="1"/>
    <col min="20" max="20" width="6.81640625" style="64" customWidth="1"/>
    <col min="21" max="22" width="6" style="68" bestFit="1" customWidth="1"/>
    <col min="23" max="23" width="7" style="64"/>
    <col min="24" max="24" width="5.26953125" style="68" customWidth="1"/>
    <col min="25" max="25" width="6.1796875" style="68" customWidth="1"/>
    <col min="26" max="26" width="4.7265625" style="64"/>
    <col min="27" max="27" width="5.7265625" style="68" customWidth="1"/>
    <col min="28" max="28" width="6.54296875" style="68" customWidth="1"/>
    <col min="29" max="29" width="6.54296875" style="64" customWidth="1"/>
    <col min="30" max="30" width="5.453125" style="68" customWidth="1"/>
    <col min="31" max="31" width="6" style="68" bestFit="1" customWidth="1"/>
    <col min="32" max="32" width="7.54296875" style="64" customWidth="1"/>
    <col min="33" max="33" width="6.1796875" style="68"/>
    <col min="34" max="34" width="6" style="68" bestFit="1" customWidth="1"/>
    <col min="35" max="35" width="6.54296875" style="64" customWidth="1"/>
    <col min="36" max="36" width="5" style="68" customWidth="1"/>
    <col min="37" max="37" width="6.453125" style="68" customWidth="1"/>
    <col min="38" max="38" width="4.81640625" style="64"/>
    <col min="39" max="39" width="6.453125" style="68" customWidth="1"/>
    <col min="40" max="40" width="6.54296875" style="68" customWidth="1"/>
    <col min="41" max="41" width="7" style="68" customWidth="1"/>
    <col min="42" max="42" width="6.1796875" style="64" customWidth="1"/>
    <col min="43" max="43" width="6" style="64" bestFit="1" customWidth="1"/>
    <col min="44" max="44" width="7.81640625" style="62" customWidth="1"/>
    <col min="45" max="46" width="6" style="62" bestFit="1" customWidth="1"/>
    <col min="47" max="47" width="7" style="62" customWidth="1"/>
    <col min="48" max="48" width="5" style="60" customWidth="1"/>
    <col min="49" max="49" width="6.1796875" style="62" customWidth="1"/>
    <col min="50" max="50" width="5.26953125" style="62"/>
    <col min="51" max="51" width="6.26953125" style="62" customWidth="1"/>
    <col min="52" max="52" width="6.54296875" style="62" customWidth="1"/>
    <col min="53" max="53" width="6.7265625" style="62" customWidth="1"/>
    <col min="54" max="54" width="5.54296875" style="62" customWidth="1"/>
    <col min="55" max="55" width="6" style="62" bestFit="1" customWidth="1"/>
    <col min="56" max="56" width="7.54296875" style="62" customWidth="1"/>
    <col min="57" max="57" width="6.1796875" style="62" customWidth="1"/>
    <col min="58" max="58" width="6" style="62" bestFit="1" customWidth="1"/>
    <col min="59" max="59" width="7" style="62" customWidth="1"/>
    <col min="60" max="60" width="5.453125" style="62" customWidth="1"/>
    <col min="61" max="61" width="6.1796875" style="62" customWidth="1"/>
    <col min="62" max="62" width="6" style="62"/>
    <col min="63" max="64" width="6.7265625" style="62" customWidth="1"/>
    <col min="65" max="65" width="6.453125" style="62" customWidth="1"/>
    <col min="66" max="66" width="5.54296875" style="62" customWidth="1"/>
    <col min="67" max="67" width="6" style="62" bestFit="1" customWidth="1"/>
    <col min="68" max="68" width="6.7265625" style="62" customWidth="1"/>
    <col min="69" max="69" width="5.81640625" style="62" customWidth="1"/>
    <col min="70" max="70" width="6" style="62" bestFit="1" customWidth="1"/>
    <col min="71" max="71" width="6.453125" style="62" customWidth="1"/>
    <col min="72" max="73" width="6.26953125" style="62" customWidth="1"/>
    <col min="74" max="74" width="4.7265625" style="62" customWidth="1"/>
    <col min="75" max="75" width="6.453125" style="62" customWidth="1"/>
    <col min="76" max="76" width="6.26953125" style="62" customWidth="1"/>
    <col min="77" max="77" width="6.54296875" style="62" customWidth="1"/>
    <col min="78" max="78" width="5.7265625" style="62" customWidth="1"/>
    <col min="79" max="79" width="6" style="62" bestFit="1" customWidth="1"/>
    <col min="80" max="80" width="7.26953125" style="62" customWidth="1"/>
    <col min="81" max="81" width="6" style="62" customWidth="1"/>
    <col min="82" max="82" width="6" style="62" bestFit="1" customWidth="1"/>
    <col min="83" max="83" width="6.7265625" style="62" customWidth="1"/>
    <col min="84" max="84" width="5.1796875" style="62" customWidth="1"/>
    <col min="85" max="85" width="6.1796875" style="62" customWidth="1"/>
    <col min="86" max="86" width="5.7265625" style="62"/>
    <col min="87" max="87" width="5.81640625" style="62" customWidth="1"/>
    <col min="88" max="89" width="6.54296875" style="62" customWidth="1"/>
    <col min="90" max="90" width="5.54296875" style="62" customWidth="1"/>
    <col min="91" max="91" width="6" style="62" bestFit="1" customWidth="1"/>
    <col min="92" max="92" width="7.1796875" style="62" customWidth="1"/>
    <col min="93" max="93" width="6" style="62" bestFit="1" customWidth="1"/>
    <col min="94" max="94" width="5" style="62" customWidth="1"/>
    <col min="95" max="95" width="6.7265625" style="62" customWidth="1"/>
    <col min="96" max="96" width="5.54296875" style="62" customWidth="1"/>
    <col min="97" max="97" width="6.26953125" style="62" customWidth="1"/>
    <col min="98" max="98" width="3.7265625" style="62" customWidth="1"/>
    <col min="99" max="100" width="6.54296875" style="62" customWidth="1"/>
    <col min="101" max="101" width="6.7265625" style="62" customWidth="1"/>
    <col min="102" max="102" width="5.453125" style="62" customWidth="1"/>
    <col min="103" max="103" width="6" style="62" bestFit="1" customWidth="1"/>
    <col min="104" max="104" width="7.453125" style="62" customWidth="1"/>
    <col min="105" max="105" width="6.1796875" style="62" customWidth="1"/>
    <col min="106" max="106" width="6" style="62" bestFit="1" customWidth="1"/>
    <col min="107" max="107" width="7.1796875" style="62" customWidth="1"/>
    <col min="108" max="108" width="4.7265625" style="62" customWidth="1"/>
    <col min="109" max="109" width="5.81640625" style="62" customWidth="1"/>
    <col min="110" max="110" width="8.26953125" style="60" customWidth="1"/>
    <col min="111" max="111" width="8.36328125" style="60" customWidth="1"/>
    <col min="112" max="112" width="7.54296875" style="60" customWidth="1"/>
    <col min="113" max="113" width="7.453125" style="60" customWidth="1"/>
    <col min="114" max="114" width="8.81640625" style="62" hidden="1" customWidth="1"/>
    <col min="115" max="115" width="8.453125" style="62" hidden="1" customWidth="1"/>
    <col min="116" max="116" width="8.54296875" style="62" hidden="1" customWidth="1"/>
    <col min="117" max="16384" width="9.1796875" style="62"/>
  </cols>
  <sheetData>
    <row r="1" spans="1:1024" ht="15" customHeight="1" thickBot="1">
      <c r="A1" s="128"/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28"/>
      <c r="O1" s="128"/>
      <c r="P1" s="128"/>
      <c r="Q1" s="128"/>
      <c r="R1" s="133"/>
      <c r="S1" s="133"/>
      <c r="T1" s="128"/>
      <c r="U1" s="133"/>
      <c r="V1" s="133"/>
      <c r="W1" s="128"/>
      <c r="X1" s="133"/>
      <c r="Y1" s="133"/>
      <c r="Z1" s="128"/>
      <c r="AA1" s="133"/>
      <c r="AB1" s="133"/>
      <c r="AC1" s="128"/>
      <c r="AD1" s="133"/>
      <c r="AE1" s="133"/>
      <c r="AF1" s="128"/>
      <c r="AG1" s="133"/>
      <c r="AH1" s="133"/>
      <c r="AI1" s="128"/>
      <c r="AJ1" s="133"/>
      <c r="AK1" s="133"/>
      <c r="AL1" s="128"/>
      <c r="AM1" s="133"/>
      <c r="AN1" s="133"/>
      <c r="AO1" s="133"/>
      <c r="AP1" s="128"/>
      <c r="AQ1" s="128"/>
      <c r="AR1" s="125"/>
      <c r="AS1" s="125"/>
      <c r="AT1" s="125"/>
      <c r="AU1" s="125"/>
      <c r="AV1" s="127"/>
      <c r="AW1" s="125"/>
      <c r="AX1" s="125"/>
      <c r="AY1" s="125"/>
      <c r="AZ1" s="125"/>
      <c r="BA1" s="125"/>
      <c r="BB1" s="125"/>
      <c r="BC1" s="125"/>
      <c r="BD1" s="125"/>
      <c r="BE1" s="125"/>
      <c r="BF1" s="125"/>
      <c r="BG1" s="125"/>
      <c r="BH1" s="125"/>
      <c r="BI1" s="125"/>
      <c r="BJ1" s="125"/>
      <c r="BK1" s="125"/>
      <c r="BL1" s="125"/>
      <c r="BM1" s="125"/>
      <c r="BN1" s="125"/>
      <c r="BO1" s="125"/>
      <c r="BP1" s="125"/>
      <c r="BQ1" s="125"/>
      <c r="BR1" s="125"/>
      <c r="BS1" s="125"/>
      <c r="BT1" s="125"/>
      <c r="BU1" s="125"/>
      <c r="BV1" s="125"/>
      <c r="BW1" s="125"/>
      <c r="BX1" s="125"/>
      <c r="BY1" s="125"/>
      <c r="BZ1" s="125"/>
      <c r="CA1" s="125"/>
      <c r="CB1" s="125"/>
      <c r="CC1" s="125"/>
      <c r="CD1" s="125"/>
      <c r="CE1" s="125"/>
      <c r="CF1" s="125"/>
      <c r="CG1" s="125"/>
      <c r="CH1" s="125"/>
      <c r="CI1" s="125"/>
      <c r="CJ1" s="125"/>
      <c r="CK1" s="125"/>
      <c r="CL1" s="125"/>
      <c r="CM1" s="125"/>
      <c r="CN1" s="125"/>
      <c r="CO1" s="125"/>
      <c r="CP1" s="125"/>
      <c r="CQ1" s="125"/>
      <c r="CR1" s="125"/>
      <c r="CS1" s="125"/>
      <c r="CT1" s="125"/>
      <c r="CU1" s="125"/>
      <c r="CV1" s="125"/>
      <c r="CW1" s="125"/>
      <c r="CX1" s="125"/>
      <c r="CY1" s="125"/>
      <c r="CZ1" s="125"/>
      <c r="DA1" s="125"/>
      <c r="DB1" s="125"/>
      <c r="DC1" s="125"/>
      <c r="DD1" s="125"/>
      <c r="DE1" s="125"/>
      <c r="DF1" s="127"/>
      <c r="DG1" s="127"/>
      <c r="DH1" s="127"/>
      <c r="DI1" s="127"/>
    </row>
    <row r="2" spans="1:1024" ht="15" customHeight="1" thickBot="1">
      <c r="A2" s="121"/>
      <c r="B2" s="122"/>
      <c r="C2" s="312" t="s">
        <v>312</v>
      </c>
      <c r="D2" s="312"/>
      <c r="E2" s="312"/>
      <c r="F2" s="312"/>
      <c r="G2" s="312"/>
      <c r="H2" s="312"/>
      <c r="I2" s="312"/>
      <c r="J2" s="312"/>
      <c r="K2" s="312"/>
      <c r="L2" s="312"/>
      <c r="M2" s="313"/>
      <c r="N2" s="134"/>
      <c r="O2" s="314" t="s">
        <v>313</v>
      </c>
      <c r="P2" s="312"/>
      <c r="Q2" s="312"/>
      <c r="R2" s="312"/>
      <c r="S2" s="312"/>
      <c r="T2" s="312"/>
      <c r="U2" s="312"/>
      <c r="V2" s="312"/>
      <c r="W2" s="312"/>
      <c r="X2" s="312"/>
      <c r="Y2" s="313"/>
      <c r="Z2" s="134"/>
      <c r="AA2" s="314" t="s">
        <v>314</v>
      </c>
      <c r="AB2" s="312"/>
      <c r="AC2" s="312"/>
      <c r="AD2" s="312"/>
      <c r="AE2" s="312"/>
      <c r="AF2" s="312"/>
      <c r="AG2" s="312"/>
      <c r="AH2" s="312"/>
      <c r="AI2" s="312"/>
      <c r="AJ2" s="312"/>
      <c r="AK2" s="313"/>
      <c r="AL2" s="134"/>
      <c r="AM2" s="314" t="s">
        <v>315</v>
      </c>
      <c r="AN2" s="312"/>
      <c r="AO2" s="312"/>
      <c r="AP2" s="312"/>
      <c r="AQ2" s="312"/>
      <c r="AR2" s="312"/>
      <c r="AS2" s="312"/>
      <c r="AT2" s="312"/>
      <c r="AU2" s="312"/>
      <c r="AV2" s="312"/>
      <c r="AW2" s="313"/>
      <c r="AX2" s="129"/>
      <c r="AY2" s="314" t="s">
        <v>316</v>
      </c>
      <c r="AZ2" s="312"/>
      <c r="BA2" s="312"/>
      <c r="BB2" s="312"/>
      <c r="BC2" s="312"/>
      <c r="BD2" s="312"/>
      <c r="BE2" s="312"/>
      <c r="BF2" s="312"/>
      <c r="BG2" s="312"/>
      <c r="BH2" s="312"/>
      <c r="BI2" s="313"/>
      <c r="BJ2" s="129"/>
      <c r="BK2" s="314" t="s">
        <v>317</v>
      </c>
      <c r="BL2" s="312"/>
      <c r="BM2" s="312"/>
      <c r="BN2" s="312"/>
      <c r="BO2" s="312"/>
      <c r="BP2" s="312"/>
      <c r="BQ2" s="312"/>
      <c r="BR2" s="312"/>
      <c r="BS2" s="312"/>
      <c r="BT2" s="312"/>
      <c r="BU2" s="313"/>
      <c r="BV2" s="129"/>
      <c r="BW2" s="314" t="s">
        <v>318</v>
      </c>
      <c r="BX2" s="312"/>
      <c r="BY2" s="312"/>
      <c r="BZ2" s="312"/>
      <c r="CA2" s="312"/>
      <c r="CB2" s="312"/>
      <c r="CC2" s="312"/>
      <c r="CD2" s="312"/>
      <c r="CE2" s="312"/>
      <c r="CF2" s="312"/>
      <c r="CG2" s="313"/>
      <c r="CH2" s="129"/>
      <c r="CI2" s="314" t="s">
        <v>319</v>
      </c>
      <c r="CJ2" s="312"/>
      <c r="CK2" s="312"/>
      <c r="CL2" s="312"/>
      <c r="CM2" s="312"/>
      <c r="CN2" s="312"/>
      <c r="CO2" s="312"/>
      <c r="CP2" s="312"/>
      <c r="CQ2" s="312"/>
      <c r="CR2" s="312"/>
      <c r="CS2" s="313"/>
      <c r="CT2" s="129"/>
      <c r="CU2" s="314" t="s">
        <v>320</v>
      </c>
      <c r="CV2" s="312"/>
      <c r="CW2" s="312"/>
      <c r="CX2" s="312"/>
      <c r="CY2" s="312"/>
      <c r="CZ2" s="312"/>
      <c r="DA2" s="312"/>
      <c r="DB2" s="312"/>
      <c r="DC2" s="312"/>
      <c r="DD2" s="312"/>
      <c r="DE2" s="313"/>
      <c r="DF2" s="127"/>
      <c r="DG2" s="127"/>
      <c r="DH2" s="127"/>
      <c r="DI2" s="127"/>
    </row>
    <row r="3" spans="1:1024" ht="19.5" customHeight="1" thickBot="1">
      <c r="A3" s="121"/>
      <c r="B3" s="123"/>
      <c r="C3" s="280" t="s">
        <v>51</v>
      </c>
      <c r="D3" s="280"/>
      <c r="E3" s="281"/>
      <c r="F3" s="278" t="str">
        <f>IF(SETTINGS!$P$14="","",SETTINGS!$P$14)</f>
        <v/>
      </c>
      <c r="G3" s="278"/>
      <c r="H3" s="278"/>
      <c r="I3" s="278"/>
      <c r="J3" s="279"/>
      <c r="K3" s="61" t="s">
        <v>12</v>
      </c>
      <c r="L3" s="277" t="str">
        <f>IF(SETTINGS!$C$15="","",SETTINGS!$C$15)</f>
        <v/>
      </c>
      <c r="M3" s="277"/>
      <c r="N3" s="125"/>
      <c r="O3" s="282" t="s">
        <v>51</v>
      </c>
      <c r="P3" s="280"/>
      <c r="Q3" s="281"/>
      <c r="R3" s="278" t="str">
        <f>IF(SETTINGS!$P$15="","",SETTINGS!$P$15)</f>
        <v/>
      </c>
      <c r="S3" s="278"/>
      <c r="T3" s="278"/>
      <c r="U3" s="278"/>
      <c r="V3" s="279"/>
      <c r="W3" s="61" t="s">
        <v>12</v>
      </c>
      <c r="X3" s="277" t="str">
        <f>IF(SETTINGS!$C$15="","",SETTINGS!$C$15)</f>
        <v/>
      </c>
      <c r="Y3" s="277"/>
      <c r="Z3" s="125"/>
      <c r="AA3" s="282" t="s">
        <v>51</v>
      </c>
      <c r="AB3" s="280"/>
      <c r="AC3" s="281"/>
      <c r="AD3" s="278" t="str">
        <f>IF(SETTINGS!$P$16="","",SETTINGS!$P$16)</f>
        <v/>
      </c>
      <c r="AE3" s="278"/>
      <c r="AF3" s="278"/>
      <c r="AG3" s="278"/>
      <c r="AH3" s="279"/>
      <c r="AI3" s="63" t="s">
        <v>12</v>
      </c>
      <c r="AJ3" s="277" t="str">
        <f>IF(SETTINGS!$C$15="","",SETTINGS!$C$15)</f>
        <v/>
      </c>
      <c r="AK3" s="277"/>
      <c r="AL3" s="125"/>
      <c r="AM3" s="282" t="s">
        <v>51</v>
      </c>
      <c r="AN3" s="280"/>
      <c r="AO3" s="281"/>
      <c r="AP3" s="278" t="str">
        <f>IF(SETTINGS!$P$17="","",SETTINGS!$P$17)</f>
        <v/>
      </c>
      <c r="AQ3" s="278"/>
      <c r="AR3" s="278"/>
      <c r="AS3" s="278"/>
      <c r="AT3" s="279"/>
      <c r="AU3" s="63" t="s">
        <v>12</v>
      </c>
      <c r="AV3" s="277" t="str">
        <f>IF(SETTINGS!$C$15="","",SETTINGS!$C$15)</f>
        <v/>
      </c>
      <c r="AW3" s="277"/>
      <c r="AX3" s="125"/>
      <c r="AY3" s="282" t="s">
        <v>51</v>
      </c>
      <c r="AZ3" s="280"/>
      <c r="BA3" s="281"/>
      <c r="BB3" s="278" t="str">
        <f>IF(SETTINGS!$P$18="","",SETTINGS!$P$18)</f>
        <v/>
      </c>
      <c r="BC3" s="278"/>
      <c r="BD3" s="278"/>
      <c r="BE3" s="278"/>
      <c r="BF3" s="279"/>
      <c r="BG3" s="63" t="s">
        <v>12</v>
      </c>
      <c r="BH3" s="277" t="str">
        <f>IF(SETTINGS!$C$15="","",SETTINGS!$C$15)</f>
        <v/>
      </c>
      <c r="BI3" s="277"/>
      <c r="BJ3" s="125"/>
      <c r="BK3" s="282" t="s">
        <v>51</v>
      </c>
      <c r="BL3" s="280"/>
      <c r="BM3" s="281"/>
      <c r="BN3" s="278" t="str">
        <f>IF(SETTINGS!$P$19="","",SETTINGS!$P$19)</f>
        <v/>
      </c>
      <c r="BO3" s="278"/>
      <c r="BP3" s="278"/>
      <c r="BQ3" s="278"/>
      <c r="BR3" s="279"/>
      <c r="BS3" s="63" t="s">
        <v>12</v>
      </c>
      <c r="BT3" s="277" t="str">
        <f>IF(SETTINGS!$C$15="","",SETTINGS!$C$15)</f>
        <v/>
      </c>
      <c r="BU3" s="277"/>
      <c r="BV3" s="125"/>
      <c r="BW3" s="282" t="s">
        <v>51</v>
      </c>
      <c r="BX3" s="280"/>
      <c r="BY3" s="281"/>
      <c r="BZ3" s="278" t="str">
        <f>IF(SETTINGS!$P$20="","",SETTINGS!$P$20)</f>
        <v/>
      </c>
      <c r="CA3" s="278"/>
      <c r="CB3" s="278"/>
      <c r="CC3" s="278"/>
      <c r="CD3" s="279"/>
      <c r="CE3" s="63" t="s">
        <v>12</v>
      </c>
      <c r="CF3" s="277" t="str">
        <f>IF(SETTINGS!$C$15="","",SETTINGS!$C$15)</f>
        <v/>
      </c>
      <c r="CG3" s="277"/>
      <c r="CH3" s="125"/>
      <c r="CI3" s="282" t="s">
        <v>51</v>
      </c>
      <c r="CJ3" s="280"/>
      <c r="CK3" s="281"/>
      <c r="CL3" s="278" t="str">
        <f>IF(SETTINGS!$P$21="","",SETTINGS!$P$21)</f>
        <v/>
      </c>
      <c r="CM3" s="278"/>
      <c r="CN3" s="278"/>
      <c r="CO3" s="278"/>
      <c r="CP3" s="279"/>
      <c r="CQ3" s="63" t="s">
        <v>12</v>
      </c>
      <c r="CR3" s="277" t="str">
        <f>IF(SETTINGS!$C$15="","",SETTINGS!$C$15)</f>
        <v/>
      </c>
      <c r="CS3" s="277"/>
      <c r="CT3" s="125"/>
      <c r="CU3" s="282" t="s">
        <v>51</v>
      </c>
      <c r="CV3" s="280"/>
      <c r="CW3" s="281"/>
      <c r="CX3" s="278" t="str">
        <f>IF(SETTINGS!$P$22="","",SETTINGS!$P$22)</f>
        <v/>
      </c>
      <c r="CY3" s="278"/>
      <c r="CZ3" s="278"/>
      <c r="DA3" s="278"/>
      <c r="DB3" s="279"/>
      <c r="DC3" s="63" t="s">
        <v>12</v>
      </c>
      <c r="DD3" s="277" t="str">
        <f>IF(SETTINGS!$C$15="","",SETTINGS!$C$15)</f>
        <v/>
      </c>
      <c r="DE3" s="277"/>
      <c r="DF3" s="127"/>
      <c r="DG3" s="127"/>
      <c r="DH3" s="127"/>
      <c r="DI3" s="127"/>
    </row>
    <row r="4" spans="1:1024" ht="19.5" customHeight="1" thickBot="1">
      <c r="A4" s="121"/>
      <c r="B4" s="123"/>
      <c r="C4" s="280" t="s">
        <v>311</v>
      </c>
      <c r="D4" s="280"/>
      <c r="E4" s="281"/>
      <c r="F4" s="278" t="str">
        <f>IF(SETTINGS!$H$12="","",SETTINGS!$H$12)</f>
        <v/>
      </c>
      <c r="G4" s="278"/>
      <c r="H4" s="278"/>
      <c r="I4" s="278"/>
      <c r="J4" s="279"/>
      <c r="K4" s="61" t="s">
        <v>13</v>
      </c>
      <c r="L4" s="277" t="str">
        <f>IF(SETTINGS!$H$14="","",SETTINGS!$H$14)</f>
        <v/>
      </c>
      <c r="M4" s="277"/>
      <c r="N4" s="125"/>
      <c r="O4" s="282" t="s">
        <v>311</v>
      </c>
      <c r="P4" s="280"/>
      <c r="Q4" s="281"/>
      <c r="R4" s="278" t="str">
        <f>IF(SETTINGS!$H$12="","",SETTINGS!$H$12)</f>
        <v/>
      </c>
      <c r="S4" s="278"/>
      <c r="T4" s="278"/>
      <c r="U4" s="278"/>
      <c r="V4" s="279"/>
      <c r="W4" s="61" t="s">
        <v>13</v>
      </c>
      <c r="X4" s="277" t="str">
        <f>IF(SETTINGS!$H$14="","",SETTINGS!$H$14)</f>
        <v/>
      </c>
      <c r="Y4" s="277"/>
      <c r="Z4" s="125"/>
      <c r="AA4" s="282" t="s">
        <v>311</v>
      </c>
      <c r="AB4" s="280"/>
      <c r="AC4" s="281"/>
      <c r="AD4" s="278" t="str">
        <f>IF(SETTINGS!$H$12="","",SETTINGS!$H$12)</f>
        <v/>
      </c>
      <c r="AE4" s="278"/>
      <c r="AF4" s="278"/>
      <c r="AG4" s="278"/>
      <c r="AH4" s="279"/>
      <c r="AI4" s="63" t="s">
        <v>13</v>
      </c>
      <c r="AJ4" s="277" t="str">
        <f>IF(SETTINGS!$H$14="","",SETTINGS!$H$14)</f>
        <v/>
      </c>
      <c r="AK4" s="277"/>
      <c r="AL4" s="125"/>
      <c r="AM4" s="282" t="s">
        <v>311</v>
      </c>
      <c r="AN4" s="280"/>
      <c r="AO4" s="281"/>
      <c r="AP4" s="278" t="str">
        <f>IF(SETTINGS!$H$12="","",SETTINGS!$H$12)</f>
        <v/>
      </c>
      <c r="AQ4" s="278"/>
      <c r="AR4" s="278"/>
      <c r="AS4" s="278"/>
      <c r="AT4" s="279"/>
      <c r="AU4" s="63" t="s">
        <v>13</v>
      </c>
      <c r="AV4" s="277" t="str">
        <f>IF(SETTINGS!$H$14="","",SETTINGS!$H$14)</f>
        <v/>
      </c>
      <c r="AW4" s="277"/>
      <c r="AX4" s="125"/>
      <c r="AY4" s="282" t="s">
        <v>311</v>
      </c>
      <c r="AZ4" s="280"/>
      <c r="BA4" s="281"/>
      <c r="BB4" s="278" t="str">
        <f>IF(SETTINGS!$H$12="","",SETTINGS!$H$12)</f>
        <v/>
      </c>
      <c r="BC4" s="278"/>
      <c r="BD4" s="278"/>
      <c r="BE4" s="278"/>
      <c r="BF4" s="279"/>
      <c r="BG4" s="63" t="s">
        <v>13</v>
      </c>
      <c r="BH4" s="277" t="str">
        <f>IF(SETTINGS!$H$14="","",SETTINGS!$H$14)</f>
        <v/>
      </c>
      <c r="BI4" s="277"/>
      <c r="BJ4" s="125"/>
      <c r="BK4" s="282" t="s">
        <v>311</v>
      </c>
      <c r="BL4" s="280"/>
      <c r="BM4" s="281"/>
      <c r="BN4" s="278" t="str">
        <f>IF(SETTINGS!$H$12="","",SETTINGS!$H$12)</f>
        <v/>
      </c>
      <c r="BO4" s="278"/>
      <c r="BP4" s="278"/>
      <c r="BQ4" s="278"/>
      <c r="BR4" s="279"/>
      <c r="BS4" s="63" t="s">
        <v>13</v>
      </c>
      <c r="BT4" s="277" t="str">
        <f>IF(SETTINGS!$H$14="","",SETTINGS!$H$14)</f>
        <v/>
      </c>
      <c r="BU4" s="277"/>
      <c r="BV4" s="125"/>
      <c r="BW4" s="282" t="s">
        <v>311</v>
      </c>
      <c r="BX4" s="280"/>
      <c r="BY4" s="281"/>
      <c r="BZ4" s="278" t="str">
        <f>IF(SETTINGS!$H$12="","",SETTINGS!$H$12)</f>
        <v/>
      </c>
      <c r="CA4" s="278"/>
      <c r="CB4" s="278"/>
      <c r="CC4" s="278"/>
      <c r="CD4" s="279"/>
      <c r="CE4" s="63" t="s">
        <v>13</v>
      </c>
      <c r="CF4" s="277" t="str">
        <f>IF(SETTINGS!$H$14="","",SETTINGS!$H$14)</f>
        <v/>
      </c>
      <c r="CG4" s="277"/>
      <c r="CH4" s="125"/>
      <c r="CI4" s="282" t="s">
        <v>311</v>
      </c>
      <c r="CJ4" s="280"/>
      <c r="CK4" s="281"/>
      <c r="CL4" s="278" t="str">
        <f>IF(SETTINGS!$H$12="","",SETTINGS!$H$12)</f>
        <v/>
      </c>
      <c r="CM4" s="278"/>
      <c r="CN4" s="278"/>
      <c r="CO4" s="278"/>
      <c r="CP4" s="279"/>
      <c r="CQ4" s="63" t="s">
        <v>13</v>
      </c>
      <c r="CR4" s="277" t="str">
        <f>IF(SETTINGS!$H$14="","",SETTINGS!$H$14)</f>
        <v/>
      </c>
      <c r="CS4" s="277"/>
      <c r="CT4" s="125"/>
      <c r="CU4" s="282" t="s">
        <v>311</v>
      </c>
      <c r="CV4" s="280"/>
      <c r="CW4" s="281"/>
      <c r="CX4" s="278" t="str">
        <f>IF(SETTINGS!$H$12="","",SETTINGS!$H$12)</f>
        <v/>
      </c>
      <c r="CY4" s="278"/>
      <c r="CZ4" s="278"/>
      <c r="DA4" s="278"/>
      <c r="DB4" s="279"/>
      <c r="DC4" s="63" t="s">
        <v>13</v>
      </c>
      <c r="DD4" s="277" t="str">
        <f>IF(SETTINGS!$H$14="","",SETTINGS!$H$14)</f>
        <v/>
      </c>
      <c r="DE4" s="277"/>
      <c r="DF4" s="127"/>
      <c r="DG4" s="127"/>
      <c r="DH4" s="127"/>
      <c r="DI4" s="127"/>
    </row>
    <row r="5" spans="1:1024" ht="19.5" customHeight="1" thickBot="1">
      <c r="A5" s="121"/>
      <c r="B5" s="123"/>
      <c r="C5" s="280" t="s">
        <v>14</v>
      </c>
      <c r="D5" s="280"/>
      <c r="E5" s="281"/>
      <c r="F5" s="278" t="str">
        <f>IF(SETTINGS!$O$14="","",SETTINGS!$O$14)</f>
        <v>ENG. LANGUAGE</v>
      </c>
      <c r="G5" s="278"/>
      <c r="H5" s="278"/>
      <c r="I5" s="278"/>
      <c r="J5" s="279"/>
      <c r="K5" s="61"/>
      <c r="L5" s="277"/>
      <c r="M5" s="277"/>
      <c r="N5" s="125"/>
      <c r="O5" s="282" t="s">
        <v>14</v>
      </c>
      <c r="P5" s="280"/>
      <c r="Q5" s="281"/>
      <c r="R5" s="278" t="str">
        <f>IF(SETTINGS!$O$15="","",SETTINGS!$O$15)</f>
        <v>INT. SCIENCE</v>
      </c>
      <c r="S5" s="278"/>
      <c r="T5" s="278"/>
      <c r="U5" s="278"/>
      <c r="V5" s="279"/>
      <c r="W5" s="61"/>
      <c r="X5" s="277"/>
      <c r="Y5" s="277"/>
      <c r="Z5" s="125"/>
      <c r="AA5" s="282" t="s">
        <v>14</v>
      </c>
      <c r="AB5" s="280"/>
      <c r="AC5" s="281"/>
      <c r="AD5" s="278" t="str">
        <f>IF(SETTINGS!$O$16="","",SETTINGS!$O$16)</f>
        <v>C. MATHEMATICS</v>
      </c>
      <c r="AE5" s="278"/>
      <c r="AF5" s="278"/>
      <c r="AG5" s="278"/>
      <c r="AH5" s="279"/>
      <c r="AI5" s="63"/>
      <c r="AJ5" s="277"/>
      <c r="AK5" s="277"/>
      <c r="AL5" s="125"/>
      <c r="AM5" s="282" t="s">
        <v>14</v>
      </c>
      <c r="AN5" s="280"/>
      <c r="AO5" s="281"/>
      <c r="AP5" s="278" t="str">
        <f>IF(SETTINGS!$O$17="","",SETTINGS!$O$17)</f>
        <v>SOCIAL STUDIES</v>
      </c>
      <c r="AQ5" s="278"/>
      <c r="AR5" s="278"/>
      <c r="AS5" s="278"/>
      <c r="AT5" s="279"/>
      <c r="AU5" s="63"/>
      <c r="AV5" s="283"/>
      <c r="AW5" s="284"/>
      <c r="AX5" s="125"/>
      <c r="AY5" s="282" t="s">
        <v>14</v>
      </c>
      <c r="AZ5" s="280"/>
      <c r="BA5" s="281"/>
      <c r="BB5" s="278" t="str">
        <f>IF(SETTINGS!$O$18="","",SETTINGS!$O$18)</f>
        <v>PHYSICS</v>
      </c>
      <c r="BC5" s="278"/>
      <c r="BD5" s="278"/>
      <c r="BE5" s="278"/>
      <c r="BF5" s="279"/>
      <c r="BG5" s="63"/>
      <c r="BH5" s="283"/>
      <c r="BI5" s="284"/>
      <c r="BJ5" s="125"/>
      <c r="BK5" s="282" t="s">
        <v>14</v>
      </c>
      <c r="BL5" s="280"/>
      <c r="BM5" s="281"/>
      <c r="BN5" s="278" t="str">
        <f>IF(SETTINGS!$O$19="","",SETTINGS!$O$19)</f>
        <v>E. MATHEMATICS</v>
      </c>
      <c r="BO5" s="278"/>
      <c r="BP5" s="278"/>
      <c r="BQ5" s="278"/>
      <c r="BR5" s="279"/>
      <c r="BS5" s="63"/>
      <c r="BT5" s="283"/>
      <c r="BU5" s="284"/>
      <c r="BV5" s="125"/>
      <c r="BW5" s="282" t="s">
        <v>14</v>
      </c>
      <c r="BX5" s="280"/>
      <c r="BY5" s="281"/>
      <c r="BZ5" s="278" t="str">
        <f>IF(SETTINGS!$O$20="","",SETTINGS!$O$20)</f>
        <v>BIOLOGY</v>
      </c>
      <c r="CA5" s="278"/>
      <c r="CB5" s="278"/>
      <c r="CC5" s="278"/>
      <c r="CD5" s="279"/>
      <c r="CE5" s="63"/>
      <c r="CF5" s="283"/>
      <c r="CG5" s="284"/>
      <c r="CH5" s="125"/>
      <c r="CI5" s="282" t="s">
        <v>14</v>
      </c>
      <c r="CJ5" s="280"/>
      <c r="CK5" s="281"/>
      <c r="CL5" s="278" t="str">
        <f>IF(SETTINGS!$O$21="","",SETTINGS!$O$21)</f>
        <v>CHEMISTRY</v>
      </c>
      <c r="CM5" s="278"/>
      <c r="CN5" s="278"/>
      <c r="CO5" s="278"/>
      <c r="CP5" s="279"/>
      <c r="CQ5" s="63"/>
      <c r="CR5" s="283"/>
      <c r="CS5" s="284"/>
      <c r="CT5" s="125"/>
      <c r="CU5" s="282" t="s">
        <v>14</v>
      </c>
      <c r="CV5" s="280"/>
      <c r="CW5" s="281"/>
      <c r="CX5" s="278" t="str">
        <f>IF(SETTINGS!$O$22="","",SETTINGS!$O$22)</f>
        <v>I.C.T</v>
      </c>
      <c r="CY5" s="278"/>
      <c r="CZ5" s="278"/>
      <c r="DA5" s="278"/>
      <c r="DB5" s="279"/>
      <c r="DC5" s="63"/>
      <c r="DD5" s="283"/>
      <c r="DE5" s="284"/>
      <c r="DF5" s="127"/>
      <c r="DG5" s="127"/>
      <c r="DH5" s="127"/>
      <c r="DI5" s="127"/>
    </row>
    <row r="6" spans="1:1024" s="64" customFormat="1" ht="19.5" customHeight="1" thickBot="1">
      <c r="A6" s="124"/>
      <c r="B6" s="125"/>
      <c r="C6" s="282" t="s">
        <v>15</v>
      </c>
      <c r="D6" s="280"/>
      <c r="E6" s="281"/>
      <c r="F6" s="285">
        <f>COUNTA($B$12:$B$76)</f>
        <v>65</v>
      </c>
      <c r="G6" s="285"/>
      <c r="H6" s="285"/>
      <c r="I6" s="285"/>
      <c r="J6" s="284"/>
      <c r="K6" s="61"/>
      <c r="L6" s="277"/>
      <c r="M6" s="277"/>
      <c r="N6" s="125"/>
      <c r="O6" s="282" t="s">
        <v>15</v>
      </c>
      <c r="P6" s="280"/>
      <c r="Q6" s="281"/>
      <c r="R6" s="285">
        <f>COUNTA($B$12:$B$76)</f>
        <v>65</v>
      </c>
      <c r="S6" s="285"/>
      <c r="T6" s="285"/>
      <c r="U6" s="285"/>
      <c r="V6" s="284"/>
      <c r="W6" s="61"/>
      <c r="X6" s="277"/>
      <c r="Y6" s="277"/>
      <c r="Z6" s="125"/>
      <c r="AA6" s="282" t="s">
        <v>15</v>
      </c>
      <c r="AB6" s="280"/>
      <c r="AC6" s="281"/>
      <c r="AD6" s="285">
        <f>COUNTA($B$12:$B$76)</f>
        <v>65</v>
      </c>
      <c r="AE6" s="285"/>
      <c r="AF6" s="285"/>
      <c r="AG6" s="285"/>
      <c r="AH6" s="284"/>
      <c r="AI6" s="63"/>
      <c r="AJ6" s="277"/>
      <c r="AK6" s="277"/>
      <c r="AL6" s="125"/>
      <c r="AM6" s="282" t="s">
        <v>15</v>
      </c>
      <c r="AN6" s="280"/>
      <c r="AO6" s="281"/>
      <c r="AP6" s="285">
        <f>COUNTA($B$12:$B$76)</f>
        <v>65</v>
      </c>
      <c r="AQ6" s="285"/>
      <c r="AR6" s="285"/>
      <c r="AS6" s="285"/>
      <c r="AT6" s="284"/>
      <c r="AU6" s="63"/>
      <c r="AV6" s="283"/>
      <c r="AW6" s="284"/>
      <c r="AX6" s="128"/>
      <c r="AY6" s="282" t="s">
        <v>15</v>
      </c>
      <c r="AZ6" s="280"/>
      <c r="BA6" s="281"/>
      <c r="BB6" s="285">
        <f>COUNTA($B$12:$B$76)</f>
        <v>65</v>
      </c>
      <c r="BC6" s="285"/>
      <c r="BD6" s="285"/>
      <c r="BE6" s="285"/>
      <c r="BF6" s="284"/>
      <c r="BG6" s="63"/>
      <c r="BH6" s="283"/>
      <c r="BI6" s="284"/>
      <c r="BJ6" s="128"/>
      <c r="BK6" s="282" t="s">
        <v>15</v>
      </c>
      <c r="BL6" s="280"/>
      <c r="BM6" s="281"/>
      <c r="BN6" s="285">
        <f>COUNTA($B$12:$B$76)</f>
        <v>65</v>
      </c>
      <c r="BO6" s="285"/>
      <c r="BP6" s="285"/>
      <c r="BQ6" s="285"/>
      <c r="BR6" s="284"/>
      <c r="BS6" s="63"/>
      <c r="BT6" s="283"/>
      <c r="BU6" s="284"/>
      <c r="BV6" s="128"/>
      <c r="BW6" s="282" t="s">
        <v>15</v>
      </c>
      <c r="BX6" s="280"/>
      <c r="BY6" s="281"/>
      <c r="BZ6" s="285">
        <f>COUNTA($B$12:$B$76)</f>
        <v>65</v>
      </c>
      <c r="CA6" s="285"/>
      <c r="CB6" s="285"/>
      <c r="CC6" s="285"/>
      <c r="CD6" s="284"/>
      <c r="CE6" s="63"/>
      <c r="CF6" s="283"/>
      <c r="CG6" s="284"/>
      <c r="CH6" s="128"/>
      <c r="CI6" s="282" t="s">
        <v>15</v>
      </c>
      <c r="CJ6" s="280"/>
      <c r="CK6" s="281"/>
      <c r="CL6" s="285">
        <f>COUNTA($B$12:$B$76)</f>
        <v>65</v>
      </c>
      <c r="CM6" s="285"/>
      <c r="CN6" s="285"/>
      <c r="CO6" s="285"/>
      <c r="CP6" s="284"/>
      <c r="CQ6" s="63"/>
      <c r="CR6" s="283"/>
      <c r="CS6" s="284"/>
      <c r="CT6" s="128"/>
      <c r="CU6" s="282" t="s">
        <v>15</v>
      </c>
      <c r="CV6" s="280"/>
      <c r="CW6" s="281"/>
      <c r="CX6" s="285">
        <f>COUNTA($B$12:$B$76)</f>
        <v>65</v>
      </c>
      <c r="CY6" s="285"/>
      <c r="CZ6" s="285"/>
      <c r="DA6" s="285"/>
      <c r="DB6" s="284"/>
      <c r="DC6" s="63"/>
      <c r="DD6" s="283"/>
      <c r="DE6" s="284"/>
      <c r="DF6" s="128"/>
      <c r="DG6" s="128"/>
      <c r="DH6" s="128"/>
      <c r="DI6" s="128"/>
      <c r="AMI6" s="62"/>
      <c r="AMJ6" s="62"/>
    </row>
    <row r="7" spans="1:1024" ht="19.5" customHeight="1" thickBot="1">
      <c r="A7" s="124"/>
      <c r="B7" s="125"/>
      <c r="C7" s="125"/>
      <c r="D7" s="125"/>
      <c r="E7" s="125"/>
      <c r="F7" s="125"/>
      <c r="G7" s="125"/>
      <c r="H7" s="125"/>
      <c r="I7" s="126"/>
      <c r="J7" s="126"/>
      <c r="K7" s="125"/>
      <c r="L7" s="125"/>
      <c r="M7" s="137"/>
      <c r="N7" s="125"/>
      <c r="O7" s="125"/>
      <c r="P7" s="125"/>
      <c r="Q7" s="125"/>
      <c r="R7" s="125"/>
      <c r="S7" s="125"/>
      <c r="T7" s="125"/>
      <c r="U7" s="126"/>
      <c r="V7" s="126"/>
      <c r="W7" s="125"/>
      <c r="X7" s="125"/>
      <c r="Y7" s="123"/>
      <c r="Z7" s="123"/>
      <c r="AA7" s="123"/>
      <c r="AB7" s="123"/>
      <c r="AC7" s="123"/>
      <c r="AD7" s="123"/>
      <c r="AE7" s="123"/>
      <c r="AF7" s="123"/>
      <c r="AG7" s="126"/>
      <c r="AH7" s="126"/>
      <c r="AI7" s="123"/>
      <c r="AJ7" s="123"/>
      <c r="AK7" s="123"/>
      <c r="AL7" s="123"/>
      <c r="AM7" s="123"/>
      <c r="AN7" s="123"/>
      <c r="AO7" s="123"/>
      <c r="AP7" s="123"/>
      <c r="AQ7" s="123"/>
      <c r="AR7" s="123"/>
      <c r="AS7" s="126"/>
      <c r="AT7" s="126"/>
      <c r="AU7" s="123"/>
      <c r="AV7" s="123"/>
      <c r="AW7" s="123"/>
      <c r="AX7" s="123"/>
      <c r="AY7" s="123"/>
      <c r="AZ7" s="123"/>
      <c r="BA7" s="123"/>
      <c r="BB7" s="123"/>
      <c r="BC7" s="123"/>
      <c r="BD7" s="123"/>
      <c r="BE7" s="126"/>
      <c r="BF7" s="126"/>
      <c r="BG7" s="123"/>
      <c r="BH7" s="123"/>
      <c r="BI7" s="123"/>
      <c r="BJ7" s="123"/>
      <c r="BK7" s="123"/>
      <c r="BL7" s="123"/>
      <c r="BM7" s="123"/>
      <c r="BN7" s="123"/>
      <c r="BO7" s="123"/>
      <c r="BP7" s="123"/>
      <c r="BQ7" s="126"/>
      <c r="BR7" s="126"/>
      <c r="BS7" s="123"/>
      <c r="BT7" s="123"/>
      <c r="BU7" s="123"/>
      <c r="BV7" s="123"/>
      <c r="BW7" s="123"/>
      <c r="BX7" s="123"/>
      <c r="BY7" s="123"/>
      <c r="BZ7" s="123"/>
      <c r="CA7" s="123"/>
      <c r="CB7" s="123"/>
      <c r="CC7" s="126"/>
      <c r="CD7" s="126"/>
      <c r="CE7" s="123"/>
      <c r="CF7" s="123"/>
      <c r="CG7" s="123"/>
      <c r="CH7" s="123"/>
      <c r="CI7" s="123"/>
      <c r="CJ7" s="123"/>
      <c r="CK7" s="123"/>
      <c r="CL7" s="123"/>
      <c r="CM7" s="123"/>
      <c r="CN7" s="123"/>
      <c r="CO7" s="126"/>
      <c r="CP7" s="126"/>
      <c r="CQ7" s="123"/>
      <c r="CR7" s="123"/>
      <c r="CS7" s="123"/>
      <c r="CT7" s="123"/>
      <c r="CU7" s="123"/>
      <c r="CV7" s="123"/>
      <c r="CW7" s="123"/>
      <c r="CX7" s="123"/>
      <c r="CY7" s="123"/>
      <c r="CZ7" s="123"/>
      <c r="DA7" s="126"/>
      <c r="DB7" s="126"/>
      <c r="DC7" s="123"/>
      <c r="DD7" s="123"/>
      <c r="DE7" s="123"/>
      <c r="DF7" s="138"/>
      <c r="DG7" s="138"/>
      <c r="DH7" s="127"/>
      <c r="DI7" s="127"/>
    </row>
    <row r="8" spans="1:1024" ht="19.5" customHeight="1" thickBot="1">
      <c r="A8" s="286" t="s">
        <v>16</v>
      </c>
      <c r="B8" s="287" t="s">
        <v>17</v>
      </c>
      <c r="C8" s="288" t="str">
        <f>"INDIV. TEST" &amp; "  ("&amp;SETTINGS!$L$14*100 &amp;")"</f>
        <v>INDIV. TEST  (0)</v>
      </c>
      <c r="D8" s="288" t="str">
        <f>"GROUP
WORK" &amp; "  (" &amp; SETTINGS!$L$15*100 &amp;")"</f>
        <v>GROUP
WORK  (0)</v>
      </c>
      <c r="E8" s="288" t="str">
        <f xml:space="preserve"> "CLASS TEST" &amp;"  (" &amp; SETTINGS!$L$16*100 &amp;")"</f>
        <v>CLASS TEST  (0)</v>
      </c>
      <c r="F8" s="288" t="str">
        <f>"PROJECT" &amp;"  (" &amp; SETTINGS!$L$17*100 &amp;")"</f>
        <v>PROJECT  (0)</v>
      </c>
      <c r="G8" s="288" t="str">
        <f>"TOTAL "&amp;SUM(SETTINGS!$L$14:$L$17)*100</f>
        <v>TOTAL 0</v>
      </c>
      <c r="H8" s="288" t="str">
        <f xml:space="preserve"> "SCALED TO " &amp; SETTINGS!$L$18*100</f>
        <v>SCALED TO 0</v>
      </c>
      <c r="I8" s="289" t="str">
        <f>"END OF TERM EXAM " &amp; SETTINGS!$L$19*100</f>
        <v>END OF TERM EXAM 0</v>
      </c>
      <c r="J8" s="288" t="str">
        <f xml:space="preserve"> "EXAM SCALED TO " &amp; SETTINGS!$L$20*100</f>
        <v>EXAM SCALED TO 0</v>
      </c>
      <c r="K8" s="289" t="str">
        <f>"OVER ALL TOTAL " &amp; " ("&amp;SETTINGS!$L$18*100  &amp;"+"&amp; SETTINGS!$L$20*100  &amp; ")%"</f>
        <v>OVER ALL TOTAL  (0+0)%</v>
      </c>
      <c r="L8" s="288" t="s">
        <v>18</v>
      </c>
      <c r="M8" s="290" t="s">
        <v>7</v>
      </c>
      <c r="N8" s="125"/>
      <c r="O8" s="291" t="str">
        <f>"INDIV.
TEST" &amp; "  ("&amp;SETTINGS!$L$14*100 &amp;")"</f>
        <v>INDIV.
TEST  (0)</v>
      </c>
      <c r="P8" s="291" t="str">
        <f>"GROUP
WORK" &amp; "  (" &amp; SETTINGS!$L$15*100 &amp;")"</f>
        <v>GROUP
WORK  (0)</v>
      </c>
      <c r="Q8" s="291" t="str">
        <f xml:space="preserve"> "CLASS TEST" &amp;"  (" &amp; SETTINGS!$L$16*100 &amp;")"</f>
        <v>CLASS TEST  (0)</v>
      </c>
      <c r="R8" s="291" t="str">
        <f>"PROJECT" &amp;"  (" &amp; SETTINGS!$L$17*100 &amp;")"</f>
        <v>PROJECT  (0)</v>
      </c>
      <c r="S8" s="288" t="str">
        <f>"TOTAL "&amp;SUM(SETTINGS!$L$14:$L$17)*100</f>
        <v>TOTAL 0</v>
      </c>
      <c r="T8" s="291" t="str">
        <f xml:space="preserve"> "SCALED TO " &amp; SETTINGS!$L$18*100</f>
        <v>SCALED TO 0</v>
      </c>
      <c r="U8" s="295" t="str">
        <f>"END OF TERM EXAM " &amp; SETTINGS!$L$19*100</f>
        <v>END OF TERM EXAM 0</v>
      </c>
      <c r="V8" s="291" t="str">
        <f xml:space="preserve"> "EXAM SCALED TO " &amp; SETTINGS!$L$20*100</f>
        <v>EXAM SCALED TO 0</v>
      </c>
      <c r="W8" s="295" t="str">
        <f>"OVER ALL TOTAL " &amp; " ("&amp;SETTINGS!$L$18*100  &amp;"+"&amp; SETTINGS!$L$20*100  &amp; ")%"</f>
        <v>OVER ALL TOTAL  (0+0)%</v>
      </c>
      <c r="X8" s="291" t="s">
        <v>18</v>
      </c>
      <c r="Y8" s="298" t="s">
        <v>7</v>
      </c>
      <c r="Z8" s="125"/>
      <c r="AA8" s="288" t="str">
        <f>"INDIV. TEST" &amp; "  ("&amp;SETTINGS!$L$14*100 &amp;")"</f>
        <v>INDIV. TEST  (0)</v>
      </c>
      <c r="AB8" s="288" t="str">
        <f>"GROUP
WORK" &amp; "  (" &amp; SETTINGS!$L$15*100 &amp;")"</f>
        <v>GROUP
WORK  (0)</v>
      </c>
      <c r="AC8" s="288" t="str">
        <f xml:space="preserve"> "CLASS TEST" &amp;"  (" &amp; SETTINGS!$L$16*100 &amp;")"</f>
        <v>CLASS TEST  (0)</v>
      </c>
      <c r="AD8" s="288" t="str">
        <f>"PROJECT" &amp;"  (" &amp; SETTINGS!$L$17*100 &amp;")"</f>
        <v>PROJECT  (0)</v>
      </c>
      <c r="AE8" s="288" t="str">
        <f>"TOTAL "&amp;SUM(SETTINGS!$L$14:$L$17)*100</f>
        <v>TOTAL 0</v>
      </c>
      <c r="AF8" s="288" t="str">
        <f xml:space="preserve"> "SCALED TO " &amp; SETTINGS!$L$18*100 &amp; " MARKS"</f>
        <v>SCALED TO 0 MARKS</v>
      </c>
      <c r="AG8" s="289" t="str">
        <f>"END OF TERM EXAM " &amp; SETTINGS!$L$19*100</f>
        <v>END OF TERM EXAM 0</v>
      </c>
      <c r="AH8" s="288" t="str">
        <f xml:space="preserve"> "EXAM SCALED TO " &amp; SETTINGS!$L$20*100</f>
        <v>EXAM SCALED TO 0</v>
      </c>
      <c r="AI8" s="289" t="str">
        <f>"OVER ALL TOTAL " &amp; " ("&amp;SETTINGS!$L$18*100  &amp;"+"&amp; SETTINGS!$L$20*100  &amp; ")%"</f>
        <v>OVER ALL TOTAL  (0+0)%</v>
      </c>
      <c r="AJ8" s="288" t="s">
        <v>18</v>
      </c>
      <c r="AK8" s="290" t="s">
        <v>7</v>
      </c>
      <c r="AL8" s="125"/>
      <c r="AM8" s="288" t="str">
        <f>"INDIV. TEST" &amp; "  ("&amp;SETTINGS!$L$14*100 &amp;")"</f>
        <v>INDIV. TEST  (0)</v>
      </c>
      <c r="AN8" s="288" t="str">
        <f>"GROUP
WORK" &amp; "  (" &amp; SETTINGS!$L$15*100 &amp;")"</f>
        <v>GROUP
WORK  (0)</v>
      </c>
      <c r="AO8" s="288" t="str">
        <f xml:space="preserve"> "CLASS TEST" &amp;"  (" &amp; SETTINGS!$L$16*100 &amp;")"</f>
        <v>CLASS TEST  (0)</v>
      </c>
      <c r="AP8" s="288" t="str">
        <f>"PROJECT" &amp;"  (" &amp; SETTINGS!$L$17*100 &amp;")"</f>
        <v>PROJECT  (0)</v>
      </c>
      <c r="AQ8" s="288" t="str">
        <f>"TOTAL "&amp;SUM(SETTINGS!$L$14:$L$17)*100</f>
        <v>TOTAL 0</v>
      </c>
      <c r="AR8" s="288" t="str">
        <f xml:space="preserve"> "SCALED TO " &amp; SETTINGS!$L$18*100 &amp; " MARKS"</f>
        <v>SCALED TO 0 MARKS</v>
      </c>
      <c r="AS8" s="289" t="str">
        <f>"END OF TERM EXAM " &amp; SETTINGS!$L$19*100</f>
        <v>END OF TERM EXAM 0</v>
      </c>
      <c r="AT8" s="288" t="str">
        <f xml:space="preserve"> "EXAM SCALED TO " &amp; SETTINGS!$L$20*100</f>
        <v>EXAM SCALED TO 0</v>
      </c>
      <c r="AU8" s="289" t="str">
        <f>"OVER ALL TOTAL " &amp; " ("&amp;SETTINGS!$L$18*100  &amp;"+"&amp; SETTINGS!$L$20*100  &amp; ")%"</f>
        <v>OVER ALL TOTAL  (0+0)%</v>
      </c>
      <c r="AV8" s="288" t="s">
        <v>18</v>
      </c>
      <c r="AW8" s="290" t="s">
        <v>7</v>
      </c>
      <c r="AX8" s="125"/>
      <c r="AY8" s="288" t="str">
        <f>"INDIV. TEST" &amp; "  ("&amp;SETTINGS!$L$14*100 &amp;")"</f>
        <v>INDIV. TEST  (0)</v>
      </c>
      <c r="AZ8" s="288" t="str">
        <f>"GROUP
WORK" &amp; "  (" &amp; SETTINGS!$L$15*100 &amp;")"</f>
        <v>GROUP
WORK  (0)</v>
      </c>
      <c r="BA8" s="288" t="str">
        <f xml:space="preserve"> "CLASS TEST" &amp;"  (" &amp; SETTINGS!$L$16*100 &amp;")"</f>
        <v>CLASS TEST  (0)</v>
      </c>
      <c r="BB8" s="288" t="str">
        <f>"PROJECT" &amp;"  (" &amp; SETTINGS!$L$17*100 &amp;")"</f>
        <v>PROJECT  (0)</v>
      </c>
      <c r="BC8" s="288" t="str">
        <f>"TOTAL "&amp;SUM(SETTINGS!$L$14:$L$17)*100</f>
        <v>TOTAL 0</v>
      </c>
      <c r="BD8" s="288" t="str">
        <f xml:space="preserve"> "SCALED TO " &amp; SETTINGS!$L$18*100 &amp; " MARKS"</f>
        <v>SCALED TO 0 MARKS</v>
      </c>
      <c r="BE8" s="289" t="str">
        <f>"END OF TERM EXAM " &amp; SETTINGS!$L$19*100</f>
        <v>END OF TERM EXAM 0</v>
      </c>
      <c r="BF8" s="288" t="str">
        <f xml:space="preserve"> "EXAM SCALED TO " &amp; SETTINGS!$L$20*100</f>
        <v>EXAM SCALED TO 0</v>
      </c>
      <c r="BG8" s="289" t="str">
        <f>"OVER ALL TOTAL " &amp; " ("&amp;SETTINGS!$L$18*100  &amp;"+"&amp; SETTINGS!$L$20*100  &amp; ")%"</f>
        <v>OVER ALL TOTAL  (0+0)%</v>
      </c>
      <c r="BH8" s="288" t="s">
        <v>18</v>
      </c>
      <c r="BI8" s="290" t="s">
        <v>7</v>
      </c>
      <c r="BJ8" s="125"/>
      <c r="BK8" s="288" t="str">
        <f>"INDIV. TEST" &amp; "  ("&amp;SETTINGS!$L$14*100 &amp;")"</f>
        <v>INDIV. TEST  (0)</v>
      </c>
      <c r="BL8" s="288" t="str">
        <f>"GROUP
WORK" &amp; "  (" &amp; SETTINGS!$L$15*100 &amp;")"</f>
        <v>GROUP
WORK  (0)</v>
      </c>
      <c r="BM8" s="288" t="str">
        <f xml:space="preserve"> "CLASS TEST" &amp;"  (" &amp; SETTINGS!$L$16*100 &amp;")"</f>
        <v>CLASS TEST  (0)</v>
      </c>
      <c r="BN8" s="288" t="str">
        <f>"PROJECT" &amp;"  (" &amp; SETTINGS!$L$17*100 &amp;")"</f>
        <v>PROJECT  (0)</v>
      </c>
      <c r="BO8" s="288" t="str">
        <f>"TOTAL "&amp;SUM(SETTINGS!$L$14:$L$17)*100</f>
        <v>TOTAL 0</v>
      </c>
      <c r="BP8" s="288" t="str">
        <f xml:space="preserve"> "SCALED TO " &amp; SETTINGS!$L$18*100 &amp; " MARKS"</f>
        <v>SCALED TO 0 MARKS</v>
      </c>
      <c r="BQ8" s="289" t="str">
        <f>"END OF TERM EXAM " &amp; SETTINGS!$L$19*100</f>
        <v>END OF TERM EXAM 0</v>
      </c>
      <c r="BR8" s="288" t="str">
        <f xml:space="preserve"> "EXAM SCALED TO " &amp; SETTINGS!$L$20*100</f>
        <v>EXAM SCALED TO 0</v>
      </c>
      <c r="BS8" s="289" t="str">
        <f>"OVER ALL TOTAL " &amp; " ("&amp;SETTINGS!$L$18*100  &amp;"+"&amp; SETTINGS!$L$20*100  &amp; ")%"</f>
        <v>OVER ALL TOTAL  (0+0)%</v>
      </c>
      <c r="BT8" s="288" t="s">
        <v>18</v>
      </c>
      <c r="BU8" s="290" t="s">
        <v>7</v>
      </c>
      <c r="BV8" s="125"/>
      <c r="BW8" s="288" t="str">
        <f>"INDIV. TEST" &amp; "  ("&amp;SETTINGS!$L$14*100 &amp;")"</f>
        <v>INDIV. TEST  (0)</v>
      </c>
      <c r="BX8" s="288" t="str">
        <f>"GROUP
WORK" &amp; "  (" &amp; SETTINGS!$L$15*100 &amp;")"</f>
        <v>GROUP
WORK  (0)</v>
      </c>
      <c r="BY8" s="288" t="str">
        <f xml:space="preserve"> "CLASS TEST" &amp;"  (" &amp; SETTINGS!$L$16*100 &amp;")"</f>
        <v>CLASS TEST  (0)</v>
      </c>
      <c r="BZ8" s="288" t="str">
        <f>"PROJECT" &amp;"  (" &amp; SETTINGS!$L$17*100 &amp;")"</f>
        <v>PROJECT  (0)</v>
      </c>
      <c r="CA8" s="288" t="str">
        <f>"TOTAL "&amp;SUM(SETTINGS!$L$14:$L$17)*100</f>
        <v>TOTAL 0</v>
      </c>
      <c r="CB8" s="288" t="str">
        <f xml:space="preserve"> "SCALED TO " &amp; SETTINGS!$L$18*100 &amp; " MARKS"</f>
        <v>SCALED TO 0 MARKS</v>
      </c>
      <c r="CC8" s="289" t="str">
        <f>"END OF TERM EXAM " &amp; SETTINGS!$L$19*100</f>
        <v>END OF TERM EXAM 0</v>
      </c>
      <c r="CD8" s="288" t="str">
        <f xml:space="preserve"> "EXAM SCALED TO " &amp; SETTINGS!$L$20*100</f>
        <v>EXAM SCALED TO 0</v>
      </c>
      <c r="CE8" s="289" t="str">
        <f>"OVER ALL TOTAL " &amp; " ("&amp;SETTINGS!$L$18*100  &amp;"+"&amp; SETTINGS!$L$20*100  &amp; ")%"</f>
        <v>OVER ALL TOTAL  (0+0)%</v>
      </c>
      <c r="CF8" s="288" t="s">
        <v>18</v>
      </c>
      <c r="CG8" s="290" t="s">
        <v>7</v>
      </c>
      <c r="CH8" s="125"/>
      <c r="CI8" s="288" t="str">
        <f>"INDIV. TEST" &amp; "  ("&amp;SETTINGS!$L$14*100 &amp;")"</f>
        <v>INDIV. TEST  (0)</v>
      </c>
      <c r="CJ8" s="288" t="str">
        <f>"GROUP
WORK" &amp; "  (" &amp; SETTINGS!$L$15*100 &amp;")"</f>
        <v>GROUP
WORK  (0)</v>
      </c>
      <c r="CK8" s="288" t="str">
        <f xml:space="preserve"> "CLASS TEST" &amp;"  (" &amp; SETTINGS!$L$16*100 &amp;")"</f>
        <v>CLASS TEST  (0)</v>
      </c>
      <c r="CL8" s="288" t="str">
        <f>"PROJECT" &amp;"  (" &amp; SETTINGS!$L$17*100 &amp;")"</f>
        <v>PROJECT  (0)</v>
      </c>
      <c r="CM8" s="288" t="str">
        <f>"TOTAL "&amp;SUM(SETTINGS!$L$14:$L$17)*100</f>
        <v>TOTAL 0</v>
      </c>
      <c r="CN8" s="288" t="str">
        <f xml:space="preserve"> "SCALED TO " &amp; SETTINGS!$L$18*100 &amp; " MARKS"</f>
        <v>SCALED TO 0 MARKS</v>
      </c>
      <c r="CO8" s="289" t="str">
        <f>"END OF TERM EXAM " &amp; SETTINGS!$L$19*100</f>
        <v>END OF TERM EXAM 0</v>
      </c>
      <c r="CP8" s="288" t="str">
        <f xml:space="preserve"> "EXAM SCALED TO " &amp; SETTINGS!$L$20*100</f>
        <v>EXAM SCALED TO 0</v>
      </c>
      <c r="CQ8" s="289" t="str">
        <f>"OVER ALL TOTAL " &amp; " ("&amp;SETTINGS!$L$18*100  &amp;"+"&amp; SETTINGS!$L$20*100  &amp; ")%"</f>
        <v>OVER ALL TOTAL  (0+0)%</v>
      </c>
      <c r="CR8" s="288" t="s">
        <v>18</v>
      </c>
      <c r="CS8" s="290" t="s">
        <v>7</v>
      </c>
      <c r="CT8" s="125"/>
      <c r="CU8" s="288" t="str">
        <f>"INDIV. TEST" &amp; "  ("&amp;SETTINGS!$L$14*100 &amp;")"</f>
        <v>INDIV. TEST  (0)</v>
      </c>
      <c r="CV8" s="288" t="str">
        <f>"GROUP
WORK" &amp; "  (" &amp; SETTINGS!$L$15*100 &amp;")"</f>
        <v>GROUP
WORK  (0)</v>
      </c>
      <c r="CW8" s="288" t="str">
        <f xml:space="preserve"> "CLASS TEST" &amp;"  (" &amp; SETTINGS!$L$16*100 &amp;")"</f>
        <v>CLASS TEST  (0)</v>
      </c>
      <c r="CX8" s="288" t="str">
        <f>"PROJECT" &amp;"  (" &amp; SETTINGS!$L$17*100 &amp;")"</f>
        <v>PROJECT  (0)</v>
      </c>
      <c r="CY8" s="288" t="str">
        <f>"TOTAL "&amp;SUM(SETTINGS!$L$14:$L$17)*100</f>
        <v>TOTAL 0</v>
      </c>
      <c r="CZ8" s="288" t="str">
        <f xml:space="preserve"> "SCALED TO " &amp; SETTINGS!$L$18*100 &amp; " MARKS"</f>
        <v>SCALED TO 0 MARKS</v>
      </c>
      <c r="DA8" s="289" t="str">
        <f>"END OF TERM EXAM " &amp; SETTINGS!$L$19*100</f>
        <v>END OF TERM EXAM 0</v>
      </c>
      <c r="DB8" s="288" t="str">
        <f xml:space="preserve"> "EXAM SCALED TO " &amp; SETTINGS!$L$20*100</f>
        <v>EXAM SCALED TO 0</v>
      </c>
      <c r="DC8" s="289" t="str">
        <f>"OVER ALL TOTAL " &amp; " ("&amp;SETTINGS!$L$18*100  &amp;"+"&amp; SETTINGS!$L$20*100  &amp; ")%"</f>
        <v>OVER ALL TOTAL  (0+0)%</v>
      </c>
      <c r="DD8" s="288" t="s">
        <v>18</v>
      </c>
      <c r="DE8" s="290" t="s">
        <v>7</v>
      </c>
      <c r="DF8" s="127"/>
      <c r="DG8" s="127"/>
      <c r="DH8" s="127"/>
      <c r="DI8" s="127"/>
    </row>
    <row r="9" spans="1:1024" ht="19.5" customHeight="1" thickBot="1">
      <c r="A9" s="286"/>
      <c r="B9" s="287"/>
      <c r="C9" s="288"/>
      <c r="D9" s="288"/>
      <c r="E9" s="288"/>
      <c r="F9" s="288"/>
      <c r="G9" s="288"/>
      <c r="H9" s="288"/>
      <c r="I9" s="289" t="s">
        <v>19</v>
      </c>
      <c r="J9" s="288" t="s">
        <v>19</v>
      </c>
      <c r="K9" s="288" t="s">
        <v>20</v>
      </c>
      <c r="L9" s="288"/>
      <c r="M9" s="290"/>
      <c r="N9" s="125"/>
      <c r="O9" s="292"/>
      <c r="P9" s="292"/>
      <c r="Q9" s="292"/>
      <c r="R9" s="292"/>
      <c r="S9" s="288"/>
      <c r="T9" s="292"/>
      <c r="U9" s="296"/>
      <c r="V9" s="292"/>
      <c r="W9" s="296"/>
      <c r="X9" s="292"/>
      <c r="Y9" s="299"/>
      <c r="Z9" s="125"/>
      <c r="AA9" s="288"/>
      <c r="AB9" s="288"/>
      <c r="AC9" s="288"/>
      <c r="AD9" s="288"/>
      <c r="AE9" s="288"/>
      <c r="AF9" s="288"/>
      <c r="AG9" s="289" t="s">
        <v>19</v>
      </c>
      <c r="AH9" s="288" t="s">
        <v>19</v>
      </c>
      <c r="AI9" s="288" t="s">
        <v>20</v>
      </c>
      <c r="AJ9" s="288"/>
      <c r="AK9" s="290"/>
      <c r="AL9" s="125"/>
      <c r="AM9" s="288"/>
      <c r="AN9" s="288"/>
      <c r="AO9" s="288"/>
      <c r="AP9" s="288"/>
      <c r="AQ9" s="288"/>
      <c r="AR9" s="288"/>
      <c r="AS9" s="289" t="s">
        <v>19</v>
      </c>
      <c r="AT9" s="288" t="s">
        <v>19</v>
      </c>
      <c r="AU9" s="288" t="s">
        <v>20</v>
      </c>
      <c r="AV9" s="288"/>
      <c r="AW9" s="290"/>
      <c r="AX9" s="125"/>
      <c r="AY9" s="288"/>
      <c r="AZ9" s="288"/>
      <c r="BA9" s="288"/>
      <c r="BB9" s="288"/>
      <c r="BC9" s="288"/>
      <c r="BD9" s="288"/>
      <c r="BE9" s="289" t="s">
        <v>19</v>
      </c>
      <c r="BF9" s="288" t="s">
        <v>19</v>
      </c>
      <c r="BG9" s="288" t="s">
        <v>20</v>
      </c>
      <c r="BH9" s="288"/>
      <c r="BI9" s="290"/>
      <c r="BJ9" s="125"/>
      <c r="BK9" s="288"/>
      <c r="BL9" s="288"/>
      <c r="BM9" s="288"/>
      <c r="BN9" s="288"/>
      <c r="BO9" s="288"/>
      <c r="BP9" s="288"/>
      <c r="BQ9" s="289" t="s">
        <v>19</v>
      </c>
      <c r="BR9" s="288" t="s">
        <v>19</v>
      </c>
      <c r="BS9" s="288" t="s">
        <v>20</v>
      </c>
      <c r="BT9" s="288"/>
      <c r="BU9" s="290"/>
      <c r="BV9" s="125"/>
      <c r="BW9" s="288"/>
      <c r="BX9" s="288"/>
      <c r="BY9" s="288"/>
      <c r="BZ9" s="288"/>
      <c r="CA9" s="288"/>
      <c r="CB9" s="288"/>
      <c r="CC9" s="289" t="s">
        <v>19</v>
      </c>
      <c r="CD9" s="288" t="s">
        <v>19</v>
      </c>
      <c r="CE9" s="288" t="s">
        <v>20</v>
      </c>
      <c r="CF9" s="288"/>
      <c r="CG9" s="290"/>
      <c r="CH9" s="125"/>
      <c r="CI9" s="288"/>
      <c r="CJ9" s="288"/>
      <c r="CK9" s="288"/>
      <c r="CL9" s="288"/>
      <c r="CM9" s="288"/>
      <c r="CN9" s="288"/>
      <c r="CO9" s="289" t="s">
        <v>19</v>
      </c>
      <c r="CP9" s="288" t="s">
        <v>19</v>
      </c>
      <c r="CQ9" s="288" t="s">
        <v>20</v>
      </c>
      <c r="CR9" s="288"/>
      <c r="CS9" s="290"/>
      <c r="CT9" s="125"/>
      <c r="CU9" s="288"/>
      <c r="CV9" s="288"/>
      <c r="CW9" s="288"/>
      <c r="CX9" s="288"/>
      <c r="CY9" s="288"/>
      <c r="CZ9" s="288"/>
      <c r="DA9" s="289" t="s">
        <v>19</v>
      </c>
      <c r="DB9" s="288" t="s">
        <v>19</v>
      </c>
      <c r="DC9" s="288" t="s">
        <v>20</v>
      </c>
      <c r="DD9" s="288"/>
      <c r="DE9" s="290"/>
      <c r="DF9" s="127"/>
      <c r="DG9" s="127"/>
      <c r="DH9" s="127"/>
      <c r="DI9" s="127"/>
    </row>
    <row r="10" spans="1:1024" ht="19.5" customHeight="1" thickTop="1" thickBot="1">
      <c r="A10" s="286"/>
      <c r="B10" s="287"/>
      <c r="C10" s="288">
        <v>12</v>
      </c>
      <c r="D10" s="288"/>
      <c r="E10" s="288"/>
      <c r="F10" s="288"/>
      <c r="G10" s="288"/>
      <c r="H10" s="288"/>
      <c r="I10" s="289"/>
      <c r="J10" s="288"/>
      <c r="K10" s="288"/>
      <c r="L10" s="288"/>
      <c r="M10" s="290"/>
      <c r="N10" s="125"/>
      <c r="O10" s="292"/>
      <c r="P10" s="292"/>
      <c r="Q10" s="292"/>
      <c r="R10" s="292"/>
      <c r="S10" s="288"/>
      <c r="T10" s="292"/>
      <c r="U10" s="296"/>
      <c r="V10" s="292"/>
      <c r="W10" s="296"/>
      <c r="X10" s="292"/>
      <c r="Y10" s="299"/>
      <c r="Z10" s="125"/>
      <c r="AA10" s="288">
        <v>12</v>
      </c>
      <c r="AB10" s="288"/>
      <c r="AC10" s="288"/>
      <c r="AD10" s="288"/>
      <c r="AE10" s="288"/>
      <c r="AF10" s="288"/>
      <c r="AG10" s="289"/>
      <c r="AH10" s="288"/>
      <c r="AI10" s="288"/>
      <c r="AJ10" s="288"/>
      <c r="AK10" s="290"/>
      <c r="AL10" s="125"/>
      <c r="AM10" s="288">
        <v>12</v>
      </c>
      <c r="AN10" s="288"/>
      <c r="AO10" s="288"/>
      <c r="AP10" s="288"/>
      <c r="AQ10" s="288"/>
      <c r="AR10" s="288"/>
      <c r="AS10" s="289"/>
      <c r="AT10" s="288"/>
      <c r="AU10" s="288"/>
      <c r="AV10" s="288"/>
      <c r="AW10" s="290"/>
      <c r="AX10" s="125"/>
      <c r="AY10" s="288">
        <v>12</v>
      </c>
      <c r="AZ10" s="288"/>
      <c r="BA10" s="288"/>
      <c r="BB10" s="288"/>
      <c r="BC10" s="288"/>
      <c r="BD10" s="288"/>
      <c r="BE10" s="289"/>
      <c r="BF10" s="288"/>
      <c r="BG10" s="288"/>
      <c r="BH10" s="288"/>
      <c r="BI10" s="290"/>
      <c r="BJ10" s="125"/>
      <c r="BK10" s="288">
        <v>12</v>
      </c>
      <c r="BL10" s="288"/>
      <c r="BM10" s="288"/>
      <c r="BN10" s="288"/>
      <c r="BO10" s="288"/>
      <c r="BP10" s="288"/>
      <c r="BQ10" s="289"/>
      <c r="BR10" s="288"/>
      <c r="BS10" s="288"/>
      <c r="BT10" s="288"/>
      <c r="BU10" s="290"/>
      <c r="BV10" s="125"/>
      <c r="BW10" s="288">
        <v>12</v>
      </c>
      <c r="BX10" s="288"/>
      <c r="BY10" s="288"/>
      <c r="BZ10" s="288"/>
      <c r="CA10" s="288"/>
      <c r="CB10" s="288"/>
      <c r="CC10" s="289"/>
      <c r="CD10" s="288"/>
      <c r="CE10" s="288"/>
      <c r="CF10" s="288"/>
      <c r="CG10" s="290"/>
      <c r="CH10" s="125"/>
      <c r="CI10" s="288">
        <v>12</v>
      </c>
      <c r="CJ10" s="288"/>
      <c r="CK10" s="288"/>
      <c r="CL10" s="288"/>
      <c r="CM10" s="288"/>
      <c r="CN10" s="288"/>
      <c r="CO10" s="289"/>
      <c r="CP10" s="288"/>
      <c r="CQ10" s="288"/>
      <c r="CR10" s="288"/>
      <c r="CS10" s="290"/>
      <c r="CT10" s="125"/>
      <c r="CU10" s="288">
        <v>12</v>
      </c>
      <c r="CV10" s="288"/>
      <c r="CW10" s="288"/>
      <c r="CX10" s="288"/>
      <c r="CY10" s="288"/>
      <c r="CZ10" s="288"/>
      <c r="DA10" s="289"/>
      <c r="DB10" s="288"/>
      <c r="DC10" s="288"/>
      <c r="DD10" s="288"/>
      <c r="DE10" s="290"/>
      <c r="DF10" s="305" t="s">
        <v>50</v>
      </c>
      <c r="DG10" s="307" t="s">
        <v>52</v>
      </c>
      <c r="DH10" s="305" t="s">
        <v>53</v>
      </c>
      <c r="DI10" s="305" t="s">
        <v>18</v>
      </c>
    </row>
    <row r="11" spans="1:1024" ht="19.5" customHeight="1" thickBot="1">
      <c r="A11" s="286"/>
      <c r="B11" s="287"/>
      <c r="C11" s="288"/>
      <c r="D11" s="288"/>
      <c r="E11" s="288"/>
      <c r="F11" s="288"/>
      <c r="G11" s="288"/>
      <c r="H11" s="288"/>
      <c r="I11" s="289"/>
      <c r="J11" s="288"/>
      <c r="K11" s="288"/>
      <c r="L11" s="288"/>
      <c r="M11" s="290"/>
      <c r="N11" s="125"/>
      <c r="O11" s="293"/>
      <c r="P11" s="293"/>
      <c r="Q11" s="293"/>
      <c r="R11" s="293"/>
      <c r="S11" s="288"/>
      <c r="T11" s="294"/>
      <c r="U11" s="297"/>
      <c r="V11" s="294"/>
      <c r="W11" s="297"/>
      <c r="X11" s="294"/>
      <c r="Y11" s="300"/>
      <c r="Z11" s="125"/>
      <c r="AA11" s="288"/>
      <c r="AB11" s="288"/>
      <c r="AC11" s="288"/>
      <c r="AD11" s="288"/>
      <c r="AE11" s="288"/>
      <c r="AF11" s="288"/>
      <c r="AG11" s="289"/>
      <c r="AH11" s="288"/>
      <c r="AI11" s="288"/>
      <c r="AJ11" s="288"/>
      <c r="AK11" s="290"/>
      <c r="AL11" s="125"/>
      <c r="AM11" s="288"/>
      <c r="AN11" s="288"/>
      <c r="AO11" s="288"/>
      <c r="AP11" s="288"/>
      <c r="AQ11" s="288"/>
      <c r="AR11" s="288"/>
      <c r="AS11" s="289"/>
      <c r="AT11" s="288"/>
      <c r="AU11" s="288"/>
      <c r="AV11" s="288"/>
      <c r="AW11" s="290"/>
      <c r="AX11" s="125"/>
      <c r="AY11" s="288"/>
      <c r="AZ11" s="288"/>
      <c r="BA11" s="288"/>
      <c r="BB11" s="288"/>
      <c r="BC11" s="288"/>
      <c r="BD11" s="288"/>
      <c r="BE11" s="289"/>
      <c r="BF11" s="288"/>
      <c r="BG11" s="288"/>
      <c r="BH11" s="288"/>
      <c r="BI11" s="290"/>
      <c r="BJ11" s="125"/>
      <c r="BK11" s="288"/>
      <c r="BL11" s="288"/>
      <c r="BM11" s="288"/>
      <c r="BN11" s="288"/>
      <c r="BO11" s="288"/>
      <c r="BP11" s="288"/>
      <c r="BQ11" s="289"/>
      <c r="BR11" s="288"/>
      <c r="BS11" s="288"/>
      <c r="BT11" s="288"/>
      <c r="BU11" s="290"/>
      <c r="BV11" s="125"/>
      <c r="BW11" s="288"/>
      <c r="BX11" s="288"/>
      <c r="BY11" s="288"/>
      <c r="BZ11" s="288"/>
      <c r="CA11" s="288"/>
      <c r="CB11" s="288"/>
      <c r="CC11" s="289"/>
      <c r="CD11" s="288"/>
      <c r="CE11" s="288"/>
      <c r="CF11" s="288"/>
      <c r="CG11" s="290"/>
      <c r="CH11" s="125"/>
      <c r="CI11" s="288"/>
      <c r="CJ11" s="288"/>
      <c r="CK11" s="288"/>
      <c r="CL11" s="288"/>
      <c r="CM11" s="288"/>
      <c r="CN11" s="288"/>
      <c r="CO11" s="289"/>
      <c r="CP11" s="288"/>
      <c r="CQ11" s="288"/>
      <c r="CR11" s="288"/>
      <c r="CS11" s="290"/>
      <c r="CT11" s="125"/>
      <c r="CU11" s="288"/>
      <c r="CV11" s="288"/>
      <c r="CW11" s="288"/>
      <c r="CX11" s="288"/>
      <c r="CY11" s="288"/>
      <c r="CZ11" s="288"/>
      <c r="DA11" s="289"/>
      <c r="DB11" s="288"/>
      <c r="DC11" s="288"/>
      <c r="DD11" s="288"/>
      <c r="DE11" s="290"/>
      <c r="DF11" s="306"/>
      <c r="DG11" s="308"/>
      <c r="DH11" s="306"/>
      <c r="DI11" s="306"/>
    </row>
    <row r="12" spans="1:1024" ht="19.5" customHeight="1" thickTop="1">
      <c r="A12" s="140" t="str">
        <f>IFERROR(IF(ISBLANK(#REF!),"",#REF!),"")</f>
        <v/>
      </c>
      <c r="B12" s="140" t="str">
        <f>IFERROR(IF(ISBLANK(#REF!),"",#REF!),"")</f>
        <v/>
      </c>
      <c r="C12" s="139">
        <v>15</v>
      </c>
      <c r="D12" s="139">
        <v>14</v>
      </c>
      <c r="E12" s="139">
        <v>13</v>
      </c>
      <c r="F12" s="139">
        <v>14</v>
      </c>
      <c r="G12" s="97">
        <f>IFERROR(IF(AND(C12:F12)="","",SUM(C12:F12)),"")</f>
        <v>56</v>
      </c>
      <c r="H12" s="106" t="str">
        <f>IFERROR(IF(G12=0,"",ROUND((G12/SUM(SETTINGS!$L$14:$L$17))*SETTINGS!$L$18,0)),"")</f>
        <v/>
      </c>
      <c r="I12" s="105">
        <v>67</v>
      </c>
      <c r="J12" s="106" t="str">
        <f>IFERROR(IF(ISBLANK(I12),"",ROUND((I12/SETTINGS!$L$19)*SETTINGS!$L$20,0)),"")</f>
        <v/>
      </c>
      <c r="K12" s="106" t="str">
        <f>IFERROR(IF(AND(H12,J12)="","",SUM(H12,J12)),"")</f>
        <v/>
      </c>
      <c r="L12" s="103" t="str">
        <f t="shared" ref="L12:L43" si="0">IFERROR(IF(K12="","",RANK(K12,K$12:K$76)),"")</f>
        <v/>
      </c>
      <c r="M12" s="107" t="str">
        <f>IFERROR(IF(K12="","",IF(K12&gt;=75,VALUE(1),IF(K12&gt;=70,VALUE(2),IF(K12&gt;=65,VALUE(3),IF(K12&gt;=60,VALUE(4),IF(K12&gt;=55,VALUE(5),IF(K12&gt;=50,VALUE(6),IF(K12&gt;=45,VALUE(7),IF(K12&gt;=40,VALUE(8),VALUE(9)))))))))),"")</f>
        <v/>
      </c>
      <c r="N12" s="136"/>
      <c r="O12" s="139">
        <v>2</v>
      </c>
      <c r="P12" s="139">
        <v>14</v>
      </c>
      <c r="Q12" s="139">
        <v>5</v>
      </c>
      <c r="R12" s="139">
        <v>12</v>
      </c>
      <c r="S12" s="102">
        <f t="shared" ref="S12:S43" si="1">IFERROR(IF(AND(O12:R12)="","",SUM(O12:R12)),"")</f>
        <v>33</v>
      </c>
      <c r="T12" s="106" t="str">
        <f>IFERROR(IF(S12=0,"",ROUND((S12/SUM(SETTINGS!$L$14:$L$17))*SETTINGS!$L$18,0)),"")</f>
        <v/>
      </c>
      <c r="U12" s="99">
        <v>33</v>
      </c>
      <c r="V12" s="106" t="str">
        <f>IFERROR(IF(ISBLANK(U12),"",ROUND((U12/SETTINGS!$L$19)*SETTINGS!$L$20,0)),"")</f>
        <v/>
      </c>
      <c r="W12" s="98" t="str">
        <f t="shared" ref="W12:W43" si="2">IFERROR(IF(AND(T12,V12)="","",SUM(T12,V12)),"")</f>
        <v/>
      </c>
      <c r="X12" s="100" t="str">
        <f t="shared" ref="X12:X43" si="3">IFERROR(IF(W12="","",RANK(W12,W$12:W$76)),"")</f>
        <v/>
      </c>
      <c r="Y12" s="101" t="str">
        <f t="shared" ref="Y12:Y43" si="4">IFERROR(IF(W12="","",IF(W12&gt;=75,VALUE(1),IF(W12&gt;=70,VALUE(2),IF(W12&gt;=65,VALUE(3),IF(W12&gt;=60,VALUE(4),IF(W12&gt;=55,VALUE(5),IF(W12&gt;=50,VALUE(6),IF(W12&gt;=45,VALUE(7),IF(W12&gt;=40,VALUE(8),VALUE(9)))))))))),"")</f>
        <v/>
      </c>
      <c r="Z12" s="130"/>
      <c r="AA12" s="139">
        <v>14</v>
      </c>
      <c r="AB12" s="139">
        <v>12</v>
      </c>
      <c r="AC12" s="139">
        <v>10</v>
      </c>
      <c r="AD12" s="139">
        <v>6</v>
      </c>
      <c r="AE12" s="97">
        <f>IFERROR(IF(AND(AA12:AD12)="","",SUM(AA12:AD12)),"")</f>
        <v>42</v>
      </c>
      <c r="AF12" s="106" t="str">
        <f>IFERROR(IF(AE12=0,"",ROUND((AE12/SUM(SETTINGS!$L$14:$L$17))*SETTINGS!$L$18,0)),"")</f>
        <v/>
      </c>
      <c r="AG12" s="105">
        <v>32</v>
      </c>
      <c r="AH12" s="106" t="str">
        <f>IFERROR(IF(ISBLANK(AG12),"",ROUND((AG12/SETTINGS!$L$19)*SETTINGS!$L$20,0)),"")</f>
        <v/>
      </c>
      <c r="AI12" s="106" t="str">
        <f>IFERROR(IF(AND(AF12,AH12)="","",SUM(AF12,AH12)),"")</f>
        <v/>
      </c>
      <c r="AJ12" s="103" t="str">
        <f t="shared" ref="AJ12" si="5">IFERROR(IF(AI12="","",RANK(AI12,AI$12:AI$76)),"")</f>
        <v/>
      </c>
      <c r="AK12" s="107" t="str">
        <f>IFERROR(IF(AI12="","",IF(AI12&gt;=75,VALUE(1),IF(AI12&gt;=70,VALUE(2),IF(AI12&gt;=65,VALUE(3),IF(AI12&gt;=60,VALUE(4),IF(AI12&gt;=55,VALUE(5),IF(AI12&gt;=50,VALUE(6),IF(AI12&gt;=45,VALUE(7),IF(AI12&gt;=40,VALUE(8),VALUE(9)))))))))),"")</f>
        <v/>
      </c>
      <c r="AL12" s="130"/>
      <c r="AM12" s="139">
        <v>15</v>
      </c>
      <c r="AN12" s="139">
        <v>12</v>
      </c>
      <c r="AO12" s="139">
        <v>10</v>
      </c>
      <c r="AP12" s="139">
        <v>6</v>
      </c>
      <c r="AQ12" s="97">
        <f>IFERROR(IF(AND(AM12:AP12)="","",SUM(AM12:AP12)),"")</f>
        <v>43</v>
      </c>
      <c r="AR12" s="106" t="str">
        <f>IFERROR(IF(AQ12=0,"",ROUND((AQ12/SUM(SETTINGS!$L$14:$L$17))*SETTINGS!$L$18,0)),"")</f>
        <v/>
      </c>
      <c r="AS12" s="105">
        <v>32</v>
      </c>
      <c r="AT12" s="106" t="str">
        <f>IFERROR(IF(ISBLANK(AS12),"",ROUND((AS12/SETTINGS!$L$19)*SETTINGS!$L$20,0)),"")</f>
        <v/>
      </c>
      <c r="AU12" s="106" t="str">
        <f>IFERROR(IF(AND(AR12,AT12)="","",SUM(AR12,AT12)),"")</f>
        <v/>
      </c>
      <c r="AV12" s="103" t="str">
        <f t="shared" ref="AV12" si="6">IFERROR(IF(AU12="","",RANK(AU12,AU$12:AU$76)),"")</f>
        <v/>
      </c>
      <c r="AW12" s="107" t="str">
        <f>IFERROR(IF(AU12="","",IF(AU12&gt;=75,VALUE(1),IF(AU12&gt;=70,VALUE(2),IF(AU12&gt;=65,VALUE(3),IF(AU12&gt;=60,VALUE(4),IF(AU12&gt;=55,VALUE(5),IF(AU12&gt;=50,VALUE(6),IF(AU12&gt;=45,VALUE(7),IF(AU12&gt;=40,VALUE(8),VALUE(9)))))))))),"")</f>
        <v/>
      </c>
      <c r="AX12" s="130"/>
      <c r="AY12" s="139">
        <v>15</v>
      </c>
      <c r="AZ12" s="139">
        <v>12</v>
      </c>
      <c r="BA12" s="139">
        <v>10</v>
      </c>
      <c r="BB12" s="139">
        <v>6</v>
      </c>
      <c r="BC12" s="97">
        <f>IFERROR(IF(AND(AY12:BB12)="","",SUM(AY12:BB12)),"")</f>
        <v>43</v>
      </c>
      <c r="BD12" s="106" t="str">
        <f>IFERROR(IF(BC12=0,"",ROUND((BC12/SUM(SETTINGS!$L$14:$L$17))*SETTINGS!$L$18,0)),"")</f>
        <v/>
      </c>
      <c r="BE12" s="105">
        <v>32</v>
      </c>
      <c r="BF12" s="106" t="str">
        <f>IFERROR(IF(ISBLANK(BE12),"",ROUND((BE12/SETTINGS!$L$19)*SETTINGS!$L$20,0)),"")</f>
        <v/>
      </c>
      <c r="BG12" s="106" t="str">
        <f>IFERROR(IF(AND(BD12,BF12)="","",SUM(BD12,BF12)),"")</f>
        <v/>
      </c>
      <c r="BH12" s="103" t="str">
        <f t="shared" ref="BH12" si="7">IFERROR(IF(BG12="","",RANK(BG12,BG$12:BG$76)),"")</f>
        <v/>
      </c>
      <c r="BI12" s="107" t="str">
        <f>IFERROR(IF(BG12="","",IF(BG12&gt;=75,VALUE(1),IF(BG12&gt;=70,VALUE(2),IF(BG12&gt;=65,VALUE(3),IF(BG12&gt;=60,VALUE(4),IF(BG12&gt;=55,VALUE(5),IF(BG12&gt;=50,VALUE(6),IF(BG12&gt;=45,VALUE(7),IF(BG12&gt;=40,VALUE(8),VALUE(9)))))))))),"")</f>
        <v/>
      </c>
      <c r="BJ12" s="130"/>
      <c r="BK12" s="139">
        <v>15</v>
      </c>
      <c r="BL12" s="139">
        <v>12</v>
      </c>
      <c r="BM12" s="139">
        <v>10</v>
      </c>
      <c r="BN12" s="139">
        <v>6</v>
      </c>
      <c r="BO12" s="97">
        <f>IFERROR(IF(AND(BK12:BN12)="","",SUM(BK12:BN12)),"")</f>
        <v>43</v>
      </c>
      <c r="BP12" s="106" t="str">
        <f>IFERROR(IF(BO12=0,"",ROUND((BO12/SUM(SETTINGS!$L$14:$L$17))*SETTINGS!$L$18,0)),"")</f>
        <v/>
      </c>
      <c r="BQ12" s="105">
        <v>32</v>
      </c>
      <c r="BR12" s="106" t="str">
        <f>IFERROR(IF(ISBLANK(BQ12),"",ROUND((BQ12/SETTINGS!$L$19)*SETTINGS!$L$20,0)),"")</f>
        <v/>
      </c>
      <c r="BS12" s="106" t="str">
        <f>IFERROR(IF(AND(BP12,BR12)="","",SUM(BP12,BR12)),"")</f>
        <v/>
      </c>
      <c r="BT12" s="103" t="str">
        <f t="shared" ref="BT12" si="8">IFERROR(IF(BS12="","",RANK(BS12,BS$12:BS$76)),"")</f>
        <v/>
      </c>
      <c r="BU12" s="107" t="str">
        <f>IFERROR(IF(BS12="","",IF(BS12&gt;=75,VALUE(1),IF(BS12&gt;=70,VALUE(2),IF(BS12&gt;=65,VALUE(3),IF(BS12&gt;=60,VALUE(4),IF(BS12&gt;=55,VALUE(5),IF(BS12&gt;=50,VALUE(6),IF(BS12&gt;=45,VALUE(7),IF(BS12&gt;=40,VALUE(8),VALUE(9)))))))))),"")</f>
        <v/>
      </c>
      <c r="BV12" s="130"/>
      <c r="BW12" s="139">
        <v>15</v>
      </c>
      <c r="BX12" s="139">
        <v>12</v>
      </c>
      <c r="BY12" s="139">
        <v>10</v>
      </c>
      <c r="BZ12" s="139">
        <v>6</v>
      </c>
      <c r="CA12" s="97">
        <f>IFERROR(IF(AND(BW12:BZ12)="","",SUM(BW12:BZ12)),"")</f>
        <v>43</v>
      </c>
      <c r="CB12" s="106" t="str">
        <f>IFERROR(IF(CA12=0,"",ROUND((CA12/SUM(SETTINGS!$L$14:$L$17))*SETTINGS!$L$18,0)),"")</f>
        <v/>
      </c>
      <c r="CC12" s="105">
        <v>32</v>
      </c>
      <c r="CD12" s="106" t="str">
        <f>IFERROR(IF(ISBLANK(CC12),"",ROUND((CC12/SETTINGS!$L$19)*SETTINGS!$L$20,0)),"")</f>
        <v/>
      </c>
      <c r="CE12" s="106" t="str">
        <f>IFERROR(IF(AND(CB12,CD12)="","",SUM(CB12,CD12)),"")</f>
        <v/>
      </c>
      <c r="CF12" s="103" t="str">
        <f t="shared" ref="CF12" si="9">IFERROR(IF(CE12="","",RANK(CE12,CE$12:CE$76)),"")</f>
        <v/>
      </c>
      <c r="CG12" s="107" t="str">
        <f>IFERROR(IF(CE12="","",IF(CE12&gt;=75,VALUE(1),IF(CE12&gt;=70,VALUE(2),IF(CE12&gt;=65,VALUE(3),IF(CE12&gt;=60,VALUE(4),IF(CE12&gt;=55,VALUE(5),IF(CE12&gt;=50,VALUE(6),IF(CE12&gt;=45,VALUE(7),IF(CE12&gt;=40,VALUE(8),VALUE(9)))))))))),"")</f>
        <v/>
      </c>
      <c r="CH12" s="130"/>
      <c r="CI12" s="139">
        <v>15</v>
      </c>
      <c r="CJ12" s="139">
        <v>12</v>
      </c>
      <c r="CK12" s="139">
        <v>10</v>
      </c>
      <c r="CL12" s="139">
        <v>6</v>
      </c>
      <c r="CM12" s="97">
        <f>IFERROR(IF(AND(CI12:CL12)="","",SUM(CI12:CL12)),"")</f>
        <v>43</v>
      </c>
      <c r="CN12" s="106" t="str">
        <f>IFERROR(IF(CM12=0,"",ROUND((CM12/SUM(SETTINGS!$L$14:$L$17))*SETTINGS!$L$18,0)),"")</f>
        <v/>
      </c>
      <c r="CO12" s="105">
        <v>32</v>
      </c>
      <c r="CP12" s="106" t="str">
        <f>IFERROR(IF(ISBLANK(CO12),"",ROUND((CO12/SETTINGS!$L$19)*SETTINGS!$L$20,0)),"")</f>
        <v/>
      </c>
      <c r="CQ12" s="106" t="str">
        <f>IFERROR(IF(AND(CN12,CP12)="","",SUM(CN12,CP12)),"")</f>
        <v/>
      </c>
      <c r="CR12" s="103" t="str">
        <f t="shared" ref="CR12" si="10">IFERROR(IF(CQ12="","",RANK(CQ12,CQ$12:CQ$76)),"")</f>
        <v/>
      </c>
      <c r="CS12" s="107" t="str">
        <f>IFERROR(IF(CQ12="","",IF(CQ12&gt;=75,VALUE(1),IF(CQ12&gt;=70,VALUE(2),IF(CQ12&gt;=65,VALUE(3),IF(CQ12&gt;=60,VALUE(4),IF(CQ12&gt;=55,VALUE(5),IF(CQ12&gt;=50,VALUE(6),IF(CQ12&gt;=45,VALUE(7),IF(CQ12&gt;=40,VALUE(8),VALUE(9)))))))))),"")</f>
        <v/>
      </c>
      <c r="CT12" s="130"/>
      <c r="CU12" s="139">
        <v>15</v>
      </c>
      <c r="CV12" s="139">
        <v>12</v>
      </c>
      <c r="CW12" s="139">
        <v>10</v>
      </c>
      <c r="CX12" s="139">
        <v>6</v>
      </c>
      <c r="CY12" s="97">
        <f>IFERROR(IF(AND(CU12:CX12)="","",SUM(CU12:CX12)),"")</f>
        <v>43</v>
      </c>
      <c r="CZ12" s="106" t="str">
        <f>IFERROR(IF(CY12=0,"",ROUND((CY12/SUM(SETTINGS!$L$14:$L$17))*SETTINGS!$L$18,0)),"")</f>
        <v/>
      </c>
      <c r="DA12" s="105">
        <v>32</v>
      </c>
      <c r="DB12" s="106" t="str">
        <f>IFERROR(IF(ISBLANK(DA12),"",ROUND((DA12/SETTINGS!$L$19)*SETTINGS!$L$20,0)),"")</f>
        <v/>
      </c>
      <c r="DC12" s="106" t="str">
        <f>IFERROR(IF(AND(CZ12,DB12)="","",SUM(CZ12,DB12)),"")</f>
        <v/>
      </c>
      <c r="DD12" s="103" t="str">
        <f t="shared" ref="DD12" si="11">IFERROR(IF(DC12="","",RANK(DC12,DC$12:DC$76)),"")</f>
        <v/>
      </c>
      <c r="DE12" s="107" t="str">
        <f>IFERROR(IF(DC12="","",IF(DC12&gt;=75,VALUE(1),IF(DC12&gt;=70,VALUE(2),IF(DC12&gt;=65,VALUE(3),IF(DC12&gt;=60,VALUE(4),IF(DC12&gt;=55,VALUE(5),IF(DC12&gt;=50,VALUE(6),IF(DC12&gt;=45,VALUE(7),IF(DC12&gt;=40,VALUE(8),VALUE(9)))))))))),"")</f>
        <v/>
      </c>
      <c r="DF12" s="103" t="str">
        <f t="shared" ref="DF12:DF43" si="12">IFERROR(IF(AND(K12,W12,AI12,AU12,BG12,BS12,CE12,CQ12,DC12)="","",SUM(K12,W12,AI12,AU12,BG12,BS12,CE12,CQ12,DC12)),"")</f>
        <v/>
      </c>
      <c r="DG12" s="103" t="str">
        <f>IFERROR(IF(AND(K12,W12,AI12,AU12,BG12,BS12,CE12,CQ12,DC12)="","",SUM(K12,W12,AI12,AU12,LARGE((BG12,BS12,CE12,CQ12,DC12),{1,2}))),"")</f>
        <v/>
      </c>
      <c r="DH12" s="103" t="str">
        <f>IFERROR(IF(AND(M12,Y12,AK12,AW12,,BI12,BU12,CG12,CS12,DE12)="","",SUM(M12,Y12,AK12,AW12,SMALL((BI12,BU12,CG12,CS12,DE12),{1,2}))),"")</f>
        <v/>
      </c>
      <c r="DI12" s="104" t="str">
        <f>IFERROR(pos&amp;IF(AND(MOD(ABS(18),100)&gt;10,MOD(ABS(pos),100)&lt;14),"th", CHOOSE(MOD(ABS(pos),10)+1,"th","st","nd","rd","th","th","th","th","th","th")),"")</f>
        <v/>
      </c>
      <c r="DJ12" s="62">
        <f>ROWS($B$12:$B12)</f>
        <v>1</v>
      </c>
      <c r="DK12" s="62" t="str">
        <f>IF($B12=REPORT_CARD!$M$12,$DJ12,"")</f>
        <v/>
      </c>
      <c r="DL12" s="62" t="str">
        <f>IFERROR(SMALL($DK$12:$DK$76,$DJ12),"")</f>
        <v/>
      </c>
      <c r="DM12" s="65"/>
    </row>
    <row r="13" spans="1:1024" ht="19.5" customHeight="1">
      <c r="A13" s="140" t="str">
        <f>IFERROR(IF(ISBLANK(#REF!),"",#REF!),"")</f>
        <v/>
      </c>
      <c r="B13" s="140" t="str">
        <f>IFERROR(IF(ISBLANK(#REF!),"",#REF!),"")</f>
        <v/>
      </c>
      <c r="C13" s="105">
        <v>3</v>
      </c>
      <c r="D13" s="105">
        <v>15</v>
      </c>
      <c r="E13" s="105">
        <v>9</v>
      </c>
      <c r="F13" s="105">
        <v>8</v>
      </c>
      <c r="G13" s="97">
        <f>IFERROR(IF(AND(C13:F13)="","",SUM(C13:F13)),"")</f>
        <v>35</v>
      </c>
      <c r="H13" s="106" t="str">
        <f>IFERROR(IF(G13=0,"",ROUND((G13/SUM(SETTINGS!$L$14:$L$17))*SETTINGS!$L$18,0)),"")</f>
        <v/>
      </c>
      <c r="I13" s="105">
        <v>10</v>
      </c>
      <c r="J13" s="106" t="str">
        <f>IFERROR(IF(ISBLANK(I13),"",ROUND((I13/SETTINGS!$L$19)*SETTINGS!$L$20,0)),"")</f>
        <v/>
      </c>
      <c r="K13" s="106" t="str">
        <f t="shared" ref="K13:K43" si="13">IFERROR(IF(AND(H13,J13)="","",SUM(H13,J13)),"")</f>
        <v/>
      </c>
      <c r="L13" s="103" t="str">
        <f t="shared" si="0"/>
        <v/>
      </c>
      <c r="M13" s="107" t="str">
        <f t="shared" ref="M13:M43" si="14">IFERROR(IF(K13="","",IF(K13&gt;=75,VALUE(1),IF(K13&gt;=70,VALUE(2),IF(K13&gt;=65,VALUE(3),IF(K13&gt;=60,VALUE(4),IF(K13&gt;=55,VALUE(5),IF(K13&gt;=50,VALUE(6),IF(K13&gt;=45,VALUE(7),IF(K13&gt;=40,VALUE(8),VALUE(9)))))))))),"")</f>
        <v/>
      </c>
      <c r="N13" s="136"/>
      <c r="O13" s="105">
        <v>5</v>
      </c>
      <c r="P13" s="105">
        <v>12</v>
      </c>
      <c r="Q13" s="105">
        <v>5</v>
      </c>
      <c r="R13" s="105">
        <v>5</v>
      </c>
      <c r="S13" s="97">
        <f t="shared" si="1"/>
        <v>27</v>
      </c>
      <c r="T13" s="106" t="str">
        <f>IFERROR(IF(S13=0,"",ROUND((S13/SUM(SETTINGS!$L$14:$L$17))*SETTINGS!$L$18,0)),"")</f>
        <v/>
      </c>
      <c r="U13" s="105">
        <v>36</v>
      </c>
      <c r="V13" s="106" t="str">
        <f>IFERROR(IF(ISBLANK(U13),"",ROUND((U13/SETTINGS!$L$19)*SETTINGS!$L$20,0)),"")</f>
        <v/>
      </c>
      <c r="W13" s="106" t="str">
        <f t="shared" si="2"/>
        <v/>
      </c>
      <c r="X13" s="103" t="str">
        <f t="shared" si="3"/>
        <v/>
      </c>
      <c r="Y13" s="107" t="str">
        <f t="shared" si="4"/>
        <v/>
      </c>
      <c r="Z13" s="130"/>
      <c r="AA13" s="105">
        <v>6</v>
      </c>
      <c r="AB13" s="105">
        <v>12</v>
      </c>
      <c r="AC13" s="105">
        <v>10</v>
      </c>
      <c r="AD13" s="105">
        <v>14</v>
      </c>
      <c r="AE13" s="97">
        <f t="shared" ref="AE13:AE43" si="15">IFERROR(IF(AND(AA13:AD13)="","",SUM(AA13:AD13)),"")</f>
        <v>42</v>
      </c>
      <c r="AF13" s="106" t="str">
        <f>IFERROR(IF(AE13=0,"",ROUND((AE13/SUM(SETTINGS!$L$14:$L$17))*SETTINGS!$L$18,0)),"")</f>
        <v/>
      </c>
      <c r="AG13" s="105">
        <v>20</v>
      </c>
      <c r="AH13" s="106" t="str">
        <f>IFERROR(IF(ISBLANK(AG13),"",ROUND((AG13/SETTINGS!$L$19)*SETTINGS!$L$20,0)),"")</f>
        <v/>
      </c>
      <c r="AI13" s="106" t="str">
        <f t="shared" ref="AI13:AI43" si="16">IFERROR(IF(AND(AF13,AH13)="","",SUM(AF13,AH13)),"")</f>
        <v/>
      </c>
      <c r="AJ13" s="103" t="str">
        <f t="shared" ref="AJ13:AJ43" si="17">IFERROR(IF(AI13="","",RANK(AI13,AI$12:AI$76)),"")</f>
        <v/>
      </c>
      <c r="AK13" s="108" t="str">
        <f t="shared" ref="AK13:AK43" si="18">IFERROR(IF(AI13="","",IF(AI13&gt;=75,VALUE(1),IF(AI13&gt;=70,VALUE(2),IF(AI13&gt;=65,VALUE(3),IF(AI13&gt;=60,VALUE(4),IF(AI13&gt;=55,VALUE(5),IF(AI13&gt;=50,VALUE(6),IF(AI13&gt;=45,VALUE(7),IF(AI13&gt;=40,VALUE(8),VALUE(9)))))))))),"")</f>
        <v/>
      </c>
      <c r="AL13" s="130"/>
      <c r="AM13" s="105">
        <v>7</v>
      </c>
      <c r="AN13" s="105">
        <v>10</v>
      </c>
      <c r="AO13" s="105">
        <v>11</v>
      </c>
      <c r="AP13" s="105">
        <v>14</v>
      </c>
      <c r="AQ13" s="97">
        <f t="shared" ref="AQ13:AQ43" si="19">IFERROR(IF(AND(AM13:AP13)="","",SUM(AM13:AP13)),"")</f>
        <v>42</v>
      </c>
      <c r="AR13" s="106" t="str">
        <f>IFERROR(IF(AQ13=0,"",ROUND((AQ13/SUM(SETTINGS!$L$14:$L$17))*SETTINGS!$L$18,0)),"")</f>
        <v/>
      </c>
      <c r="AS13" s="105">
        <v>21</v>
      </c>
      <c r="AT13" s="106" t="str">
        <f>IFERROR(IF(ISBLANK(AS13),"",ROUND((AS13/SETTINGS!$L$19)*SETTINGS!$L$20,0)),"")</f>
        <v/>
      </c>
      <c r="AU13" s="106" t="str">
        <f t="shared" ref="AU13:AU43" si="20">IFERROR(IF(AND(AR13,AT13)="","",SUM(AR13,AT13)),"")</f>
        <v/>
      </c>
      <c r="AV13" s="103" t="str">
        <f t="shared" ref="AV13:AV43" si="21">IFERROR(IF(AU13="","",RANK(AU13,AU$12:AU$76)),"")</f>
        <v/>
      </c>
      <c r="AW13" s="107" t="str">
        <f t="shared" ref="AW13:AW43" si="22">IFERROR(IF(AU13="","",IF(AU13&gt;=75,VALUE(1),IF(AU13&gt;=70,VALUE(2),IF(AU13&gt;=65,VALUE(3),IF(AU13&gt;=60,VALUE(4),IF(AU13&gt;=55,VALUE(5),IF(AU13&gt;=50,VALUE(6),IF(AU13&gt;=45,VALUE(7),IF(AU13&gt;=40,VALUE(8),VALUE(9)))))))))),"")</f>
        <v/>
      </c>
      <c r="AX13" s="130"/>
      <c r="AY13" s="105">
        <v>10</v>
      </c>
      <c r="AZ13" s="105">
        <v>10</v>
      </c>
      <c r="BA13" s="105">
        <v>8</v>
      </c>
      <c r="BB13" s="105">
        <v>12</v>
      </c>
      <c r="BC13" s="97">
        <f t="shared" ref="BC13:BC43" si="23">IFERROR(IF(AND(AY13:BB13)="","",SUM(AY13:BB13)),"")</f>
        <v>40</v>
      </c>
      <c r="BD13" s="106" t="str">
        <f>IFERROR(IF(BC13=0,"",ROUND((BC13/SUM(SETTINGS!$L$14:$L$17))*SETTINGS!$L$18,0)),"")</f>
        <v/>
      </c>
      <c r="BE13" s="105">
        <v>22</v>
      </c>
      <c r="BF13" s="106" t="str">
        <f>IFERROR(IF(ISBLANK(BE13),"",ROUND((BE13/SETTINGS!$L$19)*SETTINGS!$L$20,0)),"")</f>
        <v/>
      </c>
      <c r="BG13" s="106" t="str">
        <f t="shared" ref="BG13:BG43" si="24">IFERROR(IF(AND(BD13,BF13)="","",SUM(BD13,BF13)),"")</f>
        <v/>
      </c>
      <c r="BH13" s="103" t="str">
        <f t="shared" ref="BH13:BH43" si="25">IFERROR(IF(BG13="","",RANK(BG13,BG$12:BG$76)),"")</f>
        <v/>
      </c>
      <c r="BI13" s="108" t="str">
        <f t="shared" ref="BI13:BI43" si="26">IFERROR(IF(BG13="","",IF(BG13&gt;=75,VALUE(1),IF(BG13&gt;=70,VALUE(2),IF(BG13&gt;=65,VALUE(3),IF(BG13&gt;=60,VALUE(4),IF(BG13&gt;=55,VALUE(5),IF(BG13&gt;=50,VALUE(6),IF(BG13&gt;=45,VALUE(7),IF(BG13&gt;=40,VALUE(8),VALUE(9)))))))))),"")</f>
        <v/>
      </c>
      <c r="BJ13" s="130"/>
      <c r="BK13" s="105">
        <v>11</v>
      </c>
      <c r="BL13" s="105">
        <v>1</v>
      </c>
      <c r="BM13" s="105">
        <v>8</v>
      </c>
      <c r="BN13" s="105">
        <v>15</v>
      </c>
      <c r="BO13" s="97">
        <f t="shared" ref="BO13:BO43" si="27">IFERROR(IF(AND(BK13:BN13)="","",SUM(BK13:BN13)),"")</f>
        <v>35</v>
      </c>
      <c r="BP13" s="106" t="str">
        <f>IFERROR(IF(BO13=0,"",ROUND((BO13/SUM(SETTINGS!$L$14:$L$17))*SETTINGS!$L$18,0)),"")</f>
        <v/>
      </c>
      <c r="BQ13" s="105">
        <v>25</v>
      </c>
      <c r="BR13" s="106" t="str">
        <f>IFERROR(IF(ISBLANK(BQ13),"",ROUND((BQ13/SETTINGS!$L$19)*SETTINGS!$L$20,0)),"")</f>
        <v/>
      </c>
      <c r="BS13" s="106" t="str">
        <f t="shared" ref="BS13:BS43" si="28">IFERROR(IF(AND(BP13,BR13)="","",SUM(BP13,BR13)),"")</f>
        <v/>
      </c>
      <c r="BT13" s="103" t="str">
        <f t="shared" ref="BT13:BT43" si="29">IFERROR(IF(BS13="","",RANK(BS13,BS$12:BS$76)),"")</f>
        <v/>
      </c>
      <c r="BU13" s="107" t="str">
        <f t="shared" ref="BU13:BU43" si="30">IFERROR(IF(BS13="","",IF(BS13&gt;=75,VALUE(1),IF(BS13&gt;=70,VALUE(2),IF(BS13&gt;=65,VALUE(3),IF(BS13&gt;=60,VALUE(4),IF(BS13&gt;=55,VALUE(5),IF(BS13&gt;=50,VALUE(6),IF(BS13&gt;=45,VALUE(7),IF(BS13&gt;=40,VALUE(8),VALUE(9)))))))))),"")</f>
        <v/>
      </c>
      <c r="BV13" s="130"/>
      <c r="BW13" s="105">
        <v>1</v>
      </c>
      <c r="BX13" s="105">
        <v>6</v>
      </c>
      <c r="BY13" s="105">
        <v>13</v>
      </c>
      <c r="BZ13" s="105">
        <v>10</v>
      </c>
      <c r="CA13" s="97">
        <f t="shared" ref="CA13:CA43" si="31">IFERROR(IF(AND(BW13:BZ13)="","",SUM(BW13:BZ13)),"")</f>
        <v>30</v>
      </c>
      <c r="CB13" s="106" t="str">
        <f>IFERROR(IF(CA13=0,"",ROUND((CA13/SUM(SETTINGS!$L$14:$L$17))*SETTINGS!$L$18,0)),"")</f>
        <v/>
      </c>
      <c r="CC13" s="105">
        <v>14</v>
      </c>
      <c r="CD13" s="106" t="str">
        <f>IFERROR(IF(ISBLANK(CC13),"",ROUND((CC13/SETTINGS!$L$19)*SETTINGS!$L$20,0)),"")</f>
        <v/>
      </c>
      <c r="CE13" s="106" t="str">
        <f t="shared" ref="CE13:CE43" si="32">IFERROR(IF(AND(CB13,CD13)="","",SUM(CB13,CD13)),"")</f>
        <v/>
      </c>
      <c r="CF13" s="103" t="str">
        <f t="shared" ref="CF13:CF43" si="33">IFERROR(IF(CE13="","",RANK(CE13,CE$12:CE$76)),"")</f>
        <v/>
      </c>
      <c r="CG13" s="107" t="str">
        <f t="shared" ref="CG13:CG43" si="34">IFERROR(IF(CE13="","",IF(CE13&gt;=75,VALUE(1),IF(CE13&gt;=70,VALUE(2),IF(CE13&gt;=65,VALUE(3),IF(CE13&gt;=60,VALUE(4),IF(CE13&gt;=55,VALUE(5),IF(CE13&gt;=50,VALUE(6),IF(CE13&gt;=45,VALUE(7),IF(CE13&gt;=40,VALUE(8),VALUE(9)))))))))),"")</f>
        <v/>
      </c>
      <c r="CH13" s="130"/>
      <c r="CI13" s="105">
        <v>10</v>
      </c>
      <c r="CJ13" s="105">
        <v>16</v>
      </c>
      <c r="CK13" s="105">
        <v>5</v>
      </c>
      <c r="CL13" s="105">
        <v>10</v>
      </c>
      <c r="CM13" s="97">
        <f t="shared" ref="CM13:CM43" si="35">IFERROR(IF(AND(CI13:CL13)="","",SUM(CI13:CL13)),"")</f>
        <v>41</v>
      </c>
      <c r="CN13" s="106" t="str">
        <f>IFERROR(IF(CM13=0,"",ROUND((CM13/SUM(SETTINGS!$L$14:$L$17))*SETTINGS!$L$18,0)),"")</f>
        <v/>
      </c>
      <c r="CO13" s="105">
        <v>13</v>
      </c>
      <c r="CP13" s="106" t="str">
        <f>IFERROR(IF(ISBLANK(CO13),"",ROUND((CO13/SETTINGS!$L$19)*SETTINGS!$L$20,0)),"")</f>
        <v/>
      </c>
      <c r="CQ13" s="106" t="str">
        <f t="shared" ref="CQ13:CQ43" si="36">IFERROR(IF(AND(CN13,CP13)="","",SUM(CN13,CP13)),"")</f>
        <v/>
      </c>
      <c r="CR13" s="103" t="str">
        <f t="shared" ref="CR13:CR43" si="37">IFERROR(IF(CQ13="","",RANK(CQ13,CQ$12:CQ$76)),"")</f>
        <v/>
      </c>
      <c r="CS13" s="107" t="str">
        <f t="shared" ref="CS13:CS43" si="38">IFERROR(IF(CQ13="","",IF(CQ13&gt;=75,VALUE(1),IF(CQ13&gt;=70,VALUE(2),IF(CQ13&gt;=65,VALUE(3),IF(CQ13&gt;=60,VALUE(4),IF(CQ13&gt;=55,VALUE(5),IF(CQ13&gt;=50,VALUE(6),IF(CQ13&gt;=45,VALUE(7),IF(CQ13&gt;=40,VALUE(8),VALUE(9)))))))))),"")</f>
        <v/>
      </c>
      <c r="CT13" s="130"/>
      <c r="CU13" s="105">
        <v>5</v>
      </c>
      <c r="CV13" s="105">
        <v>11</v>
      </c>
      <c r="CW13" s="105">
        <v>8</v>
      </c>
      <c r="CX13" s="105">
        <v>5</v>
      </c>
      <c r="CY13" s="97">
        <f t="shared" ref="CY13:CY43" si="39">IFERROR(IF(AND(CU13:CX13)="","",SUM(CU13:CX13)),"")</f>
        <v>29</v>
      </c>
      <c r="CZ13" s="106" t="str">
        <f>IFERROR(IF(CY13=0,"",ROUND((CY13/SUM(SETTINGS!$L$14:$L$17))*SETTINGS!$L$18,0)),"")</f>
        <v/>
      </c>
      <c r="DA13" s="105">
        <v>26</v>
      </c>
      <c r="DB13" s="106" t="str">
        <f>IFERROR(IF(ISBLANK(DA13),"",ROUND((DA13/SETTINGS!$L$19)*SETTINGS!$L$20,0)),"")</f>
        <v/>
      </c>
      <c r="DC13" s="106" t="str">
        <f t="shared" ref="DC13:DC43" si="40">IFERROR(IF(AND(CZ13,DB13)="","",SUM(CZ13,DB13)),"")</f>
        <v/>
      </c>
      <c r="DD13" s="103" t="str">
        <f t="shared" ref="DD13:DD43" si="41">IFERROR(IF(DC13="","",RANK(DC13,DC$12:DC$76)),"")</f>
        <v/>
      </c>
      <c r="DE13" s="107" t="str">
        <f t="shared" ref="DE13:DE43" si="42">IFERROR(IF(DC13="","",IF(DC13&gt;=75,VALUE(1),IF(DC13&gt;=70,VALUE(2),IF(DC13&gt;=65,VALUE(3),IF(DC13&gt;=60,VALUE(4),IF(DC13&gt;=55,VALUE(5),IF(DC13&gt;=50,VALUE(6),IF(DC13&gt;=45,VALUE(7),IF(DC13&gt;=40,VALUE(8),VALUE(9)))))))))),"")</f>
        <v/>
      </c>
      <c r="DF13" s="103" t="str">
        <f t="shared" si="12"/>
        <v/>
      </c>
      <c r="DG13" s="103" t="str">
        <f>IFERROR(IF(AND(K13,W13,AI13,AU13,BG13,BS13,CE13,CQ13,DC13)="","",SUM(K13,W13,AI13,AU13,LARGE((BG13,BS13,CE13,CQ13,DC13),{1,2}))),"")</f>
        <v/>
      </c>
      <c r="DH13" s="103" t="str">
        <f>IFERROR(IF(AND(M13,Y13,AK13,AW13,,BI13,BU13,CG13,CS13,DE13)="","",SUM(M13,Y13,AK13,AW13,SMALL((BI13,BU13,CG13,CS13,DE13),{1,2}))),"")</f>
        <v/>
      </c>
      <c r="DI13" s="109" t="str">
        <f>IFERROR(pos&amp;IF(AND(MOD(ABS(18),100)&gt;10,MOD(ABS(pos),100)&lt;14),"th", CHOOSE(MOD(ABS(pos),10)+1,"th","st","nd","rd","th","th","th","th","th","th")),"")</f>
        <v/>
      </c>
      <c r="DJ13" s="62">
        <f>ROWS($B$12:$B13)</f>
        <v>2</v>
      </c>
      <c r="DK13" s="62" t="str">
        <f>IF($B13=REPORT_CARD!$M$12,$DJ13,"")</f>
        <v/>
      </c>
      <c r="DM13" s="65"/>
    </row>
    <row r="14" spans="1:1024" ht="19.5" customHeight="1">
      <c r="A14" s="140" t="str">
        <f>IFERROR(IF(ISBLANK(#REF!),"",#REF!),"")</f>
        <v/>
      </c>
      <c r="B14" s="140" t="str">
        <f>IFERROR(IF(ISBLANK(#REF!),"",#REF!),"")</f>
        <v/>
      </c>
      <c r="C14" s="105">
        <v>3</v>
      </c>
      <c r="D14" s="105">
        <v>14</v>
      </c>
      <c r="E14" s="105">
        <v>5</v>
      </c>
      <c r="F14" s="105">
        <v>5</v>
      </c>
      <c r="G14" s="97">
        <f t="shared" ref="G14:G43" si="43">IFERROR(IF(AND(C14:F14)="","",SUM(C14:F14)),"")</f>
        <v>27</v>
      </c>
      <c r="H14" s="106" t="str">
        <f>IFERROR(IF(G14=0,"",ROUND((G14/SUM(SETTINGS!$L$14:$L$17))*SETTINGS!$L$18,0)),"")</f>
        <v/>
      </c>
      <c r="I14" s="105">
        <v>12</v>
      </c>
      <c r="J14" s="106" t="str">
        <f>IFERROR(IF(ISBLANK(I14),"",ROUND((I14/SETTINGS!$L$19)*SETTINGS!$L$20,0)),"")</f>
        <v/>
      </c>
      <c r="K14" s="106" t="str">
        <f t="shared" si="13"/>
        <v/>
      </c>
      <c r="L14" s="103" t="str">
        <f t="shared" si="0"/>
        <v/>
      </c>
      <c r="M14" s="107" t="str">
        <f t="shared" si="14"/>
        <v/>
      </c>
      <c r="N14" s="136"/>
      <c r="O14" s="105">
        <v>5</v>
      </c>
      <c r="P14" s="105">
        <v>10</v>
      </c>
      <c r="Q14" s="105">
        <v>5</v>
      </c>
      <c r="R14" s="105">
        <v>10</v>
      </c>
      <c r="S14" s="97">
        <f t="shared" si="1"/>
        <v>30</v>
      </c>
      <c r="T14" s="106" t="str">
        <f>IFERROR(IF(S14=0,"",ROUND((S14/SUM(SETTINGS!$L$14:$L$17))*SETTINGS!$L$18,0)),"")</f>
        <v/>
      </c>
      <c r="U14" s="105">
        <v>13</v>
      </c>
      <c r="V14" s="106" t="str">
        <f>IFERROR(IF(ISBLANK(U14),"",ROUND((U14/SETTINGS!$L$19)*SETTINGS!$L$20,0)),"")</f>
        <v/>
      </c>
      <c r="W14" s="106" t="str">
        <f t="shared" si="2"/>
        <v/>
      </c>
      <c r="X14" s="103" t="str">
        <f t="shared" si="3"/>
        <v/>
      </c>
      <c r="Y14" s="107" t="str">
        <f t="shared" si="4"/>
        <v/>
      </c>
      <c r="Z14" s="130"/>
      <c r="AA14" s="105">
        <v>6</v>
      </c>
      <c r="AB14" s="105">
        <v>10</v>
      </c>
      <c r="AC14" s="105">
        <v>12</v>
      </c>
      <c r="AD14" s="105">
        <v>8</v>
      </c>
      <c r="AE14" s="97">
        <f t="shared" si="15"/>
        <v>36</v>
      </c>
      <c r="AF14" s="106" t="str">
        <f>IFERROR(IF(AE14=0,"",ROUND((AE14/SUM(SETTINGS!$L$14:$L$17))*SETTINGS!$L$18,0)),"")</f>
        <v/>
      </c>
      <c r="AG14" s="105">
        <v>28</v>
      </c>
      <c r="AH14" s="106" t="str">
        <f>IFERROR(IF(ISBLANK(AG14),"",ROUND((AG14/SETTINGS!$L$19)*SETTINGS!$L$20,0)),"")</f>
        <v/>
      </c>
      <c r="AI14" s="106" t="str">
        <f t="shared" si="16"/>
        <v/>
      </c>
      <c r="AJ14" s="103" t="str">
        <f t="shared" si="17"/>
        <v/>
      </c>
      <c r="AK14" s="108" t="str">
        <f t="shared" si="18"/>
        <v/>
      </c>
      <c r="AL14" s="130"/>
      <c r="AM14" s="105">
        <v>7</v>
      </c>
      <c r="AN14" s="105">
        <v>11</v>
      </c>
      <c r="AO14" s="105">
        <v>12</v>
      </c>
      <c r="AP14" s="105">
        <v>15</v>
      </c>
      <c r="AQ14" s="97">
        <f t="shared" si="19"/>
        <v>45</v>
      </c>
      <c r="AR14" s="106" t="str">
        <f>IFERROR(IF(AQ14=0,"",ROUND((AQ14/SUM(SETTINGS!$L$14:$L$17))*SETTINGS!$L$18,0)),"")</f>
        <v/>
      </c>
      <c r="AS14" s="105">
        <v>25</v>
      </c>
      <c r="AT14" s="106" t="str">
        <f>IFERROR(IF(ISBLANK(AS14),"",ROUND((AS14/SETTINGS!$L$19)*SETTINGS!$L$20,0)),"")</f>
        <v/>
      </c>
      <c r="AU14" s="106" t="str">
        <f t="shared" si="20"/>
        <v/>
      </c>
      <c r="AV14" s="103" t="str">
        <f t="shared" si="21"/>
        <v/>
      </c>
      <c r="AW14" s="107" t="str">
        <f t="shared" si="22"/>
        <v/>
      </c>
      <c r="AX14" s="130"/>
      <c r="AY14" s="105">
        <v>12</v>
      </c>
      <c r="AZ14" s="105">
        <v>6</v>
      </c>
      <c r="BA14" s="105">
        <v>10</v>
      </c>
      <c r="BB14" s="105">
        <v>8</v>
      </c>
      <c r="BC14" s="97">
        <f t="shared" si="23"/>
        <v>36</v>
      </c>
      <c r="BD14" s="106" t="str">
        <f>IFERROR(IF(BC14=0,"",ROUND((BC14/SUM(SETTINGS!$L$14:$L$17))*SETTINGS!$L$18,0)),"")</f>
        <v/>
      </c>
      <c r="BE14" s="105">
        <v>15</v>
      </c>
      <c r="BF14" s="106" t="str">
        <f>IFERROR(IF(ISBLANK(BE14),"",ROUND((BE14/SETTINGS!$L$19)*SETTINGS!$L$20,0)),"")</f>
        <v/>
      </c>
      <c r="BG14" s="106" t="str">
        <f t="shared" si="24"/>
        <v/>
      </c>
      <c r="BH14" s="103" t="str">
        <f t="shared" si="25"/>
        <v/>
      </c>
      <c r="BI14" s="108" t="str">
        <f t="shared" si="26"/>
        <v/>
      </c>
      <c r="BJ14" s="130"/>
      <c r="BK14" s="105">
        <v>9</v>
      </c>
      <c r="BL14" s="105">
        <v>9</v>
      </c>
      <c r="BM14" s="105">
        <v>4</v>
      </c>
      <c r="BN14" s="105">
        <v>6</v>
      </c>
      <c r="BO14" s="97">
        <f t="shared" si="27"/>
        <v>28</v>
      </c>
      <c r="BP14" s="106" t="str">
        <f>IFERROR(IF(BO14=0,"",ROUND((BO14/SUM(SETTINGS!$L$14:$L$17))*SETTINGS!$L$18,0)),"")</f>
        <v/>
      </c>
      <c r="BQ14" s="105">
        <v>44</v>
      </c>
      <c r="BR14" s="106" t="str">
        <f>IFERROR(IF(ISBLANK(BQ14),"",ROUND((BQ14/SETTINGS!$L$19)*SETTINGS!$L$20,0)),"")</f>
        <v/>
      </c>
      <c r="BS14" s="106" t="str">
        <f t="shared" si="28"/>
        <v/>
      </c>
      <c r="BT14" s="103" t="str">
        <f t="shared" si="29"/>
        <v/>
      </c>
      <c r="BU14" s="107" t="str">
        <f t="shared" si="30"/>
        <v/>
      </c>
      <c r="BV14" s="130"/>
      <c r="BW14" s="105">
        <v>7</v>
      </c>
      <c r="BX14" s="105">
        <v>1</v>
      </c>
      <c r="BY14" s="105">
        <v>7</v>
      </c>
      <c r="BZ14" s="105">
        <v>8</v>
      </c>
      <c r="CA14" s="97">
        <f t="shared" si="31"/>
        <v>23</v>
      </c>
      <c r="CB14" s="106" t="str">
        <f>IFERROR(IF(CA14=0,"",ROUND((CA14/SUM(SETTINGS!$L$14:$L$17))*SETTINGS!$L$18,0)),"")</f>
        <v/>
      </c>
      <c r="CC14" s="105">
        <v>24</v>
      </c>
      <c r="CD14" s="106" t="str">
        <f>IFERROR(IF(ISBLANK(CC14),"",ROUND((CC14/SETTINGS!$L$19)*SETTINGS!$L$20,0)),"")</f>
        <v/>
      </c>
      <c r="CE14" s="106" t="str">
        <f t="shared" si="32"/>
        <v/>
      </c>
      <c r="CF14" s="103" t="str">
        <f t="shared" si="33"/>
        <v/>
      </c>
      <c r="CG14" s="107" t="str">
        <f t="shared" si="34"/>
        <v/>
      </c>
      <c r="CH14" s="130"/>
      <c r="CI14" s="105">
        <v>3</v>
      </c>
      <c r="CJ14" s="105">
        <v>15</v>
      </c>
      <c r="CK14" s="105">
        <v>1</v>
      </c>
      <c r="CL14" s="105">
        <v>10</v>
      </c>
      <c r="CM14" s="97">
        <f t="shared" si="35"/>
        <v>29</v>
      </c>
      <c r="CN14" s="106" t="str">
        <f>IFERROR(IF(CM14=0,"",ROUND((CM14/SUM(SETTINGS!$L$14:$L$17))*SETTINGS!$L$18,0)),"")</f>
        <v/>
      </c>
      <c r="CO14" s="105">
        <v>23</v>
      </c>
      <c r="CP14" s="106" t="str">
        <f>IFERROR(IF(ISBLANK(CO14),"",ROUND((CO14/SETTINGS!$L$19)*SETTINGS!$L$20,0)),"")</f>
        <v/>
      </c>
      <c r="CQ14" s="106" t="str">
        <f t="shared" si="36"/>
        <v/>
      </c>
      <c r="CR14" s="103" t="str">
        <f t="shared" si="37"/>
        <v/>
      </c>
      <c r="CS14" s="107" t="str">
        <f t="shared" si="38"/>
        <v/>
      </c>
      <c r="CT14" s="130"/>
      <c r="CU14" s="105">
        <v>10</v>
      </c>
      <c r="CV14" s="105">
        <v>14</v>
      </c>
      <c r="CW14" s="105">
        <v>8</v>
      </c>
      <c r="CX14" s="105">
        <v>6</v>
      </c>
      <c r="CY14" s="97">
        <f t="shared" si="39"/>
        <v>38</v>
      </c>
      <c r="CZ14" s="106" t="str">
        <f>IFERROR(IF(CY14=0,"",ROUND((CY14/SUM(SETTINGS!$L$14:$L$17))*SETTINGS!$L$18,0)),"")</f>
        <v/>
      </c>
      <c r="DA14" s="105">
        <v>10</v>
      </c>
      <c r="DB14" s="106" t="str">
        <f>IFERROR(IF(ISBLANK(DA14),"",ROUND((DA14/SETTINGS!$L$19)*SETTINGS!$L$20,0)),"")</f>
        <v/>
      </c>
      <c r="DC14" s="106" t="str">
        <f t="shared" si="40"/>
        <v/>
      </c>
      <c r="DD14" s="103" t="str">
        <f t="shared" si="41"/>
        <v/>
      </c>
      <c r="DE14" s="107" t="str">
        <f t="shared" si="42"/>
        <v/>
      </c>
      <c r="DF14" s="103" t="str">
        <f t="shared" si="12"/>
        <v/>
      </c>
      <c r="DG14" s="103" t="str">
        <f>IFERROR(IF(AND(K14,W14,AI14,AU14,BG14,BS14,CE14,CQ14,DC14)="","",SUM(K14,W14,AI14,AU14,LARGE((BG14,BS14,CE14,CQ14,DC14),{1,2}))),"")</f>
        <v/>
      </c>
      <c r="DH14" s="103" t="str">
        <f>IFERROR(IF(AND(M14,Y14,AK14,AW14,,BI14,BU14,CG14,CS14,DE14)="","",SUM(M14,Y14,AK14,AW14,SMALL((BI14,BU14,CG14,CS14,DE14),{1,2}))),"")</f>
        <v/>
      </c>
      <c r="DI14" s="109" t="str">
        <f>IFERROR(pos&amp;IF(AND(MOD(ABS(18),100)&gt;10,MOD(ABS(pos),100)&lt;14),"th", CHOOSE(MOD(ABS(pos),10)+1,"th","st","nd","rd","th","th","th","th","th","th")),"")</f>
        <v/>
      </c>
      <c r="DJ14" s="62">
        <f>ROWS($B$12:$B14)</f>
        <v>3</v>
      </c>
      <c r="DK14" s="62" t="str">
        <f>IF($B14=REPORT_CARD!$M$12,$DJ14,"")</f>
        <v/>
      </c>
      <c r="DM14" s="65"/>
    </row>
    <row r="15" spans="1:1024" ht="19.5" customHeight="1">
      <c r="A15" s="140" t="str">
        <f>IFERROR(IF(ISBLANK(#REF!),"",#REF!),"")</f>
        <v/>
      </c>
      <c r="B15" s="140" t="str">
        <f>IFERROR(IF(ISBLANK(#REF!),"",#REF!),"")</f>
        <v/>
      </c>
      <c r="C15" s="105">
        <v>15</v>
      </c>
      <c r="D15" s="105">
        <v>14</v>
      </c>
      <c r="E15" s="105">
        <v>10</v>
      </c>
      <c r="F15" s="105">
        <v>6</v>
      </c>
      <c r="G15" s="97">
        <f t="shared" si="43"/>
        <v>45</v>
      </c>
      <c r="H15" s="106" t="str">
        <f>IFERROR(IF(G15=0,"",ROUND((G15/SUM(SETTINGS!$L$14:$L$17))*SETTINGS!$L$18,0)),"")</f>
        <v/>
      </c>
      <c r="I15" s="105">
        <v>40</v>
      </c>
      <c r="J15" s="106" t="str">
        <f>IFERROR(IF(ISBLANK(I15),"",ROUND((I15/SETTINGS!$L$19)*SETTINGS!$L$20,0)),"")</f>
        <v/>
      </c>
      <c r="K15" s="106" t="str">
        <f t="shared" si="13"/>
        <v/>
      </c>
      <c r="L15" s="103" t="str">
        <f t="shared" si="0"/>
        <v/>
      </c>
      <c r="M15" s="107" t="str">
        <f t="shared" si="14"/>
        <v/>
      </c>
      <c r="N15" s="136"/>
      <c r="O15" s="105">
        <v>5</v>
      </c>
      <c r="P15" s="105">
        <v>13</v>
      </c>
      <c r="Q15" s="105">
        <v>13</v>
      </c>
      <c r="R15" s="105">
        <v>10</v>
      </c>
      <c r="S15" s="97">
        <f t="shared" si="1"/>
        <v>41</v>
      </c>
      <c r="T15" s="106" t="str">
        <f>IFERROR(IF(S15=0,"",ROUND((S15/SUM(SETTINGS!$L$14:$L$17))*SETTINGS!$L$18,0)),"")</f>
        <v/>
      </c>
      <c r="U15" s="105">
        <v>43</v>
      </c>
      <c r="V15" s="106" t="str">
        <f>IFERROR(IF(ISBLANK(U15),"",ROUND((U15/SETTINGS!$L$19)*SETTINGS!$L$20,0)),"")</f>
        <v/>
      </c>
      <c r="W15" s="106" t="str">
        <f t="shared" si="2"/>
        <v/>
      </c>
      <c r="X15" s="103" t="str">
        <f t="shared" si="3"/>
        <v/>
      </c>
      <c r="Y15" s="107" t="str">
        <f t="shared" si="4"/>
        <v/>
      </c>
      <c r="Z15" s="130"/>
      <c r="AA15" s="105">
        <v>10</v>
      </c>
      <c r="AB15" s="105">
        <v>10</v>
      </c>
      <c r="AC15" s="105">
        <v>10</v>
      </c>
      <c r="AD15" s="105">
        <v>13</v>
      </c>
      <c r="AE15" s="97">
        <f t="shared" si="15"/>
        <v>43</v>
      </c>
      <c r="AF15" s="106" t="str">
        <f>IFERROR(IF(AE15=0,"",ROUND((AE15/SUM(SETTINGS!$L$14:$L$17))*SETTINGS!$L$18,0)),"")</f>
        <v/>
      </c>
      <c r="AG15" s="105">
        <v>40</v>
      </c>
      <c r="AH15" s="106" t="str">
        <f>IFERROR(IF(ISBLANK(AG15),"",ROUND((AG15/SETTINGS!$L$19)*SETTINGS!$L$20,0)),"")</f>
        <v/>
      </c>
      <c r="AI15" s="106" t="str">
        <f t="shared" si="16"/>
        <v/>
      </c>
      <c r="AJ15" s="103" t="str">
        <f t="shared" si="17"/>
        <v/>
      </c>
      <c r="AK15" s="108" t="str">
        <f t="shared" si="18"/>
        <v/>
      </c>
      <c r="AL15" s="130"/>
      <c r="AM15" s="105">
        <v>10</v>
      </c>
      <c r="AN15" s="105">
        <v>7</v>
      </c>
      <c r="AO15" s="105">
        <v>8</v>
      </c>
      <c r="AP15" s="105">
        <v>15</v>
      </c>
      <c r="AQ15" s="97">
        <f t="shared" si="19"/>
        <v>40</v>
      </c>
      <c r="AR15" s="106" t="str">
        <f>IFERROR(IF(AQ15=0,"",ROUND((AQ15/SUM(SETTINGS!$L$14:$L$17))*SETTINGS!$L$18,0)),"")</f>
        <v/>
      </c>
      <c r="AS15" s="105">
        <v>29</v>
      </c>
      <c r="AT15" s="106" t="str">
        <f>IFERROR(IF(ISBLANK(AS15),"",ROUND((AS15/SETTINGS!$L$19)*SETTINGS!$L$20,0)),"")</f>
        <v/>
      </c>
      <c r="AU15" s="106" t="str">
        <f t="shared" si="20"/>
        <v/>
      </c>
      <c r="AV15" s="103" t="str">
        <f t="shared" si="21"/>
        <v/>
      </c>
      <c r="AW15" s="107" t="str">
        <f t="shared" si="22"/>
        <v/>
      </c>
      <c r="AX15" s="130"/>
      <c r="AY15" s="105">
        <v>12</v>
      </c>
      <c r="AZ15" s="105">
        <v>8</v>
      </c>
      <c r="BA15" s="105">
        <v>5</v>
      </c>
      <c r="BB15" s="105">
        <v>10</v>
      </c>
      <c r="BC15" s="97">
        <f t="shared" si="23"/>
        <v>35</v>
      </c>
      <c r="BD15" s="106" t="str">
        <f>IFERROR(IF(BC15=0,"",ROUND((BC15/SUM(SETTINGS!$L$14:$L$17))*SETTINGS!$L$18,0)),"")</f>
        <v/>
      </c>
      <c r="BE15" s="105">
        <v>50</v>
      </c>
      <c r="BF15" s="106" t="str">
        <f>IFERROR(IF(ISBLANK(BE15),"",ROUND((BE15/SETTINGS!$L$19)*SETTINGS!$L$20,0)),"")</f>
        <v/>
      </c>
      <c r="BG15" s="106" t="str">
        <f t="shared" si="24"/>
        <v/>
      </c>
      <c r="BH15" s="103" t="str">
        <f t="shared" si="25"/>
        <v/>
      </c>
      <c r="BI15" s="108" t="str">
        <f t="shared" si="26"/>
        <v/>
      </c>
      <c r="BJ15" s="130"/>
      <c r="BK15" s="105">
        <v>4</v>
      </c>
      <c r="BL15" s="105">
        <v>10</v>
      </c>
      <c r="BM15" s="105">
        <v>15</v>
      </c>
      <c r="BN15" s="105">
        <v>15</v>
      </c>
      <c r="BO15" s="97">
        <f t="shared" si="27"/>
        <v>44</v>
      </c>
      <c r="BP15" s="106" t="str">
        <f>IFERROR(IF(BO15=0,"",ROUND((BO15/SUM(SETTINGS!$L$14:$L$17))*SETTINGS!$L$18,0)),"")</f>
        <v/>
      </c>
      <c r="BQ15" s="105">
        <v>32</v>
      </c>
      <c r="BR15" s="106" t="str">
        <f>IFERROR(IF(ISBLANK(BQ15),"",ROUND((BQ15/SETTINGS!$L$19)*SETTINGS!$L$20,0)),"")</f>
        <v/>
      </c>
      <c r="BS15" s="106" t="str">
        <f t="shared" si="28"/>
        <v/>
      </c>
      <c r="BT15" s="103" t="str">
        <f t="shared" si="29"/>
        <v/>
      </c>
      <c r="BU15" s="107" t="str">
        <f t="shared" si="30"/>
        <v/>
      </c>
      <c r="BV15" s="130"/>
      <c r="BW15" s="105">
        <v>10</v>
      </c>
      <c r="BX15" s="105">
        <v>9</v>
      </c>
      <c r="BY15" s="105">
        <v>11</v>
      </c>
      <c r="BZ15" s="105">
        <v>13</v>
      </c>
      <c r="CA15" s="97">
        <f t="shared" si="31"/>
        <v>43</v>
      </c>
      <c r="CB15" s="106" t="str">
        <f>IFERROR(IF(CA15=0,"",ROUND((CA15/SUM(SETTINGS!$L$14:$L$17))*SETTINGS!$L$18,0)),"")</f>
        <v/>
      </c>
      <c r="CC15" s="105">
        <v>31</v>
      </c>
      <c r="CD15" s="106" t="str">
        <f>IFERROR(IF(ISBLANK(CC15),"",ROUND((CC15/SETTINGS!$L$19)*SETTINGS!$L$20,0)),"")</f>
        <v/>
      </c>
      <c r="CE15" s="106" t="str">
        <f t="shared" si="32"/>
        <v/>
      </c>
      <c r="CF15" s="103" t="str">
        <f t="shared" si="33"/>
        <v/>
      </c>
      <c r="CG15" s="107" t="str">
        <f t="shared" si="34"/>
        <v/>
      </c>
      <c r="CH15" s="130"/>
      <c r="CI15" s="105">
        <v>10</v>
      </c>
      <c r="CJ15" s="105">
        <v>5</v>
      </c>
      <c r="CK15" s="105">
        <v>10</v>
      </c>
      <c r="CL15" s="105">
        <v>10</v>
      </c>
      <c r="CM15" s="97">
        <f t="shared" si="35"/>
        <v>35</v>
      </c>
      <c r="CN15" s="106" t="str">
        <f>IFERROR(IF(CM15=0,"",ROUND((CM15/SUM(SETTINGS!$L$14:$L$17))*SETTINGS!$L$18,0)),"")</f>
        <v/>
      </c>
      <c r="CO15" s="105">
        <v>19</v>
      </c>
      <c r="CP15" s="106" t="str">
        <f>IFERROR(IF(ISBLANK(CO15),"",ROUND((CO15/SETTINGS!$L$19)*SETTINGS!$L$20,0)),"")</f>
        <v/>
      </c>
      <c r="CQ15" s="106" t="str">
        <f t="shared" si="36"/>
        <v/>
      </c>
      <c r="CR15" s="103" t="str">
        <f t="shared" si="37"/>
        <v/>
      </c>
      <c r="CS15" s="107" t="str">
        <f t="shared" si="38"/>
        <v/>
      </c>
      <c r="CT15" s="130"/>
      <c r="CU15" s="105">
        <v>5</v>
      </c>
      <c r="CV15" s="105">
        <v>7</v>
      </c>
      <c r="CW15" s="105">
        <v>10</v>
      </c>
      <c r="CX15" s="105">
        <v>15</v>
      </c>
      <c r="CY15" s="97">
        <f t="shared" si="39"/>
        <v>37</v>
      </c>
      <c r="CZ15" s="106" t="str">
        <f>IFERROR(IF(CY15=0,"",ROUND((CY15/SUM(SETTINGS!$L$14:$L$17))*SETTINGS!$L$18,0)),"")</f>
        <v/>
      </c>
      <c r="DA15" s="105">
        <v>20</v>
      </c>
      <c r="DB15" s="106" t="str">
        <f>IFERROR(IF(ISBLANK(DA15),"",ROUND((DA15/SETTINGS!$L$19)*SETTINGS!$L$20,0)),"")</f>
        <v/>
      </c>
      <c r="DC15" s="106" t="str">
        <f t="shared" si="40"/>
        <v/>
      </c>
      <c r="DD15" s="103" t="str">
        <f t="shared" si="41"/>
        <v/>
      </c>
      <c r="DE15" s="107" t="str">
        <f t="shared" si="42"/>
        <v/>
      </c>
      <c r="DF15" s="103" t="str">
        <f t="shared" si="12"/>
        <v/>
      </c>
      <c r="DG15" s="103" t="str">
        <f>IFERROR(IF(AND(K15,W15,AI15,AU15,BG15,BS15,CE15,CQ15,DC15)="","",SUM(K15,W15,AI15,AU15,LARGE((BG15,BS15,CE15,CQ15,DC15),{1,2}))),"")</f>
        <v/>
      </c>
      <c r="DH15" s="103" t="str">
        <f>IFERROR(IF(AND(M15,Y15,AK15,AW15,,BI15,BU15,CG15,CS15,DE15)="","",SUM(M15,Y15,AK15,AW15,SMALL((BI15,BU15,CG15,CS15,DE15),{1,2}))),"")</f>
        <v/>
      </c>
      <c r="DI15" s="109" t="str">
        <f>IFERROR(pos&amp;IF(AND(MOD(ABS(18),100)&gt;10,MOD(ABS(pos),100)&lt;14),"th", CHOOSE(MOD(ABS(pos),10)+1,"th","st","nd","rd","th","th","th","th","th","th")),"")</f>
        <v/>
      </c>
      <c r="DJ15" s="62">
        <f>ROWS($B$12:$B15)</f>
        <v>4</v>
      </c>
      <c r="DK15" s="62" t="str">
        <f>IF($B15=REPORT_CARD!$M$12,$DJ15,"")</f>
        <v/>
      </c>
      <c r="DM15" s="65"/>
    </row>
    <row r="16" spans="1:1024" ht="19.5" customHeight="1">
      <c r="A16" s="140" t="str">
        <f>IFERROR(IF(ISBLANK(#REF!),"",#REF!),"")</f>
        <v/>
      </c>
      <c r="B16" s="140" t="str">
        <f>IFERROR(IF(ISBLANK(#REF!),"",#REF!),"")</f>
        <v/>
      </c>
      <c r="C16" s="105">
        <v>13</v>
      </c>
      <c r="D16" s="105">
        <v>4</v>
      </c>
      <c r="E16" s="105">
        <v>12</v>
      </c>
      <c r="F16" s="105">
        <v>10</v>
      </c>
      <c r="G16" s="97">
        <f t="shared" si="43"/>
        <v>39</v>
      </c>
      <c r="H16" s="106" t="str">
        <f>IFERROR(IF(G16=0,"",ROUND((G16/SUM(SETTINGS!$L$14:$L$17))*SETTINGS!$L$18,0)),"")</f>
        <v/>
      </c>
      <c r="I16" s="105">
        <v>47</v>
      </c>
      <c r="J16" s="106" t="str">
        <f>IFERROR(IF(ISBLANK(I16),"",ROUND((I16/SETTINGS!$L$19)*SETTINGS!$L$20,0)),"")</f>
        <v/>
      </c>
      <c r="K16" s="106" t="str">
        <f t="shared" si="13"/>
        <v/>
      </c>
      <c r="L16" s="103" t="str">
        <f t="shared" si="0"/>
        <v/>
      </c>
      <c r="M16" s="107" t="str">
        <f t="shared" si="14"/>
        <v/>
      </c>
      <c r="N16" s="136"/>
      <c r="O16" s="105">
        <v>5</v>
      </c>
      <c r="P16" s="105">
        <v>14</v>
      </c>
      <c r="Q16" s="105">
        <v>5</v>
      </c>
      <c r="R16" s="105">
        <v>12</v>
      </c>
      <c r="S16" s="97">
        <f t="shared" si="1"/>
        <v>36</v>
      </c>
      <c r="T16" s="106" t="str">
        <f>IFERROR(IF(S16=0,"",ROUND((S16/SUM(SETTINGS!$L$14:$L$17))*SETTINGS!$L$18,0)),"")</f>
        <v/>
      </c>
      <c r="U16" s="105">
        <v>56</v>
      </c>
      <c r="V16" s="106" t="str">
        <f>IFERROR(IF(ISBLANK(U16),"",ROUND((U16/SETTINGS!$L$19)*SETTINGS!$L$20,0)),"")</f>
        <v/>
      </c>
      <c r="W16" s="106" t="str">
        <f t="shared" si="2"/>
        <v/>
      </c>
      <c r="X16" s="103" t="str">
        <f t="shared" si="3"/>
        <v/>
      </c>
      <c r="Y16" s="107" t="str">
        <f t="shared" si="4"/>
        <v/>
      </c>
      <c r="Z16" s="130"/>
      <c r="AA16" s="105">
        <v>6</v>
      </c>
      <c r="AB16" s="105">
        <v>8</v>
      </c>
      <c r="AC16" s="105">
        <v>12</v>
      </c>
      <c r="AD16" s="105">
        <v>13</v>
      </c>
      <c r="AE16" s="97">
        <f t="shared" si="15"/>
        <v>39</v>
      </c>
      <c r="AF16" s="106" t="str">
        <f>IFERROR(IF(AE16=0,"",ROUND((AE16/SUM(SETTINGS!$L$14:$L$17))*SETTINGS!$L$18,0)),"")</f>
        <v/>
      </c>
      <c r="AG16" s="105">
        <v>69</v>
      </c>
      <c r="AH16" s="106" t="str">
        <f>IFERROR(IF(ISBLANK(AG16),"",ROUND((AG16/SETTINGS!$L$19)*SETTINGS!$L$20,0)),"")</f>
        <v/>
      </c>
      <c r="AI16" s="106" t="str">
        <f t="shared" si="16"/>
        <v/>
      </c>
      <c r="AJ16" s="103" t="str">
        <f t="shared" si="17"/>
        <v/>
      </c>
      <c r="AK16" s="108" t="str">
        <f t="shared" si="18"/>
        <v/>
      </c>
      <c r="AL16" s="130"/>
      <c r="AM16" s="105">
        <v>9</v>
      </c>
      <c r="AN16" s="105">
        <v>10</v>
      </c>
      <c r="AO16" s="105">
        <v>5</v>
      </c>
      <c r="AP16" s="105">
        <v>15</v>
      </c>
      <c r="AQ16" s="97">
        <f t="shared" si="19"/>
        <v>39</v>
      </c>
      <c r="AR16" s="106" t="str">
        <f>IFERROR(IF(AQ16=0,"",ROUND((AQ16/SUM(SETTINGS!$L$14:$L$17))*SETTINGS!$L$18,0)),"")</f>
        <v/>
      </c>
      <c r="AS16" s="105">
        <v>28</v>
      </c>
      <c r="AT16" s="106" t="str">
        <f>IFERROR(IF(ISBLANK(AS16),"",ROUND((AS16/SETTINGS!$L$19)*SETTINGS!$L$20,0)),"")</f>
        <v/>
      </c>
      <c r="AU16" s="106" t="str">
        <f t="shared" si="20"/>
        <v/>
      </c>
      <c r="AV16" s="103" t="str">
        <f t="shared" si="21"/>
        <v/>
      </c>
      <c r="AW16" s="107" t="str">
        <f t="shared" si="22"/>
        <v/>
      </c>
      <c r="AX16" s="130"/>
      <c r="AY16" s="105">
        <v>9</v>
      </c>
      <c r="AZ16" s="105">
        <v>11</v>
      </c>
      <c r="BA16" s="105">
        <v>8</v>
      </c>
      <c r="BB16" s="105">
        <v>12</v>
      </c>
      <c r="BC16" s="97">
        <f t="shared" si="23"/>
        <v>40</v>
      </c>
      <c r="BD16" s="106" t="str">
        <f>IFERROR(IF(BC16=0,"",ROUND((BC16/SUM(SETTINGS!$L$14:$L$17))*SETTINGS!$L$18,0)),"")</f>
        <v/>
      </c>
      <c r="BE16" s="105">
        <v>54</v>
      </c>
      <c r="BF16" s="106" t="str">
        <f>IFERROR(IF(ISBLANK(BE16),"",ROUND((BE16/SETTINGS!$L$19)*SETTINGS!$L$20,0)),"")</f>
        <v/>
      </c>
      <c r="BG16" s="106" t="str">
        <f t="shared" si="24"/>
        <v/>
      </c>
      <c r="BH16" s="103" t="str">
        <f t="shared" si="25"/>
        <v/>
      </c>
      <c r="BI16" s="108" t="str">
        <f t="shared" si="26"/>
        <v/>
      </c>
      <c r="BJ16" s="130"/>
      <c r="BK16" s="105">
        <v>14</v>
      </c>
      <c r="BL16" s="105">
        <v>15</v>
      </c>
      <c r="BM16" s="105">
        <v>4</v>
      </c>
      <c r="BN16" s="105">
        <v>15</v>
      </c>
      <c r="BO16" s="97">
        <f t="shared" si="27"/>
        <v>48</v>
      </c>
      <c r="BP16" s="106" t="str">
        <f>IFERROR(IF(BO16=0,"",ROUND((BO16/SUM(SETTINGS!$L$14:$L$17))*SETTINGS!$L$18,0)),"")</f>
        <v/>
      </c>
      <c r="BQ16" s="105">
        <v>45</v>
      </c>
      <c r="BR16" s="106" t="str">
        <f>IFERROR(IF(ISBLANK(BQ16),"",ROUND((BQ16/SETTINGS!$L$19)*SETTINGS!$L$20,0)),"")</f>
        <v/>
      </c>
      <c r="BS16" s="106" t="str">
        <f t="shared" si="28"/>
        <v/>
      </c>
      <c r="BT16" s="103" t="str">
        <f t="shared" si="29"/>
        <v/>
      </c>
      <c r="BU16" s="107" t="str">
        <f t="shared" si="30"/>
        <v/>
      </c>
      <c r="BV16" s="130"/>
      <c r="BW16" s="105">
        <v>15</v>
      </c>
      <c r="BX16" s="105">
        <v>4</v>
      </c>
      <c r="BY16" s="105">
        <v>11</v>
      </c>
      <c r="BZ16" s="105">
        <v>10</v>
      </c>
      <c r="CA16" s="97">
        <f t="shared" si="31"/>
        <v>40</v>
      </c>
      <c r="CB16" s="106" t="str">
        <f>IFERROR(IF(CA16=0,"",ROUND((CA16/SUM(SETTINGS!$L$14:$L$17))*SETTINGS!$L$18,0)),"")</f>
        <v/>
      </c>
      <c r="CC16" s="105">
        <v>68</v>
      </c>
      <c r="CD16" s="106" t="str">
        <f>IFERROR(IF(ISBLANK(CC16),"",ROUND((CC16/SETTINGS!$L$19)*SETTINGS!$L$20,0)),"")</f>
        <v/>
      </c>
      <c r="CE16" s="106" t="str">
        <f t="shared" si="32"/>
        <v/>
      </c>
      <c r="CF16" s="103" t="str">
        <f t="shared" si="33"/>
        <v/>
      </c>
      <c r="CG16" s="107" t="str">
        <f t="shared" si="34"/>
        <v/>
      </c>
      <c r="CH16" s="130"/>
      <c r="CI16" s="105">
        <v>13</v>
      </c>
      <c r="CJ16" s="105">
        <v>15</v>
      </c>
      <c r="CK16" s="105">
        <v>8</v>
      </c>
      <c r="CL16" s="105">
        <v>13</v>
      </c>
      <c r="CM16" s="97">
        <f t="shared" si="35"/>
        <v>49</v>
      </c>
      <c r="CN16" s="106" t="str">
        <f>IFERROR(IF(CM16=0,"",ROUND((CM16/SUM(SETTINGS!$L$14:$L$17))*SETTINGS!$L$18,0)),"")</f>
        <v/>
      </c>
      <c r="CO16" s="105">
        <v>32</v>
      </c>
      <c r="CP16" s="106" t="str">
        <f>IFERROR(IF(ISBLANK(CO16),"",ROUND((CO16/SETTINGS!$L$19)*SETTINGS!$L$20,0)),"")</f>
        <v/>
      </c>
      <c r="CQ16" s="106" t="str">
        <f t="shared" si="36"/>
        <v/>
      </c>
      <c r="CR16" s="103" t="str">
        <f t="shared" si="37"/>
        <v/>
      </c>
      <c r="CS16" s="107" t="str">
        <f t="shared" si="38"/>
        <v/>
      </c>
      <c r="CT16" s="130"/>
      <c r="CU16" s="105">
        <v>8</v>
      </c>
      <c r="CV16" s="105">
        <v>10</v>
      </c>
      <c r="CW16" s="105">
        <v>8</v>
      </c>
      <c r="CX16" s="105">
        <v>10</v>
      </c>
      <c r="CY16" s="97">
        <f t="shared" si="39"/>
        <v>36</v>
      </c>
      <c r="CZ16" s="106" t="str">
        <f>IFERROR(IF(CY16=0,"",ROUND((CY16/SUM(SETTINGS!$L$14:$L$17))*SETTINGS!$L$18,0)),"")</f>
        <v/>
      </c>
      <c r="DA16" s="105">
        <v>27</v>
      </c>
      <c r="DB16" s="106" t="str">
        <f>IFERROR(IF(ISBLANK(DA16),"",ROUND((DA16/SETTINGS!$L$19)*SETTINGS!$L$20,0)),"")</f>
        <v/>
      </c>
      <c r="DC16" s="106" t="str">
        <f t="shared" si="40"/>
        <v/>
      </c>
      <c r="DD16" s="103" t="str">
        <f t="shared" si="41"/>
        <v/>
      </c>
      <c r="DE16" s="107" t="str">
        <f t="shared" si="42"/>
        <v/>
      </c>
      <c r="DF16" s="103" t="str">
        <f t="shared" si="12"/>
        <v/>
      </c>
      <c r="DG16" s="103" t="str">
        <f>IFERROR(IF(AND(K16,W16,AI16,AU16,BG16,BS16,CE16,CQ16,DC16)="","",SUM(K16,W16,AI16,AU16,LARGE((BG16,BS16,CE16,CQ16,DC16),{1,2}))),"")</f>
        <v/>
      </c>
      <c r="DH16" s="103" t="str">
        <f>IFERROR(IF(AND(M16,Y16,AK16,AW16,,BI16,BU16,CG16,CS16,DE16)="","",SUM(M16,Y16,AK16,AW16,SMALL((BI16,BU16,CG16,CS16,DE16),{1,2}))),"")</f>
        <v/>
      </c>
      <c r="DI16" s="109" t="str">
        <f>IFERROR(pos&amp;IF(AND(MOD(ABS(18),100)&gt;10,MOD(ABS(pos),100)&lt;14),"th", CHOOSE(MOD(ABS(pos),10)+1,"th","st","nd","rd","th","th","th","th","th","th")),"")</f>
        <v/>
      </c>
      <c r="DJ16" s="62">
        <f>ROWS($B$12:$B16)</f>
        <v>5</v>
      </c>
      <c r="DK16" s="62" t="str">
        <f>IF($B16=REPORT_CARD!$M$12,$DJ16,"")</f>
        <v/>
      </c>
      <c r="DM16" s="65"/>
    </row>
    <row r="17" spans="1:117" ht="19.5" customHeight="1">
      <c r="A17" s="140" t="str">
        <f>IFERROR(IF(ISBLANK(#REF!),"",#REF!),"")</f>
        <v/>
      </c>
      <c r="B17" s="140" t="str">
        <f>IFERROR(IF(ISBLANK(#REF!),"",#REF!),"")</f>
        <v/>
      </c>
      <c r="C17" s="105">
        <v>14</v>
      </c>
      <c r="D17" s="105">
        <v>12</v>
      </c>
      <c r="E17" s="105">
        <v>14</v>
      </c>
      <c r="F17" s="105">
        <v>9</v>
      </c>
      <c r="G17" s="97">
        <f t="shared" si="43"/>
        <v>49</v>
      </c>
      <c r="H17" s="106" t="str">
        <f>IFERROR(IF(G17=0,"",ROUND((G17/SUM(SETTINGS!$L$14:$L$17))*SETTINGS!$L$18,0)),"")</f>
        <v/>
      </c>
      <c r="I17" s="105">
        <v>21</v>
      </c>
      <c r="J17" s="106" t="str">
        <f>IFERROR(IF(ISBLANK(I17),"",ROUND((I17/SETTINGS!$L$19)*SETTINGS!$L$20,0)),"")</f>
        <v/>
      </c>
      <c r="K17" s="106" t="str">
        <f t="shared" si="13"/>
        <v/>
      </c>
      <c r="L17" s="103" t="str">
        <f t="shared" si="0"/>
        <v/>
      </c>
      <c r="M17" s="107" t="str">
        <f t="shared" si="14"/>
        <v/>
      </c>
      <c r="N17" s="136"/>
      <c r="O17" s="105">
        <v>7</v>
      </c>
      <c r="P17" s="105">
        <v>12</v>
      </c>
      <c r="Q17" s="105">
        <v>7</v>
      </c>
      <c r="R17" s="105">
        <v>10</v>
      </c>
      <c r="S17" s="97">
        <f t="shared" si="1"/>
        <v>36</v>
      </c>
      <c r="T17" s="106" t="str">
        <f>IFERROR(IF(S17=0,"",ROUND((S17/SUM(SETTINGS!$L$14:$L$17))*SETTINGS!$L$18,0)),"")</f>
        <v/>
      </c>
      <c r="U17" s="105">
        <v>8</v>
      </c>
      <c r="V17" s="106" t="str">
        <f>IFERROR(IF(ISBLANK(U17),"",ROUND((U17/SETTINGS!$L$19)*SETTINGS!$L$20,0)),"")</f>
        <v/>
      </c>
      <c r="W17" s="106" t="str">
        <f t="shared" si="2"/>
        <v/>
      </c>
      <c r="X17" s="103" t="str">
        <f t="shared" si="3"/>
        <v/>
      </c>
      <c r="Y17" s="107" t="str">
        <f t="shared" si="4"/>
        <v/>
      </c>
      <c r="Z17" s="130"/>
      <c r="AA17" s="105">
        <v>6</v>
      </c>
      <c r="AB17" s="105">
        <v>10</v>
      </c>
      <c r="AC17" s="105">
        <v>9</v>
      </c>
      <c r="AD17" s="105">
        <v>9</v>
      </c>
      <c r="AE17" s="97">
        <f t="shared" si="15"/>
        <v>34</v>
      </c>
      <c r="AF17" s="106" t="str">
        <f>IFERROR(IF(AE17=0,"",ROUND((AE17/SUM(SETTINGS!$L$14:$L$17))*SETTINGS!$L$18,0)),"")</f>
        <v/>
      </c>
      <c r="AG17" s="105">
        <v>21</v>
      </c>
      <c r="AH17" s="106" t="str">
        <f>IFERROR(IF(ISBLANK(AG17),"",ROUND((AG17/SETTINGS!$L$19)*SETTINGS!$L$20,0)),"")</f>
        <v/>
      </c>
      <c r="AI17" s="106" t="str">
        <f t="shared" si="16"/>
        <v/>
      </c>
      <c r="AJ17" s="103" t="str">
        <f t="shared" si="17"/>
        <v/>
      </c>
      <c r="AK17" s="108" t="str">
        <f t="shared" si="18"/>
        <v/>
      </c>
      <c r="AL17" s="130"/>
      <c r="AM17" s="105">
        <v>6</v>
      </c>
      <c r="AN17" s="105">
        <v>11</v>
      </c>
      <c r="AO17" s="105">
        <v>12</v>
      </c>
      <c r="AP17" s="105">
        <v>15</v>
      </c>
      <c r="AQ17" s="97">
        <f t="shared" si="19"/>
        <v>44</v>
      </c>
      <c r="AR17" s="106" t="str">
        <f>IFERROR(IF(AQ17=0,"",ROUND((AQ17/SUM(SETTINGS!$L$14:$L$17))*SETTINGS!$L$18,0)),"")</f>
        <v/>
      </c>
      <c r="AS17" s="105">
        <v>34</v>
      </c>
      <c r="AT17" s="106" t="str">
        <f>IFERROR(IF(ISBLANK(AS17),"",ROUND((AS17/SETTINGS!$L$19)*SETTINGS!$L$20,0)),"")</f>
        <v/>
      </c>
      <c r="AU17" s="106" t="str">
        <f t="shared" si="20"/>
        <v/>
      </c>
      <c r="AV17" s="103" t="str">
        <f t="shared" si="21"/>
        <v/>
      </c>
      <c r="AW17" s="107" t="str">
        <f t="shared" si="22"/>
        <v/>
      </c>
      <c r="AX17" s="130"/>
      <c r="AY17" s="105">
        <v>12</v>
      </c>
      <c r="AZ17" s="105">
        <v>15</v>
      </c>
      <c r="BA17" s="105">
        <v>12</v>
      </c>
      <c r="BB17" s="105">
        <v>7</v>
      </c>
      <c r="BC17" s="97">
        <f t="shared" si="23"/>
        <v>46</v>
      </c>
      <c r="BD17" s="106" t="str">
        <f>IFERROR(IF(BC17=0,"",ROUND((BC17/SUM(SETTINGS!$L$14:$L$17))*SETTINGS!$L$18,0)),"")</f>
        <v/>
      </c>
      <c r="BE17" s="105">
        <v>31</v>
      </c>
      <c r="BF17" s="106" t="str">
        <f>IFERROR(IF(ISBLANK(BE17),"",ROUND((BE17/SETTINGS!$L$19)*SETTINGS!$L$20,0)),"")</f>
        <v/>
      </c>
      <c r="BG17" s="106" t="str">
        <f t="shared" si="24"/>
        <v/>
      </c>
      <c r="BH17" s="103" t="str">
        <f t="shared" si="25"/>
        <v/>
      </c>
      <c r="BI17" s="108" t="str">
        <f t="shared" si="26"/>
        <v/>
      </c>
      <c r="BJ17" s="130"/>
      <c r="BK17" s="105">
        <v>9</v>
      </c>
      <c r="BL17" s="105">
        <v>3</v>
      </c>
      <c r="BM17" s="105">
        <v>10</v>
      </c>
      <c r="BN17" s="105">
        <v>15</v>
      </c>
      <c r="BO17" s="97">
        <f t="shared" si="27"/>
        <v>37</v>
      </c>
      <c r="BP17" s="106" t="str">
        <f>IFERROR(IF(BO17=0,"",ROUND((BO17/SUM(SETTINGS!$L$14:$L$17))*SETTINGS!$L$18,0)),"")</f>
        <v/>
      </c>
      <c r="BQ17" s="105">
        <v>24</v>
      </c>
      <c r="BR17" s="106" t="str">
        <f>IFERROR(IF(ISBLANK(BQ17),"",ROUND((BQ17/SETTINGS!$L$19)*SETTINGS!$L$20,0)),"")</f>
        <v/>
      </c>
      <c r="BS17" s="106" t="str">
        <f t="shared" si="28"/>
        <v/>
      </c>
      <c r="BT17" s="103" t="str">
        <f t="shared" si="29"/>
        <v/>
      </c>
      <c r="BU17" s="107" t="str">
        <f t="shared" si="30"/>
        <v/>
      </c>
      <c r="BV17" s="130"/>
      <c r="BW17" s="105">
        <v>12</v>
      </c>
      <c r="BX17" s="105">
        <v>12</v>
      </c>
      <c r="BY17" s="105">
        <v>3</v>
      </c>
      <c r="BZ17" s="105">
        <v>4</v>
      </c>
      <c r="CA17" s="97">
        <f t="shared" si="31"/>
        <v>31</v>
      </c>
      <c r="CB17" s="106" t="str">
        <f>IFERROR(IF(CA17=0,"",ROUND((CA17/SUM(SETTINGS!$L$14:$L$17))*SETTINGS!$L$18,0)),"")</f>
        <v/>
      </c>
      <c r="CC17" s="105">
        <v>24</v>
      </c>
      <c r="CD17" s="106" t="str">
        <f>IFERROR(IF(ISBLANK(CC17),"",ROUND((CC17/SETTINGS!$L$19)*SETTINGS!$L$20,0)),"")</f>
        <v/>
      </c>
      <c r="CE17" s="106" t="str">
        <f t="shared" si="32"/>
        <v/>
      </c>
      <c r="CF17" s="103" t="str">
        <f t="shared" si="33"/>
        <v/>
      </c>
      <c r="CG17" s="107" t="str">
        <f t="shared" si="34"/>
        <v/>
      </c>
      <c r="CH17" s="130"/>
      <c r="CI17" s="105">
        <v>11</v>
      </c>
      <c r="CJ17" s="105">
        <v>13</v>
      </c>
      <c r="CK17" s="105">
        <v>5</v>
      </c>
      <c r="CL17" s="105">
        <v>12</v>
      </c>
      <c r="CM17" s="97">
        <f t="shared" si="35"/>
        <v>41</v>
      </c>
      <c r="CN17" s="106" t="str">
        <f>IFERROR(IF(CM17=0,"",ROUND((CM17/SUM(SETTINGS!$L$14:$L$17))*SETTINGS!$L$18,0)),"")</f>
        <v/>
      </c>
      <c r="CO17" s="105">
        <v>18</v>
      </c>
      <c r="CP17" s="106" t="str">
        <f>IFERROR(IF(ISBLANK(CO17),"",ROUND((CO17/SETTINGS!$L$19)*SETTINGS!$L$20,0)),"")</f>
        <v/>
      </c>
      <c r="CQ17" s="106" t="str">
        <f t="shared" si="36"/>
        <v/>
      </c>
      <c r="CR17" s="103" t="str">
        <f t="shared" si="37"/>
        <v/>
      </c>
      <c r="CS17" s="107" t="str">
        <f t="shared" si="38"/>
        <v/>
      </c>
      <c r="CT17" s="130"/>
      <c r="CU17" s="105">
        <v>5</v>
      </c>
      <c r="CV17" s="105">
        <v>11</v>
      </c>
      <c r="CW17" s="105">
        <v>6</v>
      </c>
      <c r="CX17" s="105">
        <v>6</v>
      </c>
      <c r="CY17" s="97">
        <f t="shared" si="39"/>
        <v>28</v>
      </c>
      <c r="CZ17" s="106" t="str">
        <f>IFERROR(IF(CY17=0,"",ROUND((CY17/SUM(SETTINGS!$L$14:$L$17))*SETTINGS!$L$18,0)),"")</f>
        <v/>
      </c>
      <c r="DA17" s="105">
        <v>23</v>
      </c>
      <c r="DB17" s="106" t="str">
        <f>IFERROR(IF(ISBLANK(DA17),"",ROUND((DA17/SETTINGS!$L$19)*SETTINGS!$L$20,0)),"")</f>
        <v/>
      </c>
      <c r="DC17" s="106" t="str">
        <f t="shared" si="40"/>
        <v/>
      </c>
      <c r="DD17" s="103" t="str">
        <f t="shared" si="41"/>
        <v/>
      </c>
      <c r="DE17" s="107" t="str">
        <f t="shared" si="42"/>
        <v/>
      </c>
      <c r="DF17" s="103" t="str">
        <f t="shared" si="12"/>
        <v/>
      </c>
      <c r="DG17" s="103" t="str">
        <f>IFERROR(IF(AND(K17,W17,AI17,AU17,BG17,BS17,CE17,CQ17,DC17)="","",SUM(K17,W17,AI17,AU17,LARGE((BG17,BS17,CE17,CQ17,DC17),{1,2}))),"")</f>
        <v/>
      </c>
      <c r="DH17" s="103" t="str">
        <f>IFERROR(IF(AND(M17,Y17,AK17,AW17,,BI17,BU17,CG17,CS17,DE17)="","",SUM(M17,Y17,AK17,AW17,SMALL((BI17,BU17,CG17,CS17,DE17),{1,2}))),"")</f>
        <v/>
      </c>
      <c r="DI17" s="109" t="str">
        <f>IFERROR(pos&amp;IF(AND(MOD(ABS(18),100)&gt;10,MOD(ABS(pos),100)&lt;14),"th", CHOOSE(MOD(ABS(pos),10)+1,"th","st","nd","rd","th","th","th","th","th","th")),"")</f>
        <v/>
      </c>
      <c r="DJ17" s="62">
        <f>ROWS($B$12:$B17)</f>
        <v>6</v>
      </c>
      <c r="DK17" s="62" t="str">
        <f>IF($B17=REPORT_CARD!$M$12,$DJ17,"")</f>
        <v/>
      </c>
      <c r="DM17" s="65"/>
    </row>
    <row r="18" spans="1:117" ht="19.5" customHeight="1">
      <c r="A18" s="140" t="str">
        <f>IFERROR(IF(ISBLANK(#REF!),"",#REF!),"")</f>
        <v/>
      </c>
      <c r="B18" s="140" t="str">
        <f>IFERROR(IF(ISBLANK(#REF!),"",#REF!),"")</f>
        <v/>
      </c>
      <c r="C18" s="105">
        <v>14</v>
      </c>
      <c r="D18" s="105">
        <v>15</v>
      </c>
      <c r="E18" s="105">
        <v>14</v>
      </c>
      <c r="F18" s="105">
        <v>10</v>
      </c>
      <c r="G18" s="97">
        <f t="shared" si="43"/>
        <v>53</v>
      </c>
      <c r="H18" s="106" t="str">
        <f>IFERROR(IF(G18=0,"",ROUND((G18/SUM(SETTINGS!$L$14:$L$17))*SETTINGS!$L$18,0)),"")</f>
        <v/>
      </c>
      <c r="I18" s="105">
        <v>50</v>
      </c>
      <c r="J18" s="106" t="str">
        <f>IFERROR(IF(ISBLANK(I18),"",ROUND((I18/SETTINGS!$L$19)*SETTINGS!$L$20,0)),"")</f>
        <v/>
      </c>
      <c r="K18" s="106" t="str">
        <f t="shared" si="13"/>
        <v/>
      </c>
      <c r="L18" s="103" t="str">
        <f t="shared" si="0"/>
        <v/>
      </c>
      <c r="M18" s="107" t="str">
        <f t="shared" si="14"/>
        <v/>
      </c>
      <c r="N18" s="136"/>
      <c r="O18" s="105">
        <v>13</v>
      </c>
      <c r="P18" s="105">
        <v>13</v>
      </c>
      <c r="Q18" s="105">
        <v>12</v>
      </c>
      <c r="R18" s="105">
        <v>12</v>
      </c>
      <c r="S18" s="97">
        <f t="shared" si="1"/>
        <v>50</v>
      </c>
      <c r="T18" s="106" t="str">
        <f>IFERROR(IF(S18=0,"",ROUND((S18/SUM(SETTINGS!$L$14:$L$17))*SETTINGS!$L$18,0)),"")</f>
        <v/>
      </c>
      <c r="U18" s="105">
        <v>53</v>
      </c>
      <c r="V18" s="106" t="str">
        <f>IFERROR(IF(ISBLANK(U18),"",ROUND((U18/SETTINGS!$L$19)*SETTINGS!$L$20,0)),"")</f>
        <v/>
      </c>
      <c r="W18" s="106" t="str">
        <f t="shared" si="2"/>
        <v/>
      </c>
      <c r="X18" s="103" t="str">
        <f t="shared" si="3"/>
        <v/>
      </c>
      <c r="Y18" s="107" t="str">
        <f t="shared" si="4"/>
        <v/>
      </c>
      <c r="Z18" s="130"/>
      <c r="AA18" s="105">
        <v>9</v>
      </c>
      <c r="AB18" s="105">
        <v>10</v>
      </c>
      <c r="AC18" s="105">
        <v>12</v>
      </c>
      <c r="AD18" s="105">
        <v>14</v>
      </c>
      <c r="AE18" s="97">
        <f t="shared" si="15"/>
        <v>45</v>
      </c>
      <c r="AF18" s="106" t="str">
        <f>IFERROR(IF(AE18=0,"",ROUND((AE18/SUM(SETTINGS!$L$14:$L$17))*SETTINGS!$L$18,0)),"")</f>
        <v/>
      </c>
      <c r="AG18" s="105">
        <v>63</v>
      </c>
      <c r="AH18" s="106" t="str">
        <f>IFERROR(IF(ISBLANK(AG18),"",ROUND((AG18/SETTINGS!$L$19)*SETTINGS!$L$20,0)),"")</f>
        <v/>
      </c>
      <c r="AI18" s="106" t="str">
        <f t="shared" si="16"/>
        <v/>
      </c>
      <c r="AJ18" s="103" t="str">
        <f t="shared" si="17"/>
        <v/>
      </c>
      <c r="AK18" s="108" t="str">
        <f t="shared" si="18"/>
        <v/>
      </c>
      <c r="AL18" s="130"/>
      <c r="AM18" s="105">
        <v>10</v>
      </c>
      <c r="AN18" s="105">
        <v>10</v>
      </c>
      <c r="AO18" s="105">
        <v>12</v>
      </c>
      <c r="AP18" s="105">
        <v>14</v>
      </c>
      <c r="AQ18" s="97">
        <f t="shared" si="19"/>
        <v>46</v>
      </c>
      <c r="AR18" s="106" t="str">
        <f>IFERROR(IF(AQ18=0,"",ROUND((AQ18/SUM(SETTINGS!$L$14:$L$17))*SETTINGS!$L$18,0)),"")</f>
        <v/>
      </c>
      <c r="AS18" s="105">
        <v>47</v>
      </c>
      <c r="AT18" s="106" t="str">
        <f>IFERROR(IF(ISBLANK(AS18),"",ROUND((AS18/SETTINGS!$L$19)*SETTINGS!$L$20,0)),"")</f>
        <v/>
      </c>
      <c r="AU18" s="106" t="str">
        <f t="shared" si="20"/>
        <v/>
      </c>
      <c r="AV18" s="103" t="str">
        <f t="shared" si="21"/>
        <v/>
      </c>
      <c r="AW18" s="107" t="str">
        <f t="shared" si="22"/>
        <v/>
      </c>
      <c r="AX18" s="130"/>
      <c r="AY18" s="105">
        <v>12</v>
      </c>
      <c r="AZ18" s="105">
        <v>8</v>
      </c>
      <c r="BA18" s="105">
        <v>11</v>
      </c>
      <c r="BB18" s="105">
        <v>10</v>
      </c>
      <c r="BC18" s="97">
        <f t="shared" si="23"/>
        <v>41</v>
      </c>
      <c r="BD18" s="106" t="str">
        <f>IFERROR(IF(BC18=0,"",ROUND((BC18/SUM(SETTINGS!$L$14:$L$17))*SETTINGS!$L$18,0)),"")</f>
        <v/>
      </c>
      <c r="BE18" s="105">
        <v>80</v>
      </c>
      <c r="BF18" s="106" t="str">
        <f>IFERROR(IF(ISBLANK(BE18),"",ROUND((BE18/SETTINGS!$L$19)*SETTINGS!$L$20,0)),"")</f>
        <v/>
      </c>
      <c r="BG18" s="106" t="str">
        <f t="shared" si="24"/>
        <v/>
      </c>
      <c r="BH18" s="103" t="str">
        <f t="shared" si="25"/>
        <v/>
      </c>
      <c r="BI18" s="108" t="str">
        <f t="shared" si="26"/>
        <v/>
      </c>
      <c r="BJ18" s="130"/>
      <c r="BK18" s="105">
        <v>11</v>
      </c>
      <c r="BL18" s="105">
        <v>13</v>
      </c>
      <c r="BM18" s="105">
        <v>2</v>
      </c>
      <c r="BN18" s="105">
        <v>15</v>
      </c>
      <c r="BO18" s="97">
        <f t="shared" si="27"/>
        <v>41</v>
      </c>
      <c r="BP18" s="106" t="str">
        <f>IFERROR(IF(BO18=0,"",ROUND((BO18/SUM(SETTINGS!$L$14:$L$17))*SETTINGS!$L$18,0)),"")</f>
        <v/>
      </c>
      <c r="BQ18" s="105">
        <v>81</v>
      </c>
      <c r="BR18" s="106" t="str">
        <f>IFERROR(IF(ISBLANK(BQ18),"",ROUND((BQ18/SETTINGS!$L$19)*SETTINGS!$L$20,0)),"")</f>
        <v/>
      </c>
      <c r="BS18" s="106" t="str">
        <f t="shared" si="28"/>
        <v/>
      </c>
      <c r="BT18" s="103" t="str">
        <f t="shared" si="29"/>
        <v/>
      </c>
      <c r="BU18" s="107" t="str">
        <f t="shared" si="30"/>
        <v/>
      </c>
      <c r="BV18" s="130"/>
      <c r="BW18" s="105">
        <v>14</v>
      </c>
      <c r="BX18" s="105">
        <v>12</v>
      </c>
      <c r="BY18" s="105">
        <v>15</v>
      </c>
      <c r="BZ18" s="105">
        <v>15</v>
      </c>
      <c r="CA18" s="97">
        <f t="shared" si="31"/>
        <v>56</v>
      </c>
      <c r="CB18" s="106" t="str">
        <f>IFERROR(IF(CA18=0,"",ROUND((CA18/SUM(SETTINGS!$L$14:$L$17))*SETTINGS!$L$18,0)),"")</f>
        <v/>
      </c>
      <c r="CC18" s="105">
        <v>68</v>
      </c>
      <c r="CD18" s="106" t="str">
        <f>IFERROR(IF(ISBLANK(CC18),"",ROUND((CC18/SETTINGS!$L$19)*SETTINGS!$L$20,0)),"")</f>
        <v/>
      </c>
      <c r="CE18" s="106" t="str">
        <f t="shared" si="32"/>
        <v/>
      </c>
      <c r="CF18" s="103" t="str">
        <f t="shared" si="33"/>
        <v/>
      </c>
      <c r="CG18" s="107" t="str">
        <f t="shared" si="34"/>
        <v/>
      </c>
      <c r="CH18" s="130"/>
      <c r="CI18" s="105">
        <v>14</v>
      </c>
      <c r="CJ18" s="105">
        <v>13</v>
      </c>
      <c r="CK18" s="105">
        <v>14</v>
      </c>
      <c r="CL18" s="105">
        <v>15</v>
      </c>
      <c r="CM18" s="97">
        <f t="shared" si="35"/>
        <v>56</v>
      </c>
      <c r="CN18" s="106" t="str">
        <f>IFERROR(IF(CM18=0,"",ROUND((CM18/SUM(SETTINGS!$L$14:$L$17))*SETTINGS!$L$18,0)),"")</f>
        <v/>
      </c>
      <c r="CO18" s="105">
        <v>63</v>
      </c>
      <c r="CP18" s="106" t="str">
        <f>IFERROR(IF(ISBLANK(CO18),"",ROUND((CO18/SETTINGS!$L$19)*SETTINGS!$L$20,0)),"")</f>
        <v/>
      </c>
      <c r="CQ18" s="106" t="str">
        <f t="shared" si="36"/>
        <v/>
      </c>
      <c r="CR18" s="103" t="str">
        <f t="shared" si="37"/>
        <v/>
      </c>
      <c r="CS18" s="107" t="str">
        <f t="shared" si="38"/>
        <v/>
      </c>
      <c r="CT18" s="130"/>
      <c r="CU18" s="105">
        <v>9</v>
      </c>
      <c r="CV18" s="105">
        <v>10</v>
      </c>
      <c r="CW18" s="105">
        <v>10</v>
      </c>
      <c r="CX18" s="105">
        <v>6</v>
      </c>
      <c r="CY18" s="97">
        <f t="shared" si="39"/>
        <v>35</v>
      </c>
      <c r="CZ18" s="106" t="str">
        <f>IFERROR(IF(CY18=0,"",ROUND((CY18/SUM(SETTINGS!$L$14:$L$17))*SETTINGS!$L$18,0)),"")</f>
        <v/>
      </c>
      <c r="DA18" s="105">
        <v>66</v>
      </c>
      <c r="DB18" s="106" t="str">
        <f>IFERROR(IF(ISBLANK(DA18),"",ROUND((DA18/SETTINGS!$L$19)*SETTINGS!$L$20,0)),"")</f>
        <v/>
      </c>
      <c r="DC18" s="106" t="str">
        <f t="shared" si="40"/>
        <v/>
      </c>
      <c r="DD18" s="103" t="str">
        <f t="shared" si="41"/>
        <v/>
      </c>
      <c r="DE18" s="107" t="str">
        <f t="shared" si="42"/>
        <v/>
      </c>
      <c r="DF18" s="103" t="str">
        <f t="shared" si="12"/>
        <v/>
      </c>
      <c r="DG18" s="103" t="str">
        <f>IFERROR(IF(AND(K18,W18,AI18,AU18,BG18,BS18,CE18,CQ18,DC18)="","",SUM(K18,W18,AI18,AU18,LARGE((BG18,BS18,CE18,CQ18,DC18),{1,2}))),"")</f>
        <v/>
      </c>
      <c r="DH18" s="103" t="str">
        <f>IFERROR(IF(AND(M18,Y18,AK18,AW18,,BI18,BU18,CG18,CS18,DE18)="","",SUM(M18,Y18,AK18,AW18,SMALL((BI18,BU18,CG18,CS18,DE18),{1,2}))),"")</f>
        <v/>
      </c>
      <c r="DI18" s="109" t="str">
        <f>IFERROR(pos&amp;IF(AND(MOD(ABS(18),100)&gt;10,MOD(ABS(pos),100)&lt;14),"th", CHOOSE(MOD(ABS(pos),10)+1,"th","st","nd","rd","th","th","th","th","th","th")),"")</f>
        <v/>
      </c>
      <c r="DJ18" s="62">
        <f>ROWS($B$12:$B18)</f>
        <v>7</v>
      </c>
      <c r="DK18" s="62" t="str">
        <f>IF($B18=REPORT_CARD!$M$12,$DJ18,"")</f>
        <v/>
      </c>
      <c r="DM18" s="65"/>
    </row>
    <row r="19" spans="1:117" ht="19.5" customHeight="1">
      <c r="A19" s="140" t="str">
        <f>IFERROR(IF(ISBLANK(#REF!),"",#REF!),"")</f>
        <v/>
      </c>
      <c r="B19" s="140" t="str">
        <f>IFERROR(IF(ISBLANK(#REF!),"",#REF!),"")</f>
        <v/>
      </c>
      <c r="C19" s="105">
        <v>12</v>
      </c>
      <c r="D19" s="105">
        <v>15</v>
      </c>
      <c r="E19" s="105">
        <v>9</v>
      </c>
      <c r="F19" s="105">
        <v>5</v>
      </c>
      <c r="G19" s="97">
        <f t="shared" si="43"/>
        <v>41</v>
      </c>
      <c r="H19" s="106" t="str">
        <f>IFERROR(IF(G19=0,"",ROUND((G19/SUM(SETTINGS!$L$14:$L$17))*SETTINGS!$L$18,0)),"")</f>
        <v/>
      </c>
      <c r="I19" s="105">
        <v>51</v>
      </c>
      <c r="J19" s="106" t="str">
        <f>IFERROR(IF(ISBLANK(I19),"",ROUND((I19/SETTINGS!$L$19)*SETTINGS!$L$20,0)),"")</f>
        <v/>
      </c>
      <c r="K19" s="106" t="str">
        <f t="shared" si="13"/>
        <v/>
      </c>
      <c r="L19" s="103" t="str">
        <f t="shared" si="0"/>
        <v/>
      </c>
      <c r="M19" s="107" t="str">
        <f t="shared" si="14"/>
        <v/>
      </c>
      <c r="N19" s="136"/>
      <c r="O19" s="105">
        <v>5</v>
      </c>
      <c r="P19" s="105">
        <v>13</v>
      </c>
      <c r="Q19" s="105">
        <v>5</v>
      </c>
      <c r="R19" s="105">
        <v>11</v>
      </c>
      <c r="S19" s="97">
        <f t="shared" si="1"/>
        <v>34</v>
      </c>
      <c r="T19" s="106" t="str">
        <f>IFERROR(IF(S19=0,"",ROUND((S19/SUM(SETTINGS!$L$14:$L$17))*SETTINGS!$L$18,0)),"")</f>
        <v/>
      </c>
      <c r="U19" s="105">
        <v>35</v>
      </c>
      <c r="V19" s="106" t="str">
        <f>IFERROR(IF(ISBLANK(U19),"",ROUND((U19/SETTINGS!$L$19)*SETTINGS!$L$20,0)),"")</f>
        <v/>
      </c>
      <c r="W19" s="106" t="str">
        <f t="shared" si="2"/>
        <v/>
      </c>
      <c r="X19" s="103" t="str">
        <f t="shared" si="3"/>
        <v/>
      </c>
      <c r="Y19" s="107" t="str">
        <f t="shared" si="4"/>
        <v/>
      </c>
      <c r="Z19" s="130"/>
      <c r="AA19" s="105">
        <v>15</v>
      </c>
      <c r="AB19" s="105">
        <v>10</v>
      </c>
      <c r="AC19" s="105">
        <v>10</v>
      </c>
      <c r="AD19" s="105">
        <v>12</v>
      </c>
      <c r="AE19" s="97">
        <f t="shared" si="15"/>
        <v>47</v>
      </c>
      <c r="AF19" s="106" t="str">
        <f>IFERROR(IF(AE19=0,"",ROUND((AE19/SUM(SETTINGS!$L$14:$L$17))*SETTINGS!$L$18,0)),"")</f>
        <v/>
      </c>
      <c r="AG19" s="105">
        <v>39</v>
      </c>
      <c r="AH19" s="106" t="str">
        <f>IFERROR(IF(ISBLANK(AG19),"",ROUND((AG19/SETTINGS!$L$19)*SETTINGS!$L$20,0)),"")</f>
        <v/>
      </c>
      <c r="AI19" s="106" t="str">
        <f t="shared" si="16"/>
        <v/>
      </c>
      <c r="AJ19" s="103" t="str">
        <f t="shared" si="17"/>
        <v/>
      </c>
      <c r="AK19" s="108" t="str">
        <f t="shared" si="18"/>
        <v/>
      </c>
      <c r="AL19" s="130"/>
      <c r="AM19" s="105">
        <v>12</v>
      </c>
      <c r="AN19" s="105">
        <v>10</v>
      </c>
      <c r="AO19" s="105">
        <v>9</v>
      </c>
      <c r="AP19" s="105">
        <v>14</v>
      </c>
      <c r="AQ19" s="97">
        <f t="shared" si="19"/>
        <v>45</v>
      </c>
      <c r="AR19" s="106" t="str">
        <f>IFERROR(IF(AQ19=0,"",ROUND((AQ19/SUM(SETTINGS!$L$14:$L$17))*SETTINGS!$L$18,0)),"")</f>
        <v/>
      </c>
      <c r="AS19" s="105">
        <v>26</v>
      </c>
      <c r="AT19" s="106" t="str">
        <f>IFERROR(IF(ISBLANK(AS19),"",ROUND((AS19/SETTINGS!$L$19)*SETTINGS!$L$20,0)),"")</f>
        <v/>
      </c>
      <c r="AU19" s="106" t="str">
        <f t="shared" si="20"/>
        <v/>
      </c>
      <c r="AV19" s="103" t="str">
        <f t="shared" si="21"/>
        <v/>
      </c>
      <c r="AW19" s="107" t="str">
        <f t="shared" si="22"/>
        <v/>
      </c>
      <c r="AX19" s="130"/>
      <c r="AY19" s="105">
        <v>11</v>
      </c>
      <c r="AZ19" s="105">
        <v>10</v>
      </c>
      <c r="BA19" s="105">
        <v>8</v>
      </c>
      <c r="BB19" s="105">
        <v>12</v>
      </c>
      <c r="BC19" s="97">
        <f t="shared" si="23"/>
        <v>41</v>
      </c>
      <c r="BD19" s="106" t="str">
        <f>IFERROR(IF(BC19=0,"",ROUND((BC19/SUM(SETTINGS!$L$14:$L$17))*SETTINGS!$L$18,0)),"")</f>
        <v/>
      </c>
      <c r="BE19" s="105">
        <v>57</v>
      </c>
      <c r="BF19" s="106" t="str">
        <f>IFERROR(IF(ISBLANK(BE19),"",ROUND((BE19/SETTINGS!$L$19)*SETTINGS!$L$20,0)),"")</f>
        <v/>
      </c>
      <c r="BG19" s="106" t="str">
        <f t="shared" si="24"/>
        <v/>
      </c>
      <c r="BH19" s="103" t="str">
        <f t="shared" si="25"/>
        <v/>
      </c>
      <c r="BI19" s="108" t="str">
        <f t="shared" si="26"/>
        <v/>
      </c>
      <c r="BJ19" s="130"/>
      <c r="BK19" s="105">
        <v>13</v>
      </c>
      <c r="BL19" s="105">
        <v>3</v>
      </c>
      <c r="BM19" s="105">
        <v>5</v>
      </c>
      <c r="BN19" s="105">
        <v>15</v>
      </c>
      <c r="BO19" s="97">
        <f t="shared" si="27"/>
        <v>36</v>
      </c>
      <c r="BP19" s="106" t="str">
        <f>IFERROR(IF(BO19=0,"",ROUND((BO19/SUM(SETTINGS!$L$14:$L$17))*SETTINGS!$L$18,0)),"")</f>
        <v/>
      </c>
      <c r="BQ19" s="105">
        <v>45</v>
      </c>
      <c r="BR19" s="106" t="str">
        <f>IFERROR(IF(ISBLANK(BQ19),"",ROUND((BQ19/SETTINGS!$L$19)*SETTINGS!$L$20,0)),"")</f>
        <v/>
      </c>
      <c r="BS19" s="106" t="str">
        <f t="shared" si="28"/>
        <v/>
      </c>
      <c r="BT19" s="103" t="str">
        <f t="shared" si="29"/>
        <v/>
      </c>
      <c r="BU19" s="107" t="str">
        <f t="shared" si="30"/>
        <v/>
      </c>
      <c r="BV19" s="130"/>
      <c r="BW19" s="105">
        <v>8</v>
      </c>
      <c r="BX19" s="105">
        <v>5</v>
      </c>
      <c r="BY19" s="105">
        <v>13</v>
      </c>
      <c r="BZ19" s="105">
        <v>6</v>
      </c>
      <c r="CA19" s="97">
        <f t="shared" si="31"/>
        <v>32</v>
      </c>
      <c r="CB19" s="106" t="str">
        <f>IFERROR(IF(CA19=0,"",ROUND((CA19/SUM(SETTINGS!$L$14:$L$17))*SETTINGS!$L$18,0)),"")</f>
        <v/>
      </c>
      <c r="CC19" s="105">
        <v>35</v>
      </c>
      <c r="CD19" s="106" t="str">
        <f>IFERROR(IF(ISBLANK(CC19),"",ROUND((CC19/SETTINGS!$L$19)*SETTINGS!$L$20,0)),"")</f>
        <v/>
      </c>
      <c r="CE19" s="106" t="str">
        <f t="shared" si="32"/>
        <v/>
      </c>
      <c r="CF19" s="103" t="str">
        <f t="shared" si="33"/>
        <v/>
      </c>
      <c r="CG19" s="107" t="str">
        <f t="shared" si="34"/>
        <v/>
      </c>
      <c r="CH19" s="130"/>
      <c r="CI19" s="105">
        <v>11</v>
      </c>
      <c r="CJ19" s="105">
        <v>13</v>
      </c>
      <c r="CK19" s="105">
        <v>10</v>
      </c>
      <c r="CL19" s="105">
        <v>11</v>
      </c>
      <c r="CM19" s="97">
        <f t="shared" si="35"/>
        <v>45</v>
      </c>
      <c r="CN19" s="106" t="str">
        <f>IFERROR(IF(CM19=0,"",ROUND((CM19/SUM(SETTINGS!$L$14:$L$17))*SETTINGS!$L$18,0)),"")</f>
        <v/>
      </c>
      <c r="CO19" s="105">
        <v>28</v>
      </c>
      <c r="CP19" s="106" t="str">
        <f>IFERROR(IF(ISBLANK(CO19),"",ROUND((CO19/SETTINGS!$L$19)*SETTINGS!$L$20,0)),"")</f>
        <v/>
      </c>
      <c r="CQ19" s="106" t="str">
        <f t="shared" si="36"/>
        <v/>
      </c>
      <c r="CR19" s="103" t="str">
        <f t="shared" si="37"/>
        <v/>
      </c>
      <c r="CS19" s="107" t="str">
        <f t="shared" si="38"/>
        <v/>
      </c>
      <c r="CT19" s="130"/>
      <c r="CU19" s="105">
        <v>10</v>
      </c>
      <c r="CV19" s="105">
        <v>14</v>
      </c>
      <c r="CW19" s="105">
        <v>10</v>
      </c>
      <c r="CX19" s="105">
        <v>8</v>
      </c>
      <c r="CY19" s="97">
        <f t="shared" si="39"/>
        <v>42</v>
      </c>
      <c r="CZ19" s="106" t="str">
        <f>IFERROR(IF(CY19=0,"",ROUND((CY19/SUM(SETTINGS!$L$14:$L$17))*SETTINGS!$L$18,0)),"")</f>
        <v/>
      </c>
      <c r="DA19" s="105">
        <v>40</v>
      </c>
      <c r="DB19" s="106" t="str">
        <f>IFERROR(IF(ISBLANK(DA19),"",ROUND((DA19/SETTINGS!$L$19)*SETTINGS!$L$20,0)),"")</f>
        <v/>
      </c>
      <c r="DC19" s="106" t="str">
        <f t="shared" si="40"/>
        <v/>
      </c>
      <c r="DD19" s="103" t="str">
        <f t="shared" si="41"/>
        <v/>
      </c>
      <c r="DE19" s="107" t="str">
        <f t="shared" si="42"/>
        <v/>
      </c>
      <c r="DF19" s="103" t="str">
        <f t="shared" si="12"/>
        <v/>
      </c>
      <c r="DG19" s="103" t="str">
        <f>IFERROR(IF(AND(K19,W19,AI19,AU19,BG19,BS19,CE19,CQ19,DC19)="","",SUM(K19,W19,AI19,AU19,LARGE((BG19,BS19,CE19,CQ19,DC19),{1,2}))),"")</f>
        <v/>
      </c>
      <c r="DH19" s="103" t="str">
        <f>IFERROR(IF(AND(M19,Y19,AK19,AW19,,BI19,BU19,CG19,CS19,DE19)="","",SUM(M19,Y19,AK19,AW19,SMALL((BI19,BU19,CG19,CS19,DE19),{1,2}))),"")</f>
        <v/>
      </c>
      <c r="DI19" s="109" t="str">
        <f>IFERROR(pos&amp;IF(AND(MOD(ABS(18),100)&gt;10,MOD(ABS(pos),100)&lt;14),"th", CHOOSE(MOD(ABS(pos),10)+1,"th","st","nd","rd","th","th","th","th","th","th")),"")</f>
        <v/>
      </c>
      <c r="DJ19" s="62">
        <f>ROWS($B$12:$B19)</f>
        <v>8</v>
      </c>
      <c r="DK19" s="62" t="str">
        <f>IF($B19=REPORT_CARD!$M$12,$DJ19,"")</f>
        <v/>
      </c>
      <c r="DM19" s="65"/>
    </row>
    <row r="20" spans="1:117" ht="19.5" customHeight="1">
      <c r="A20" s="140" t="str">
        <f>IFERROR(IF(ISBLANK(#REF!),"",#REF!),"")</f>
        <v/>
      </c>
      <c r="B20" s="140" t="str">
        <f>IFERROR(IF(ISBLANK(#REF!),"",#REF!),"")</f>
        <v/>
      </c>
      <c r="C20" s="105">
        <v>15</v>
      </c>
      <c r="D20" s="105">
        <v>15</v>
      </c>
      <c r="E20" s="105">
        <v>14</v>
      </c>
      <c r="F20" s="105">
        <v>5</v>
      </c>
      <c r="G20" s="97">
        <f t="shared" si="43"/>
        <v>49</v>
      </c>
      <c r="H20" s="106" t="str">
        <f>IFERROR(IF(G20=0,"",ROUND((G20/SUM(SETTINGS!$L$14:$L$17))*SETTINGS!$L$18,0)),"")</f>
        <v/>
      </c>
      <c r="I20" s="105">
        <v>45</v>
      </c>
      <c r="J20" s="106" t="str">
        <f>IFERROR(IF(ISBLANK(I20),"",ROUND((I20/SETTINGS!$L$19)*SETTINGS!$L$20,0)),"")</f>
        <v/>
      </c>
      <c r="K20" s="106" t="str">
        <f t="shared" si="13"/>
        <v/>
      </c>
      <c r="L20" s="103" t="str">
        <f t="shared" si="0"/>
        <v/>
      </c>
      <c r="M20" s="107" t="str">
        <f t="shared" si="14"/>
        <v/>
      </c>
      <c r="N20" s="136"/>
      <c r="O20" s="105">
        <v>15</v>
      </c>
      <c r="P20" s="105">
        <v>13</v>
      </c>
      <c r="Q20" s="105">
        <v>9</v>
      </c>
      <c r="R20" s="105">
        <v>13</v>
      </c>
      <c r="S20" s="97">
        <f t="shared" si="1"/>
        <v>50</v>
      </c>
      <c r="T20" s="106" t="str">
        <f>IFERROR(IF(S20=0,"",ROUND((S20/SUM(SETTINGS!$L$14:$L$17))*SETTINGS!$L$18,0)),"")</f>
        <v/>
      </c>
      <c r="U20" s="105">
        <v>68</v>
      </c>
      <c r="V20" s="106" t="str">
        <f>IFERROR(IF(ISBLANK(U20),"",ROUND((U20/SETTINGS!$L$19)*SETTINGS!$L$20,0)),"")</f>
        <v/>
      </c>
      <c r="W20" s="106" t="str">
        <f t="shared" si="2"/>
        <v/>
      </c>
      <c r="X20" s="103" t="str">
        <f t="shared" si="3"/>
        <v/>
      </c>
      <c r="Y20" s="107" t="str">
        <f t="shared" si="4"/>
        <v/>
      </c>
      <c r="Z20" s="130"/>
      <c r="AA20" s="105">
        <v>12</v>
      </c>
      <c r="AB20" s="105">
        <v>10</v>
      </c>
      <c r="AC20" s="105">
        <v>9</v>
      </c>
      <c r="AD20" s="105">
        <v>5</v>
      </c>
      <c r="AE20" s="97">
        <f t="shared" si="15"/>
        <v>36</v>
      </c>
      <c r="AF20" s="106" t="str">
        <f>IFERROR(IF(AE20=0,"",ROUND((AE20/SUM(SETTINGS!$L$14:$L$17))*SETTINGS!$L$18,0)),"")</f>
        <v/>
      </c>
      <c r="AG20" s="105">
        <v>51</v>
      </c>
      <c r="AH20" s="106" t="str">
        <f>IFERROR(IF(ISBLANK(AG20),"",ROUND((AG20/SETTINGS!$L$19)*SETTINGS!$L$20,0)),"")</f>
        <v/>
      </c>
      <c r="AI20" s="106" t="str">
        <f t="shared" si="16"/>
        <v/>
      </c>
      <c r="AJ20" s="103" t="str">
        <f t="shared" si="17"/>
        <v/>
      </c>
      <c r="AK20" s="108" t="str">
        <f t="shared" si="18"/>
        <v/>
      </c>
      <c r="AL20" s="130"/>
      <c r="AM20" s="105">
        <v>10</v>
      </c>
      <c r="AN20" s="105">
        <v>12</v>
      </c>
      <c r="AO20" s="105">
        <v>10</v>
      </c>
      <c r="AP20" s="105">
        <v>15</v>
      </c>
      <c r="AQ20" s="97">
        <f t="shared" si="19"/>
        <v>47</v>
      </c>
      <c r="AR20" s="106" t="str">
        <f>IFERROR(IF(AQ20=0,"",ROUND((AQ20/SUM(SETTINGS!$L$14:$L$17))*SETTINGS!$L$18,0)),"")</f>
        <v/>
      </c>
      <c r="AS20" s="105">
        <v>44</v>
      </c>
      <c r="AT20" s="106" t="str">
        <f>IFERROR(IF(ISBLANK(AS20),"",ROUND((AS20/SETTINGS!$L$19)*SETTINGS!$L$20,0)),"")</f>
        <v/>
      </c>
      <c r="AU20" s="106" t="str">
        <f t="shared" si="20"/>
        <v/>
      </c>
      <c r="AV20" s="103" t="str">
        <f t="shared" si="21"/>
        <v/>
      </c>
      <c r="AW20" s="107" t="str">
        <f t="shared" si="22"/>
        <v/>
      </c>
      <c r="AX20" s="130"/>
      <c r="AY20" s="105">
        <v>12</v>
      </c>
      <c r="AZ20" s="105">
        <v>8</v>
      </c>
      <c r="BA20" s="105">
        <v>11</v>
      </c>
      <c r="BB20" s="105">
        <v>10</v>
      </c>
      <c r="BC20" s="97">
        <f t="shared" si="23"/>
        <v>41</v>
      </c>
      <c r="BD20" s="106" t="str">
        <f>IFERROR(IF(BC20=0,"",ROUND((BC20/SUM(SETTINGS!$L$14:$L$17))*SETTINGS!$L$18,0)),"")</f>
        <v/>
      </c>
      <c r="BE20" s="105">
        <v>80</v>
      </c>
      <c r="BF20" s="106" t="str">
        <f>IFERROR(IF(ISBLANK(BE20),"",ROUND((BE20/SETTINGS!$L$19)*SETTINGS!$L$20,0)),"")</f>
        <v/>
      </c>
      <c r="BG20" s="106" t="str">
        <f t="shared" si="24"/>
        <v/>
      </c>
      <c r="BH20" s="103" t="str">
        <f t="shared" si="25"/>
        <v/>
      </c>
      <c r="BI20" s="108" t="str">
        <f t="shared" si="26"/>
        <v/>
      </c>
      <c r="BJ20" s="130"/>
      <c r="BK20" s="105">
        <v>10</v>
      </c>
      <c r="BL20" s="105">
        <v>9</v>
      </c>
      <c r="BM20" s="105">
        <v>4</v>
      </c>
      <c r="BN20" s="105">
        <v>15</v>
      </c>
      <c r="BO20" s="97">
        <f t="shared" si="27"/>
        <v>38</v>
      </c>
      <c r="BP20" s="106" t="str">
        <f>IFERROR(IF(BO20=0,"",ROUND((BO20/SUM(SETTINGS!$L$14:$L$17))*SETTINGS!$L$18,0)),"")</f>
        <v/>
      </c>
      <c r="BQ20" s="105">
        <v>50</v>
      </c>
      <c r="BR20" s="106" t="str">
        <f>IFERROR(IF(ISBLANK(BQ20),"",ROUND((BQ20/SETTINGS!$L$19)*SETTINGS!$L$20,0)),"")</f>
        <v/>
      </c>
      <c r="BS20" s="106" t="str">
        <f t="shared" si="28"/>
        <v/>
      </c>
      <c r="BT20" s="103" t="str">
        <f t="shared" si="29"/>
        <v/>
      </c>
      <c r="BU20" s="107" t="str">
        <f t="shared" si="30"/>
        <v/>
      </c>
      <c r="BV20" s="130"/>
      <c r="BW20" s="105">
        <v>7</v>
      </c>
      <c r="BX20" s="105">
        <v>11</v>
      </c>
      <c r="BY20" s="105">
        <v>15</v>
      </c>
      <c r="BZ20" s="105">
        <v>13</v>
      </c>
      <c r="CA20" s="97">
        <f t="shared" si="31"/>
        <v>46</v>
      </c>
      <c r="CB20" s="106" t="str">
        <f>IFERROR(IF(CA20=0,"",ROUND((CA20/SUM(SETTINGS!$L$14:$L$17))*SETTINGS!$L$18,0)),"")</f>
        <v/>
      </c>
      <c r="CC20" s="105">
        <v>55</v>
      </c>
      <c r="CD20" s="106" t="str">
        <f>IFERROR(IF(ISBLANK(CC20),"",ROUND((CC20/SETTINGS!$L$19)*SETTINGS!$L$20,0)),"")</f>
        <v/>
      </c>
      <c r="CE20" s="106" t="str">
        <f t="shared" si="32"/>
        <v/>
      </c>
      <c r="CF20" s="103" t="str">
        <f t="shared" si="33"/>
        <v/>
      </c>
      <c r="CG20" s="107" t="str">
        <f t="shared" si="34"/>
        <v/>
      </c>
      <c r="CH20" s="130"/>
      <c r="CI20" s="105">
        <v>5</v>
      </c>
      <c r="CJ20" s="105">
        <v>13</v>
      </c>
      <c r="CK20" s="105">
        <v>7</v>
      </c>
      <c r="CL20" s="105">
        <v>14</v>
      </c>
      <c r="CM20" s="97">
        <f t="shared" si="35"/>
        <v>39</v>
      </c>
      <c r="CN20" s="106" t="str">
        <f>IFERROR(IF(CM20=0,"",ROUND((CM20/SUM(SETTINGS!$L$14:$L$17))*SETTINGS!$L$18,0)),"")</f>
        <v/>
      </c>
      <c r="CO20" s="105">
        <v>22</v>
      </c>
      <c r="CP20" s="106" t="str">
        <f>IFERROR(IF(ISBLANK(CO20),"",ROUND((CO20/SETTINGS!$L$19)*SETTINGS!$L$20,0)),"")</f>
        <v/>
      </c>
      <c r="CQ20" s="106" t="str">
        <f t="shared" si="36"/>
        <v/>
      </c>
      <c r="CR20" s="103" t="str">
        <f t="shared" si="37"/>
        <v/>
      </c>
      <c r="CS20" s="107" t="str">
        <f t="shared" si="38"/>
        <v/>
      </c>
      <c r="CT20" s="130"/>
      <c r="CU20" s="105">
        <v>15</v>
      </c>
      <c r="CV20" s="105">
        <v>11</v>
      </c>
      <c r="CW20" s="105">
        <v>8</v>
      </c>
      <c r="CX20" s="105">
        <v>8</v>
      </c>
      <c r="CY20" s="97">
        <f t="shared" si="39"/>
        <v>42</v>
      </c>
      <c r="CZ20" s="106" t="str">
        <f>IFERROR(IF(CY20=0,"",ROUND((CY20/SUM(SETTINGS!$L$14:$L$17))*SETTINGS!$L$18,0)),"")</f>
        <v/>
      </c>
      <c r="DA20" s="105">
        <v>49</v>
      </c>
      <c r="DB20" s="106" t="str">
        <f>IFERROR(IF(ISBLANK(DA20),"",ROUND((DA20/SETTINGS!$L$19)*SETTINGS!$L$20,0)),"")</f>
        <v/>
      </c>
      <c r="DC20" s="106" t="str">
        <f t="shared" si="40"/>
        <v/>
      </c>
      <c r="DD20" s="103" t="str">
        <f t="shared" si="41"/>
        <v/>
      </c>
      <c r="DE20" s="107" t="str">
        <f t="shared" si="42"/>
        <v/>
      </c>
      <c r="DF20" s="103" t="str">
        <f t="shared" si="12"/>
        <v/>
      </c>
      <c r="DG20" s="103" t="str">
        <f>IFERROR(IF(AND(K20,W20,AI20,AU20,BG20,BS20,CE20,CQ20,DC20)="","",SUM(K20,W20,AI20,AU20,LARGE((BG20,BS20,CE20,CQ20,DC20),{1,2}))),"")</f>
        <v/>
      </c>
      <c r="DH20" s="103" t="str">
        <f>IFERROR(IF(AND(M20,Y20,AK20,AW20,,BI20,BU20,CG20,CS20,DE20)="","",SUM(M20,Y20,AK20,AW20,SMALL((BI20,BU20,CG20,CS20,DE20),{1,2}))),"")</f>
        <v/>
      </c>
      <c r="DI20" s="109" t="str">
        <f>IFERROR(pos&amp;IF(AND(MOD(ABS(18),100)&gt;10,MOD(ABS(pos),100)&lt;14),"th", CHOOSE(MOD(ABS(pos),10)+1,"th","st","nd","rd","th","th","th","th","th","th")),"")</f>
        <v/>
      </c>
      <c r="DJ20" s="62">
        <f>ROWS($B$12:$B20)</f>
        <v>9</v>
      </c>
      <c r="DK20" s="62" t="str">
        <f>IF($B20=REPORT_CARD!$M$12,$DJ20,"")</f>
        <v/>
      </c>
      <c r="DM20" s="65"/>
    </row>
    <row r="21" spans="1:117" ht="19.5" customHeight="1">
      <c r="A21" s="140" t="str">
        <f>IFERROR(IF(ISBLANK(#REF!),"",#REF!),"")</f>
        <v/>
      </c>
      <c r="B21" s="140" t="str">
        <f>IFERROR(IF(ISBLANK(#REF!),"",#REF!),"")</f>
        <v/>
      </c>
      <c r="C21" s="105">
        <v>10</v>
      </c>
      <c r="D21" s="105">
        <v>15</v>
      </c>
      <c r="E21" s="105">
        <v>14</v>
      </c>
      <c r="F21" s="105">
        <v>14</v>
      </c>
      <c r="G21" s="97">
        <f t="shared" si="43"/>
        <v>53</v>
      </c>
      <c r="H21" s="106" t="str">
        <f>IFERROR(IF(G21=0,"",ROUND((G21/SUM(SETTINGS!$L$14:$L$17))*SETTINGS!$L$18,0)),"")</f>
        <v/>
      </c>
      <c r="I21" s="105">
        <v>24</v>
      </c>
      <c r="J21" s="106" t="str">
        <f>IFERROR(IF(ISBLANK(I21),"",ROUND((I21/SETTINGS!$L$19)*SETTINGS!$L$20,0)),"")</f>
        <v/>
      </c>
      <c r="K21" s="106" t="str">
        <f t="shared" si="13"/>
        <v/>
      </c>
      <c r="L21" s="103" t="str">
        <f t="shared" si="0"/>
        <v/>
      </c>
      <c r="M21" s="107" t="str">
        <f t="shared" si="14"/>
        <v/>
      </c>
      <c r="N21" s="136"/>
      <c r="O21" s="105">
        <v>2</v>
      </c>
      <c r="P21" s="105">
        <v>14</v>
      </c>
      <c r="Q21" s="105">
        <v>5</v>
      </c>
      <c r="R21" s="105">
        <v>13</v>
      </c>
      <c r="S21" s="97">
        <f t="shared" si="1"/>
        <v>34</v>
      </c>
      <c r="T21" s="106" t="str">
        <f>IFERROR(IF(S21=0,"",ROUND((S21/SUM(SETTINGS!$L$14:$L$17))*SETTINGS!$L$18,0)),"")</f>
        <v/>
      </c>
      <c r="U21" s="105">
        <v>21</v>
      </c>
      <c r="V21" s="106" t="str">
        <f>IFERROR(IF(ISBLANK(U21),"",ROUND((U21/SETTINGS!$L$19)*SETTINGS!$L$20,0)),"")</f>
        <v/>
      </c>
      <c r="W21" s="106" t="str">
        <f t="shared" si="2"/>
        <v/>
      </c>
      <c r="X21" s="103" t="str">
        <f t="shared" si="3"/>
        <v/>
      </c>
      <c r="Y21" s="107" t="str">
        <f t="shared" si="4"/>
        <v/>
      </c>
      <c r="Z21" s="130"/>
      <c r="AA21" s="105">
        <v>10</v>
      </c>
      <c r="AB21" s="105">
        <v>10</v>
      </c>
      <c r="AC21" s="105">
        <v>13</v>
      </c>
      <c r="AD21" s="105">
        <v>6</v>
      </c>
      <c r="AE21" s="97">
        <f t="shared" si="15"/>
        <v>39</v>
      </c>
      <c r="AF21" s="106" t="str">
        <f>IFERROR(IF(AE21=0,"",ROUND((AE21/SUM(SETTINGS!$L$14:$L$17))*SETTINGS!$L$18,0)),"")</f>
        <v/>
      </c>
      <c r="AG21" s="105">
        <v>32</v>
      </c>
      <c r="AH21" s="106" t="str">
        <f>IFERROR(IF(ISBLANK(AG21),"",ROUND((AG21/SETTINGS!$L$19)*SETTINGS!$L$20,0)),"")</f>
        <v/>
      </c>
      <c r="AI21" s="106" t="str">
        <f t="shared" si="16"/>
        <v/>
      </c>
      <c r="AJ21" s="103" t="str">
        <f t="shared" si="17"/>
        <v/>
      </c>
      <c r="AK21" s="108" t="str">
        <f t="shared" si="18"/>
        <v/>
      </c>
      <c r="AL21" s="130"/>
      <c r="AM21" s="105">
        <v>11</v>
      </c>
      <c r="AN21" s="105">
        <v>12</v>
      </c>
      <c r="AO21" s="105">
        <v>10</v>
      </c>
      <c r="AP21" s="105">
        <v>14</v>
      </c>
      <c r="AQ21" s="97">
        <f t="shared" si="19"/>
        <v>47</v>
      </c>
      <c r="AR21" s="106" t="str">
        <f>IFERROR(IF(AQ21=0,"",ROUND((AQ21/SUM(SETTINGS!$L$14:$L$17))*SETTINGS!$L$18,0)),"")</f>
        <v/>
      </c>
      <c r="AS21" s="105">
        <v>27</v>
      </c>
      <c r="AT21" s="106" t="str">
        <f>IFERROR(IF(ISBLANK(AS21),"",ROUND((AS21/SETTINGS!$L$19)*SETTINGS!$L$20,0)),"")</f>
        <v/>
      </c>
      <c r="AU21" s="106" t="str">
        <f t="shared" si="20"/>
        <v/>
      </c>
      <c r="AV21" s="103" t="str">
        <f t="shared" si="21"/>
        <v/>
      </c>
      <c r="AW21" s="107" t="str">
        <f t="shared" si="22"/>
        <v/>
      </c>
      <c r="AX21" s="130"/>
      <c r="AY21" s="105">
        <v>12</v>
      </c>
      <c r="AZ21" s="105">
        <v>5</v>
      </c>
      <c r="BA21" s="105">
        <v>15</v>
      </c>
      <c r="BB21" s="105">
        <v>6</v>
      </c>
      <c r="BC21" s="97">
        <f t="shared" si="23"/>
        <v>38</v>
      </c>
      <c r="BD21" s="106" t="str">
        <f>IFERROR(IF(BC21=0,"",ROUND((BC21/SUM(SETTINGS!$L$14:$L$17))*SETTINGS!$L$18,0)),"")</f>
        <v/>
      </c>
      <c r="BE21" s="105">
        <v>38</v>
      </c>
      <c r="BF21" s="106" t="str">
        <f>IFERROR(IF(ISBLANK(BE21),"",ROUND((BE21/SETTINGS!$L$19)*SETTINGS!$L$20,0)),"")</f>
        <v/>
      </c>
      <c r="BG21" s="106" t="str">
        <f t="shared" si="24"/>
        <v/>
      </c>
      <c r="BH21" s="103" t="str">
        <f t="shared" si="25"/>
        <v/>
      </c>
      <c r="BI21" s="108" t="str">
        <f t="shared" si="26"/>
        <v/>
      </c>
      <c r="BJ21" s="130"/>
      <c r="BK21" s="105">
        <v>8</v>
      </c>
      <c r="BL21" s="105">
        <v>1</v>
      </c>
      <c r="BM21" s="105">
        <v>3</v>
      </c>
      <c r="BN21" s="105">
        <v>15</v>
      </c>
      <c r="BO21" s="97">
        <f t="shared" si="27"/>
        <v>27</v>
      </c>
      <c r="BP21" s="106" t="str">
        <f>IFERROR(IF(BO21=0,"",ROUND((BO21/SUM(SETTINGS!$L$14:$L$17))*SETTINGS!$L$18,0)),"")</f>
        <v/>
      </c>
      <c r="BQ21" s="105">
        <v>24</v>
      </c>
      <c r="BR21" s="106" t="str">
        <f>IFERROR(IF(ISBLANK(BQ21),"",ROUND((BQ21/SETTINGS!$L$19)*SETTINGS!$L$20,0)),"")</f>
        <v/>
      </c>
      <c r="BS21" s="106" t="str">
        <f t="shared" si="28"/>
        <v/>
      </c>
      <c r="BT21" s="103" t="str">
        <f t="shared" si="29"/>
        <v/>
      </c>
      <c r="BU21" s="107" t="str">
        <f t="shared" si="30"/>
        <v/>
      </c>
      <c r="BV21" s="130"/>
      <c r="BW21" s="105">
        <v>1</v>
      </c>
      <c r="BX21" s="105">
        <v>10</v>
      </c>
      <c r="BY21" s="105">
        <v>14</v>
      </c>
      <c r="BZ21" s="105">
        <v>11</v>
      </c>
      <c r="CA21" s="97">
        <f t="shared" si="31"/>
        <v>36</v>
      </c>
      <c r="CB21" s="106" t="str">
        <f>IFERROR(IF(CA21=0,"",ROUND((CA21/SUM(SETTINGS!$L$14:$L$17))*SETTINGS!$L$18,0)),"")</f>
        <v/>
      </c>
      <c r="CC21" s="105">
        <v>31</v>
      </c>
      <c r="CD21" s="106" t="str">
        <f>IFERROR(IF(ISBLANK(CC21),"",ROUND((CC21/SETTINGS!$L$19)*SETTINGS!$L$20,0)),"")</f>
        <v/>
      </c>
      <c r="CE21" s="106" t="str">
        <f t="shared" si="32"/>
        <v/>
      </c>
      <c r="CF21" s="103" t="str">
        <f t="shared" si="33"/>
        <v/>
      </c>
      <c r="CG21" s="107" t="str">
        <f t="shared" si="34"/>
        <v/>
      </c>
      <c r="CH21" s="130"/>
      <c r="CI21" s="105">
        <v>9</v>
      </c>
      <c r="CJ21" s="105">
        <v>13</v>
      </c>
      <c r="CK21" s="105">
        <v>10</v>
      </c>
      <c r="CL21" s="105">
        <v>14</v>
      </c>
      <c r="CM21" s="97">
        <f t="shared" si="35"/>
        <v>46</v>
      </c>
      <c r="CN21" s="106" t="str">
        <f>IFERROR(IF(CM21=0,"",ROUND((CM21/SUM(SETTINGS!$L$14:$L$17))*SETTINGS!$L$18,0)),"")</f>
        <v/>
      </c>
      <c r="CO21" s="105">
        <v>27</v>
      </c>
      <c r="CP21" s="106" t="str">
        <f>IFERROR(IF(ISBLANK(CO21),"",ROUND((CO21/SETTINGS!$L$19)*SETTINGS!$L$20,0)),"")</f>
        <v/>
      </c>
      <c r="CQ21" s="106" t="str">
        <f t="shared" si="36"/>
        <v/>
      </c>
      <c r="CR21" s="103" t="str">
        <f t="shared" si="37"/>
        <v/>
      </c>
      <c r="CS21" s="107" t="str">
        <f t="shared" si="38"/>
        <v/>
      </c>
      <c r="CT21" s="130"/>
      <c r="CU21" s="105">
        <v>9</v>
      </c>
      <c r="CV21" s="105">
        <v>10</v>
      </c>
      <c r="CW21" s="105">
        <v>11</v>
      </c>
      <c r="CX21" s="105">
        <v>9</v>
      </c>
      <c r="CY21" s="97">
        <f t="shared" si="39"/>
        <v>39</v>
      </c>
      <c r="CZ21" s="106" t="str">
        <f>IFERROR(IF(CY21=0,"",ROUND((CY21/SUM(SETTINGS!$L$14:$L$17))*SETTINGS!$L$18,0)),"")</f>
        <v/>
      </c>
      <c r="DA21" s="105">
        <v>13</v>
      </c>
      <c r="DB21" s="106" t="str">
        <f>IFERROR(IF(ISBLANK(DA21),"",ROUND((DA21/SETTINGS!$L$19)*SETTINGS!$L$20,0)),"")</f>
        <v/>
      </c>
      <c r="DC21" s="106" t="str">
        <f t="shared" si="40"/>
        <v/>
      </c>
      <c r="DD21" s="103" t="str">
        <f t="shared" si="41"/>
        <v/>
      </c>
      <c r="DE21" s="107" t="str">
        <f t="shared" si="42"/>
        <v/>
      </c>
      <c r="DF21" s="103" t="str">
        <f t="shared" si="12"/>
        <v/>
      </c>
      <c r="DG21" s="103" t="str">
        <f>IFERROR(IF(AND(K21,W21,AI21,AU21,BG21,BS21,CE21,CQ21,DC21)="","",SUM(K21,W21,AI21,AU21,LARGE((BG21,BS21,CE21,CQ21,DC21),{1,2}))),"")</f>
        <v/>
      </c>
      <c r="DH21" s="103" t="str">
        <f>IFERROR(IF(AND(M21,Y21,AK21,AW21,,BI21,BU21,CG21,CS21,DE21)="","",SUM(M21,Y21,AK21,AW21,SMALL((BI21,BU21,CG21,CS21,DE21),{1,2}))),"")</f>
        <v/>
      </c>
      <c r="DI21" s="109" t="str">
        <f>IFERROR(pos&amp;IF(AND(MOD(ABS(18),100)&gt;10,MOD(ABS(pos),100)&lt;14),"th", CHOOSE(MOD(ABS(pos),10)+1,"th","st","nd","rd","th","th","th","th","th","th")),"")</f>
        <v/>
      </c>
      <c r="DJ21" s="62">
        <f>ROWS($B$12:$B21)</f>
        <v>10</v>
      </c>
      <c r="DK21" s="62" t="str">
        <f>IF($B21=REPORT_CARD!$M$12,$DJ21,"")</f>
        <v/>
      </c>
      <c r="DM21" s="65"/>
    </row>
    <row r="22" spans="1:117" ht="19.5" customHeight="1">
      <c r="A22" s="140" t="str">
        <f>IFERROR(IF(ISBLANK(#REF!),"",#REF!),"")</f>
        <v/>
      </c>
      <c r="B22" s="140" t="str">
        <f>IFERROR(IF(ISBLANK(#REF!),"",#REF!),"")</f>
        <v/>
      </c>
      <c r="C22" s="105">
        <v>15</v>
      </c>
      <c r="D22" s="105">
        <v>12</v>
      </c>
      <c r="E22" s="105">
        <v>14</v>
      </c>
      <c r="F22" s="105">
        <v>6</v>
      </c>
      <c r="G22" s="97">
        <f t="shared" si="43"/>
        <v>47</v>
      </c>
      <c r="H22" s="106" t="str">
        <f>IFERROR(IF(G22=0,"",ROUND((G22/SUM(SETTINGS!$L$14:$L$17))*SETTINGS!$L$18,0)),"")</f>
        <v/>
      </c>
      <c r="I22" s="105">
        <v>48</v>
      </c>
      <c r="J22" s="106" t="str">
        <f>IFERROR(IF(ISBLANK(I22),"",ROUND((I22/SETTINGS!$L$19)*SETTINGS!$L$20,0)),"")</f>
        <v/>
      </c>
      <c r="K22" s="106" t="str">
        <f t="shared" si="13"/>
        <v/>
      </c>
      <c r="L22" s="103" t="str">
        <f t="shared" si="0"/>
        <v/>
      </c>
      <c r="M22" s="107" t="str">
        <f t="shared" si="14"/>
        <v/>
      </c>
      <c r="N22" s="136"/>
      <c r="O22" s="105">
        <v>7</v>
      </c>
      <c r="P22" s="105">
        <v>14</v>
      </c>
      <c r="Q22" s="105">
        <v>6</v>
      </c>
      <c r="R22" s="105">
        <v>12</v>
      </c>
      <c r="S22" s="97">
        <f t="shared" si="1"/>
        <v>39</v>
      </c>
      <c r="T22" s="106" t="str">
        <f>IFERROR(IF(S22=0,"",ROUND((S22/SUM(SETTINGS!$L$14:$L$17))*SETTINGS!$L$18,0)),"")</f>
        <v/>
      </c>
      <c r="U22" s="105">
        <v>48</v>
      </c>
      <c r="V22" s="106" t="str">
        <f>IFERROR(IF(ISBLANK(U22),"",ROUND((U22/SETTINGS!$L$19)*SETTINGS!$L$20,0)),"")</f>
        <v/>
      </c>
      <c r="W22" s="106" t="str">
        <f t="shared" si="2"/>
        <v/>
      </c>
      <c r="X22" s="103" t="str">
        <f t="shared" si="3"/>
        <v/>
      </c>
      <c r="Y22" s="107" t="str">
        <f t="shared" si="4"/>
        <v/>
      </c>
      <c r="Z22" s="130"/>
      <c r="AA22" s="105">
        <v>8</v>
      </c>
      <c r="AB22" s="105">
        <v>10</v>
      </c>
      <c r="AC22" s="105">
        <v>7</v>
      </c>
      <c r="AD22" s="105">
        <v>12</v>
      </c>
      <c r="AE22" s="97">
        <f t="shared" si="15"/>
        <v>37</v>
      </c>
      <c r="AF22" s="106" t="str">
        <f>IFERROR(IF(AE22=0,"",ROUND((AE22/SUM(SETTINGS!$L$14:$L$17))*SETTINGS!$L$18,0)),"")</f>
        <v/>
      </c>
      <c r="AG22" s="105">
        <v>65</v>
      </c>
      <c r="AH22" s="106" t="str">
        <f>IFERROR(IF(ISBLANK(AG22),"",ROUND((AG22/SETTINGS!$L$19)*SETTINGS!$L$20,0)),"")</f>
        <v/>
      </c>
      <c r="AI22" s="106" t="str">
        <f t="shared" si="16"/>
        <v/>
      </c>
      <c r="AJ22" s="103" t="str">
        <f t="shared" si="17"/>
        <v/>
      </c>
      <c r="AK22" s="108" t="str">
        <f t="shared" si="18"/>
        <v/>
      </c>
      <c r="AL22" s="130"/>
      <c r="AM22" s="105">
        <v>10</v>
      </c>
      <c r="AN22" s="105">
        <v>11</v>
      </c>
      <c r="AO22" s="105">
        <v>9</v>
      </c>
      <c r="AP22" s="105">
        <v>15</v>
      </c>
      <c r="AQ22" s="97">
        <f t="shared" si="19"/>
        <v>45</v>
      </c>
      <c r="AR22" s="106" t="str">
        <f>IFERROR(IF(AQ22=0,"",ROUND((AQ22/SUM(SETTINGS!$L$14:$L$17))*SETTINGS!$L$18,0)),"")</f>
        <v/>
      </c>
      <c r="AS22" s="105">
        <v>47</v>
      </c>
      <c r="AT22" s="106" t="str">
        <f>IFERROR(IF(ISBLANK(AS22),"",ROUND((AS22/SETTINGS!$L$19)*SETTINGS!$L$20,0)),"")</f>
        <v/>
      </c>
      <c r="AU22" s="106" t="str">
        <f t="shared" si="20"/>
        <v/>
      </c>
      <c r="AV22" s="103" t="str">
        <f t="shared" si="21"/>
        <v/>
      </c>
      <c r="AW22" s="107" t="str">
        <f t="shared" si="22"/>
        <v/>
      </c>
      <c r="AX22" s="130"/>
      <c r="AY22" s="105">
        <v>8</v>
      </c>
      <c r="AZ22" s="105">
        <v>10</v>
      </c>
      <c r="BA22" s="105">
        <v>10</v>
      </c>
      <c r="BB22" s="105">
        <v>11</v>
      </c>
      <c r="BC22" s="97">
        <f t="shared" si="23"/>
        <v>39</v>
      </c>
      <c r="BD22" s="106" t="str">
        <f>IFERROR(IF(BC22=0,"",ROUND((BC22/SUM(SETTINGS!$L$14:$L$17))*SETTINGS!$L$18,0)),"")</f>
        <v/>
      </c>
      <c r="BE22" s="105">
        <v>71</v>
      </c>
      <c r="BF22" s="106" t="str">
        <f>IFERROR(IF(ISBLANK(BE22),"",ROUND((BE22/SETTINGS!$L$19)*SETTINGS!$L$20,0)),"")</f>
        <v/>
      </c>
      <c r="BG22" s="106" t="str">
        <f t="shared" si="24"/>
        <v/>
      </c>
      <c r="BH22" s="103" t="str">
        <f t="shared" si="25"/>
        <v/>
      </c>
      <c r="BI22" s="108" t="str">
        <f t="shared" si="26"/>
        <v/>
      </c>
      <c r="BJ22" s="130"/>
      <c r="BK22" s="105">
        <v>5</v>
      </c>
      <c r="BL22" s="105">
        <v>7</v>
      </c>
      <c r="BM22" s="105">
        <v>5</v>
      </c>
      <c r="BN22" s="105">
        <v>15</v>
      </c>
      <c r="BO22" s="97">
        <f t="shared" si="27"/>
        <v>32</v>
      </c>
      <c r="BP22" s="106" t="str">
        <f>IFERROR(IF(BO22=0,"",ROUND((BO22/SUM(SETTINGS!$L$14:$L$17))*SETTINGS!$L$18,0)),"")</f>
        <v/>
      </c>
      <c r="BQ22" s="105">
        <v>66</v>
      </c>
      <c r="BR22" s="106" t="str">
        <f>IFERROR(IF(ISBLANK(BQ22),"",ROUND((BQ22/SETTINGS!$L$19)*SETTINGS!$L$20,0)),"")</f>
        <v/>
      </c>
      <c r="BS22" s="106" t="str">
        <f t="shared" si="28"/>
        <v/>
      </c>
      <c r="BT22" s="103" t="str">
        <f t="shared" si="29"/>
        <v/>
      </c>
      <c r="BU22" s="107" t="str">
        <f t="shared" si="30"/>
        <v/>
      </c>
      <c r="BV22" s="130"/>
      <c r="BW22" s="105">
        <v>8</v>
      </c>
      <c r="BX22" s="105">
        <v>8</v>
      </c>
      <c r="BY22" s="105">
        <v>15</v>
      </c>
      <c r="BZ22" s="105">
        <v>12</v>
      </c>
      <c r="CA22" s="97">
        <f t="shared" si="31"/>
        <v>43</v>
      </c>
      <c r="CB22" s="106" t="str">
        <f>IFERROR(IF(CA22=0,"",ROUND((CA22/SUM(SETTINGS!$L$14:$L$17))*SETTINGS!$L$18,0)),"")</f>
        <v/>
      </c>
      <c r="CC22" s="105">
        <v>59</v>
      </c>
      <c r="CD22" s="106" t="str">
        <f>IFERROR(IF(ISBLANK(CC22),"",ROUND((CC22/SETTINGS!$L$19)*SETTINGS!$L$20,0)),"")</f>
        <v/>
      </c>
      <c r="CE22" s="106" t="str">
        <f t="shared" si="32"/>
        <v/>
      </c>
      <c r="CF22" s="103" t="str">
        <f t="shared" si="33"/>
        <v/>
      </c>
      <c r="CG22" s="107" t="str">
        <f t="shared" si="34"/>
        <v/>
      </c>
      <c r="CH22" s="130"/>
      <c r="CI22" s="105">
        <v>14</v>
      </c>
      <c r="CJ22" s="105">
        <v>15</v>
      </c>
      <c r="CK22" s="105">
        <v>8</v>
      </c>
      <c r="CL22" s="105">
        <v>12</v>
      </c>
      <c r="CM22" s="97">
        <f t="shared" si="35"/>
        <v>49</v>
      </c>
      <c r="CN22" s="106" t="str">
        <f>IFERROR(IF(CM22=0,"",ROUND((CM22/SUM(SETTINGS!$L$14:$L$17))*SETTINGS!$L$18,0)),"")</f>
        <v/>
      </c>
      <c r="CO22" s="105">
        <v>31</v>
      </c>
      <c r="CP22" s="106" t="str">
        <f>IFERROR(IF(ISBLANK(CO22),"",ROUND((CO22/SETTINGS!$L$19)*SETTINGS!$L$20,0)),"")</f>
        <v/>
      </c>
      <c r="CQ22" s="106" t="str">
        <f t="shared" si="36"/>
        <v/>
      </c>
      <c r="CR22" s="103" t="str">
        <f t="shared" si="37"/>
        <v/>
      </c>
      <c r="CS22" s="107" t="str">
        <f t="shared" si="38"/>
        <v/>
      </c>
      <c r="CT22" s="130"/>
      <c r="CU22" s="105">
        <v>9</v>
      </c>
      <c r="CV22" s="105">
        <v>13</v>
      </c>
      <c r="CW22" s="105">
        <v>8</v>
      </c>
      <c r="CX22" s="105">
        <v>12</v>
      </c>
      <c r="CY22" s="97">
        <f t="shared" si="39"/>
        <v>42</v>
      </c>
      <c r="CZ22" s="106" t="str">
        <f>IFERROR(IF(CY22=0,"",ROUND((CY22/SUM(SETTINGS!$L$14:$L$17))*SETTINGS!$L$18,0)),"")</f>
        <v/>
      </c>
      <c r="DA22" s="105">
        <v>50</v>
      </c>
      <c r="DB22" s="106" t="str">
        <f>IFERROR(IF(ISBLANK(DA22),"",ROUND((DA22/SETTINGS!$L$19)*SETTINGS!$L$20,0)),"")</f>
        <v/>
      </c>
      <c r="DC22" s="106" t="str">
        <f t="shared" si="40"/>
        <v/>
      </c>
      <c r="DD22" s="103" t="str">
        <f t="shared" si="41"/>
        <v/>
      </c>
      <c r="DE22" s="107" t="str">
        <f t="shared" si="42"/>
        <v/>
      </c>
      <c r="DF22" s="103" t="str">
        <f t="shared" si="12"/>
        <v/>
      </c>
      <c r="DG22" s="103" t="str">
        <f>IFERROR(IF(AND(K22,W22,AI22,AU22,BG22,BS22,CE22,CQ22,DC22)="","",SUM(K22,W22,AI22,AU22,LARGE((BG22,BS22,CE22,CQ22,DC22),{1,2}))),"")</f>
        <v/>
      </c>
      <c r="DH22" s="103" t="str">
        <f>IFERROR(IF(AND(M22,Y22,AK22,AW22,,BI22,BU22,CG22,CS22,DE22)="","",SUM(M22,Y22,AK22,AW22,SMALL((BI22,BU22,CG22,CS22,DE22),{1,2}))),"")</f>
        <v/>
      </c>
      <c r="DI22" s="109" t="str">
        <f>IFERROR(pos&amp;IF(AND(MOD(ABS(18),100)&gt;10,MOD(ABS(pos),100)&lt;14),"th", CHOOSE(MOD(ABS(pos),10)+1,"th","st","nd","rd","th","th","th","th","th","th")),"")</f>
        <v/>
      </c>
      <c r="DJ22" s="62">
        <f>ROWS($B$12:$B22)</f>
        <v>11</v>
      </c>
      <c r="DK22" s="62" t="str">
        <f>IF($B22=REPORT_CARD!$M$12,$DJ22,"")</f>
        <v/>
      </c>
      <c r="DM22" s="65"/>
    </row>
    <row r="23" spans="1:117" ht="19.5" customHeight="1">
      <c r="A23" s="140" t="str">
        <f>IFERROR(IF(ISBLANK(#REF!),"",#REF!),"")</f>
        <v/>
      </c>
      <c r="B23" s="140" t="str">
        <f>IFERROR(IF(ISBLANK(#REF!),"",#REF!),"")</f>
        <v/>
      </c>
      <c r="C23" s="105">
        <v>6</v>
      </c>
      <c r="D23" s="105">
        <v>12</v>
      </c>
      <c r="E23" s="105">
        <v>15</v>
      </c>
      <c r="F23" s="105">
        <v>5</v>
      </c>
      <c r="G23" s="97">
        <f t="shared" si="43"/>
        <v>38</v>
      </c>
      <c r="H23" s="106" t="str">
        <f>IFERROR(IF(G23=0,"",ROUND((G23/SUM(SETTINGS!$L$14:$L$17))*SETTINGS!$L$18,0)),"")</f>
        <v/>
      </c>
      <c r="I23" s="105">
        <v>9</v>
      </c>
      <c r="J23" s="106" t="str">
        <f>IFERROR(IF(ISBLANK(I23),"",ROUND((I23/SETTINGS!$L$19)*SETTINGS!$L$20,0)),"")</f>
        <v/>
      </c>
      <c r="K23" s="106" t="str">
        <f t="shared" si="13"/>
        <v/>
      </c>
      <c r="L23" s="103" t="str">
        <f t="shared" si="0"/>
        <v/>
      </c>
      <c r="M23" s="107" t="str">
        <f t="shared" si="14"/>
        <v/>
      </c>
      <c r="N23" s="136"/>
      <c r="O23" s="105">
        <v>5</v>
      </c>
      <c r="P23" s="105">
        <v>13</v>
      </c>
      <c r="Q23" s="105">
        <v>7</v>
      </c>
      <c r="R23" s="105">
        <v>8</v>
      </c>
      <c r="S23" s="97">
        <f t="shared" si="1"/>
        <v>33</v>
      </c>
      <c r="T23" s="106" t="str">
        <f>IFERROR(IF(S23=0,"",ROUND((S23/SUM(SETTINGS!$L$14:$L$17))*SETTINGS!$L$18,0)),"")</f>
        <v/>
      </c>
      <c r="U23" s="105">
        <v>14</v>
      </c>
      <c r="V23" s="106" t="str">
        <f>IFERROR(IF(ISBLANK(U23),"",ROUND((U23/SETTINGS!$L$19)*SETTINGS!$L$20,0)),"")</f>
        <v/>
      </c>
      <c r="W23" s="106" t="str">
        <f t="shared" si="2"/>
        <v/>
      </c>
      <c r="X23" s="103" t="str">
        <f t="shared" si="3"/>
        <v/>
      </c>
      <c r="Y23" s="107" t="str">
        <f t="shared" si="4"/>
        <v/>
      </c>
      <c r="Z23" s="130"/>
      <c r="AA23" s="105">
        <v>8</v>
      </c>
      <c r="AB23" s="105">
        <v>11</v>
      </c>
      <c r="AC23" s="105">
        <v>8</v>
      </c>
      <c r="AD23" s="105">
        <v>8</v>
      </c>
      <c r="AE23" s="97">
        <f t="shared" si="15"/>
        <v>35</v>
      </c>
      <c r="AF23" s="106" t="str">
        <f>IFERROR(IF(AE23=0,"",ROUND((AE23/SUM(SETTINGS!$L$14:$L$17))*SETTINGS!$L$18,0)),"")</f>
        <v/>
      </c>
      <c r="AG23" s="105">
        <v>25</v>
      </c>
      <c r="AH23" s="106" t="str">
        <f>IFERROR(IF(ISBLANK(AG23),"",ROUND((AG23/SETTINGS!$L$19)*SETTINGS!$L$20,0)),"")</f>
        <v/>
      </c>
      <c r="AI23" s="106" t="str">
        <f t="shared" si="16"/>
        <v/>
      </c>
      <c r="AJ23" s="103" t="str">
        <f t="shared" si="17"/>
        <v/>
      </c>
      <c r="AK23" s="108" t="str">
        <f t="shared" si="18"/>
        <v/>
      </c>
      <c r="AL23" s="130"/>
      <c r="AM23" s="105">
        <v>7</v>
      </c>
      <c r="AN23" s="105">
        <v>10</v>
      </c>
      <c r="AO23" s="105">
        <v>12</v>
      </c>
      <c r="AP23" s="105">
        <v>14</v>
      </c>
      <c r="AQ23" s="97">
        <f t="shared" si="19"/>
        <v>43</v>
      </c>
      <c r="AR23" s="106" t="str">
        <f>IFERROR(IF(AQ23=0,"",ROUND((AQ23/SUM(SETTINGS!$L$14:$L$17))*SETTINGS!$L$18,0)),"")</f>
        <v/>
      </c>
      <c r="AS23" s="105">
        <v>21</v>
      </c>
      <c r="AT23" s="106" t="str">
        <f>IFERROR(IF(ISBLANK(AS23),"",ROUND((AS23/SETTINGS!$L$19)*SETTINGS!$L$20,0)),"")</f>
        <v/>
      </c>
      <c r="AU23" s="106" t="str">
        <f t="shared" si="20"/>
        <v/>
      </c>
      <c r="AV23" s="103" t="str">
        <f t="shared" si="21"/>
        <v/>
      </c>
      <c r="AW23" s="107" t="str">
        <f t="shared" si="22"/>
        <v/>
      </c>
      <c r="AX23" s="130"/>
      <c r="AY23" s="105">
        <v>6</v>
      </c>
      <c r="AZ23" s="105">
        <v>8</v>
      </c>
      <c r="BA23" s="105">
        <v>10</v>
      </c>
      <c r="BB23" s="105">
        <v>15</v>
      </c>
      <c r="BC23" s="97">
        <f t="shared" si="23"/>
        <v>39</v>
      </c>
      <c r="BD23" s="106" t="str">
        <f>IFERROR(IF(BC23=0,"",ROUND((BC23/SUM(SETTINGS!$L$14:$L$17))*SETTINGS!$L$18,0)),"")</f>
        <v/>
      </c>
      <c r="BE23" s="105">
        <v>18</v>
      </c>
      <c r="BF23" s="106" t="str">
        <f>IFERROR(IF(ISBLANK(BE23),"",ROUND((BE23/SETTINGS!$L$19)*SETTINGS!$L$20,0)),"")</f>
        <v/>
      </c>
      <c r="BG23" s="106" t="str">
        <f t="shared" si="24"/>
        <v/>
      </c>
      <c r="BH23" s="103" t="str">
        <f t="shared" si="25"/>
        <v/>
      </c>
      <c r="BI23" s="108" t="str">
        <f t="shared" si="26"/>
        <v/>
      </c>
      <c r="BJ23" s="130"/>
      <c r="BK23" s="105">
        <v>4</v>
      </c>
      <c r="BL23" s="105">
        <v>10</v>
      </c>
      <c r="BM23" s="105">
        <v>7</v>
      </c>
      <c r="BN23" s="105">
        <v>15</v>
      </c>
      <c r="BO23" s="97">
        <f t="shared" si="27"/>
        <v>36</v>
      </c>
      <c r="BP23" s="106" t="str">
        <f>IFERROR(IF(BO23=0,"",ROUND((BO23/SUM(SETTINGS!$L$14:$L$17))*SETTINGS!$L$18,0)),"")</f>
        <v/>
      </c>
      <c r="BQ23" s="105">
        <v>26</v>
      </c>
      <c r="BR23" s="106" t="str">
        <f>IFERROR(IF(ISBLANK(BQ23),"",ROUND((BQ23/SETTINGS!$L$19)*SETTINGS!$L$20,0)),"")</f>
        <v/>
      </c>
      <c r="BS23" s="106" t="str">
        <f t="shared" si="28"/>
        <v/>
      </c>
      <c r="BT23" s="103" t="str">
        <f t="shared" si="29"/>
        <v/>
      </c>
      <c r="BU23" s="107" t="str">
        <f t="shared" si="30"/>
        <v/>
      </c>
      <c r="BV23" s="130"/>
      <c r="BW23" s="105">
        <v>7</v>
      </c>
      <c r="BX23" s="105">
        <v>12</v>
      </c>
      <c r="BY23" s="105">
        <v>15</v>
      </c>
      <c r="BZ23" s="105">
        <v>3</v>
      </c>
      <c r="CA23" s="97">
        <f t="shared" si="31"/>
        <v>37</v>
      </c>
      <c r="CB23" s="106" t="str">
        <f>IFERROR(IF(CA23=0,"",ROUND((CA23/SUM(SETTINGS!$L$14:$L$17))*SETTINGS!$L$18,0)),"")</f>
        <v/>
      </c>
      <c r="CC23" s="105">
        <v>17</v>
      </c>
      <c r="CD23" s="106" t="str">
        <f>IFERROR(IF(ISBLANK(CC23),"",ROUND((CC23/SETTINGS!$L$19)*SETTINGS!$L$20,0)),"")</f>
        <v/>
      </c>
      <c r="CE23" s="106" t="str">
        <f t="shared" si="32"/>
        <v/>
      </c>
      <c r="CF23" s="103" t="str">
        <f t="shared" si="33"/>
        <v/>
      </c>
      <c r="CG23" s="107" t="str">
        <f t="shared" si="34"/>
        <v/>
      </c>
      <c r="CH23" s="130"/>
      <c r="CI23" s="105">
        <v>5</v>
      </c>
      <c r="CJ23" s="105">
        <v>13</v>
      </c>
      <c r="CK23" s="105">
        <v>10</v>
      </c>
      <c r="CL23" s="105">
        <v>9</v>
      </c>
      <c r="CM23" s="97">
        <f t="shared" si="35"/>
        <v>37</v>
      </c>
      <c r="CN23" s="106" t="str">
        <f>IFERROR(IF(CM23=0,"",ROUND((CM23/SUM(SETTINGS!$L$14:$L$17))*SETTINGS!$L$18,0)),"")</f>
        <v/>
      </c>
      <c r="CO23" s="105">
        <v>20</v>
      </c>
      <c r="CP23" s="106" t="str">
        <f>IFERROR(IF(ISBLANK(CO23),"",ROUND((CO23/SETTINGS!$L$19)*SETTINGS!$L$20,0)),"")</f>
        <v/>
      </c>
      <c r="CQ23" s="106" t="str">
        <f t="shared" si="36"/>
        <v/>
      </c>
      <c r="CR23" s="103" t="str">
        <f t="shared" si="37"/>
        <v/>
      </c>
      <c r="CS23" s="107" t="str">
        <f t="shared" si="38"/>
        <v/>
      </c>
      <c r="CT23" s="130"/>
      <c r="CU23" s="105">
        <v>9</v>
      </c>
      <c r="CV23" s="105">
        <v>6</v>
      </c>
      <c r="CW23" s="105">
        <v>5</v>
      </c>
      <c r="CX23" s="105">
        <v>4</v>
      </c>
      <c r="CY23" s="97">
        <f t="shared" si="39"/>
        <v>24</v>
      </c>
      <c r="CZ23" s="106" t="str">
        <f>IFERROR(IF(CY23=0,"",ROUND((CY23/SUM(SETTINGS!$L$14:$L$17))*SETTINGS!$L$18,0)),"")</f>
        <v/>
      </c>
      <c r="DA23" s="105">
        <v>17</v>
      </c>
      <c r="DB23" s="106" t="str">
        <f>IFERROR(IF(ISBLANK(DA23),"",ROUND((DA23/SETTINGS!$L$19)*SETTINGS!$L$20,0)),"")</f>
        <v/>
      </c>
      <c r="DC23" s="106" t="str">
        <f t="shared" si="40"/>
        <v/>
      </c>
      <c r="DD23" s="103" t="str">
        <f t="shared" si="41"/>
        <v/>
      </c>
      <c r="DE23" s="107" t="str">
        <f t="shared" si="42"/>
        <v/>
      </c>
      <c r="DF23" s="103" t="str">
        <f t="shared" si="12"/>
        <v/>
      </c>
      <c r="DG23" s="103" t="str">
        <f>IFERROR(IF(AND(K23,W23,AI23,AU23,BG23,BS23,CE23,CQ23,DC23)="","",SUM(K23,W23,AI23,AU23,LARGE((BG23,BS23,CE23,CQ23,DC23),{1,2}))),"")</f>
        <v/>
      </c>
      <c r="DH23" s="103" t="str">
        <f>IFERROR(IF(AND(M23,Y23,AK23,AW23,,BI23,BU23,CG23,CS23,DE23)="","",SUM(M23,Y23,AK23,AW23,SMALL((BI23,BU23,CG23,CS23,DE23),{1,2}))),"")</f>
        <v/>
      </c>
      <c r="DI23" s="109" t="str">
        <f>IFERROR(pos&amp;IF(AND(MOD(ABS(18),100)&gt;10,MOD(ABS(pos),100)&lt;14),"th", CHOOSE(MOD(ABS(pos),10)+1,"th","st","nd","rd","th","th","th","th","th","th")),"")</f>
        <v/>
      </c>
      <c r="DJ23" s="62">
        <f>ROWS($B$12:$B23)</f>
        <v>12</v>
      </c>
      <c r="DK23" s="62" t="str">
        <f>IF($B23=REPORT_CARD!$M$12,$DJ23,"")</f>
        <v/>
      </c>
      <c r="DM23" s="65"/>
    </row>
    <row r="24" spans="1:117" ht="19.5" customHeight="1">
      <c r="A24" s="140" t="str">
        <f>IFERROR(IF(ISBLANK(#REF!),"",#REF!),"")</f>
        <v/>
      </c>
      <c r="B24" s="140" t="str">
        <f>IFERROR(IF(ISBLANK(#REF!),"",#REF!),"")</f>
        <v/>
      </c>
      <c r="C24" s="105">
        <v>15</v>
      </c>
      <c r="D24" s="105">
        <v>12</v>
      </c>
      <c r="E24" s="105">
        <v>14</v>
      </c>
      <c r="F24" s="105">
        <v>9</v>
      </c>
      <c r="G24" s="97">
        <f t="shared" si="43"/>
        <v>50</v>
      </c>
      <c r="H24" s="106" t="str">
        <f>IFERROR(IF(G24=0,"",ROUND((G24/SUM(SETTINGS!$L$14:$L$17))*SETTINGS!$L$18,0)),"")</f>
        <v/>
      </c>
      <c r="I24" s="105">
        <v>36</v>
      </c>
      <c r="J24" s="106" t="str">
        <f>IFERROR(IF(ISBLANK(I24),"",ROUND((I24/SETTINGS!$L$19)*SETTINGS!$L$20,0)),"")</f>
        <v/>
      </c>
      <c r="K24" s="106" t="str">
        <f t="shared" si="13"/>
        <v/>
      </c>
      <c r="L24" s="103" t="str">
        <f t="shared" si="0"/>
        <v/>
      </c>
      <c r="M24" s="107" t="str">
        <f t="shared" si="14"/>
        <v/>
      </c>
      <c r="N24" s="136"/>
      <c r="O24" s="105">
        <v>5</v>
      </c>
      <c r="P24" s="105">
        <v>13</v>
      </c>
      <c r="Q24" s="105">
        <v>5</v>
      </c>
      <c r="R24" s="105">
        <v>8</v>
      </c>
      <c r="S24" s="97">
        <f t="shared" si="1"/>
        <v>31</v>
      </c>
      <c r="T24" s="106" t="str">
        <f>IFERROR(IF(S24=0,"",ROUND((S24/SUM(SETTINGS!$L$14:$L$17))*SETTINGS!$L$18,0)),"")</f>
        <v/>
      </c>
      <c r="U24" s="105">
        <v>31</v>
      </c>
      <c r="V24" s="106" t="str">
        <f>IFERROR(IF(ISBLANK(U24),"",ROUND((U24/SETTINGS!$L$19)*SETTINGS!$L$20,0)),"")</f>
        <v/>
      </c>
      <c r="W24" s="106" t="str">
        <f t="shared" si="2"/>
        <v/>
      </c>
      <c r="X24" s="103" t="str">
        <f t="shared" si="3"/>
        <v/>
      </c>
      <c r="Y24" s="107" t="str">
        <f t="shared" si="4"/>
        <v/>
      </c>
      <c r="Z24" s="130"/>
      <c r="AA24" s="105">
        <v>11</v>
      </c>
      <c r="AB24" s="105">
        <v>9</v>
      </c>
      <c r="AC24" s="105">
        <v>7</v>
      </c>
      <c r="AD24" s="105">
        <v>9</v>
      </c>
      <c r="AE24" s="97">
        <f t="shared" si="15"/>
        <v>36</v>
      </c>
      <c r="AF24" s="106" t="str">
        <f>IFERROR(IF(AE24=0,"",ROUND((AE24/SUM(SETTINGS!$L$14:$L$17))*SETTINGS!$L$18,0)),"")</f>
        <v/>
      </c>
      <c r="AG24" s="105">
        <v>46</v>
      </c>
      <c r="AH24" s="106" t="str">
        <f>IFERROR(IF(ISBLANK(AG24),"",ROUND((AG24/SETTINGS!$L$19)*SETTINGS!$L$20,0)),"")</f>
        <v/>
      </c>
      <c r="AI24" s="106" t="str">
        <f t="shared" si="16"/>
        <v/>
      </c>
      <c r="AJ24" s="103" t="str">
        <f t="shared" si="17"/>
        <v/>
      </c>
      <c r="AK24" s="108" t="str">
        <f t="shared" si="18"/>
        <v/>
      </c>
      <c r="AL24" s="130"/>
      <c r="AM24" s="105">
        <v>11</v>
      </c>
      <c r="AN24" s="105">
        <v>6</v>
      </c>
      <c r="AO24" s="105">
        <v>13</v>
      </c>
      <c r="AP24" s="105">
        <v>15</v>
      </c>
      <c r="AQ24" s="97">
        <f t="shared" si="19"/>
        <v>45</v>
      </c>
      <c r="AR24" s="106" t="str">
        <f>IFERROR(IF(AQ24=0,"",ROUND((AQ24/SUM(SETTINGS!$L$14:$L$17))*SETTINGS!$L$18,0)),"")</f>
        <v/>
      </c>
      <c r="AS24" s="105">
        <v>29</v>
      </c>
      <c r="AT24" s="106" t="str">
        <f>IFERROR(IF(ISBLANK(AS24),"",ROUND((AS24/SETTINGS!$L$19)*SETTINGS!$L$20,0)),"")</f>
        <v/>
      </c>
      <c r="AU24" s="106" t="str">
        <f t="shared" si="20"/>
        <v/>
      </c>
      <c r="AV24" s="103" t="str">
        <f t="shared" si="21"/>
        <v/>
      </c>
      <c r="AW24" s="107" t="str">
        <f t="shared" si="22"/>
        <v/>
      </c>
      <c r="AX24" s="130"/>
      <c r="AY24" s="105">
        <v>10</v>
      </c>
      <c r="AZ24" s="105">
        <v>12</v>
      </c>
      <c r="BA24" s="105">
        <v>8</v>
      </c>
      <c r="BB24" s="105">
        <v>5</v>
      </c>
      <c r="BC24" s="97">
        <f t="shared" si="23"/>
        <v>35</v>
      </c>
      <c r="BD24" s="106" t="str">
        <f>IFERROR(IF(BC24=0,"",ROUND((BC24/SUM(SETTINGS!$L$14:$L$17))*SETTINGS!$L$18,0)),"")</f>
        <v/>
      </c>
      <c r="BE24" s="105">
        <v>59</v>
      </c>
      <c r="BF24" s="106" t="str">
        <f>IFERROR(IF(ISBLANK(BE24),"",ROUND((BE24/SETTINGS!$L$19)*SETTINGS!$L$20,0)),"")</f>
        <v/>
      </c>
      <c r="BG24" s="106" t="str">
        <f t="shared" si="24"/>
        <v/>
      </c>
      <c r="BH24" s="103" t="str">
        <f t="shared" si="25"/>
        <v/>
      </c>
      <c r="BI24" s="108" t="str">
        <f t="shared" si="26"/>
        <v/>
      </c>
      <c r="BJ24" s="130"/>
      <c r="BK24" s="105">
        <v>5</v>
      </c>
      <c r="BL24" s="105">
        <v>7</v>
      </c>
      <c r="BM24" s="105">
        <v>1</v>
      </c>
      <c r="BN24" s="105">
        <v>16</v>
      </c>
      <c r="BO24" s="97">
        <f t="shared" si="27"/>
        <v>29</v>
      </c>
      <c r="BP24" s="106" t="str">
        <f>IFERROR(IF(BO24=0,"",ROUND((BO24/SUM(SETTINGS!$L$14:$L$17))*SETTINGS!$L$18,0)),"")</f>
        <v/>
      </c>
      <c r="BQ24" s="105">
        <v>44</v>
      </c>
      <c r="BR24" s="106" t="str">
        <f>IFERROR(IF(ISBLANK(BQ24),"",ROUND((BQ24/SETTINGS!$L$19)*SETTINGS!$L$20,0)),"")</f>
        <v/>
      </c>
      <c r="BS24" s="106" t="str">
        <f t="shared" si="28"/>
        <v/>
      </c>
      <c r="BT24" s="103" t="str">
        <f t="shared" si="29"/>
        <v/>
      </c>
      <c r="BU24" s="107" t="str">
        <f t="shared" si="30"/>
        <v/>
      </c>
      <c r="BV24" s="130"/>
      <c r="BW24" s="105">
        <v>12</v>
      </c>
      <c r="BX24" s="105">
        <v>15</v>
      </c>
      <c r="BY24" s="105">
        <v>3</v>
      </c>
      <c r="BZ24" s="105">
        <v>11</v>
      </c>
      <c r="CA24" s="97">
        <f t="shared" si="31"/>
        <v>41</v>
      </c>
      <c r="CB24" s="106" t="str">
        <f>IFERROR(IF(CA24=0,"",ROUND((CA24/SUM(SETTINGS!$L$14:$L$17))*SETTINGS!$L$18,0)),"")</f>
        <v/>
      </c>
      <c r="CC24" s="105">
        <v>60</v>
      </c>
      <c r="CD24" s="106" t="str">
        <f>IFERROR(IF(ISBLANK(CC24),"",ROUND((CC24/SETTINGS!$L$19)*SETTINGS!$L$20,0)),"")</f>
        <v/>
      </c>
      <c r="CE24" s="106" t="str">
        <f t="shared" si="32"/>
        <v/>
      </c>
      <c r="CF24" s="103" t="str">
        <f t="shared" si="33"/>
        <v/>
      </c>
      <c r="CG24" s="107" t="str">
        <f t="shared" si="34"/>
        <v/>
      </c>
      <c r="CH24" s="130"/>
      <c r="CI24" s="105">
        <v>12</v>
      </c>
      <c r="CJ24" s="105">
        <v>13</v>
      </c>
      <c r="CK24" s="105">
        <v>11</v>
      </c>
      <c r="CL24" s="105">
        <v>9</v>
      </c>
      <c r="CM24" s="97">
        <f t="shared" si="35"/>
        <v>45</v>
      </c>
      <c r="CN24" s="106" t="str">
        <f>IFERROR(IF(CM24=0,"",ROUND((CM24/SUM(SETTINGS!$L$14:$L$17))*SETTINGS!$L$18,0)),"")</f>
        <v/>
      </c>
      <c r="CO24" s="105">
        <v>25</v>
      </c>
      <c r="CP24" s="106" t="str">
        <f>IFERROR(IF(ISBLANK(CO24),"",ROUND((CO24/SETTINGS!$L$19)*SETTINGS!$L$20,0)),"")</f>
        <v/>
      </c>
      <c r="CQ24" s="106" t="str">
        <f t="shared" si="36"/>
        <v/>
      </c>
      <c r="CR24" s="103" t="str">
        <f t="shared" si="37"/>
        <v/>
      </c>
      <c r="CS24" s="107" t="str">
        <f t="shared" si="38"/>
        <v/>
      </c>
      <c r="CT24" s="130"/>
      <c r="CU24" s="105">
        <v>5</v>
      </c>
      <c r="CV24" s="105">
        <v>5</v>
      </c>
      <c r="CW24" s="105">
        <v>5</v>
      </c>
      <c r="CX24" s="105">
        <v>5</v>
      </c>
      <c r="CY24" s="97">
        <f t="shared" si="39"/>
        <v>20</v>
      </c>
      <c r="CZ24" s="106" t="str">
        <f>IFERROR(IF(CY24=0,"",ROUND((CY24/SUM(SETTINGS!$L$14:$L$17))*SETTINGS!$L$18,0)),"")</f>
        <v/>
      </c>
      <c r="DA24" s="105">
        <v>33</v>
      </c>
      <c r="DB24" s="106" t="str">
        <f>IFERROR(IF(ISBLANK(DA24),"",ROUND((DA24/SETTINGS!$L$19)*SETTINGS!$L$20,0)),"")</f>
        <v/>
      </c>
      <c r="DC24" s="106" t="str">
        <f t="shared" si="40"/>
        <v/>
      </c>
      <c r="DD24" s="103" t="str">
        <f t="shared" si="41"/>
        <v/>
      </c>
      <c r="DE24" s="107" t="str">
        <f t="shared" si="42"/>
        <v/>
      </c>
      <c r="DF24" s="103" t="str">
        <f t="shared" si="12"/>
        <v/>
      </c>
      <c r="DG24" s="103" t="str">
        <f>IFERROR(IF(AND(K24,W24,AI24,AU24,BG24,BS24,CE24,CQ24,DC24)="","",SUM(K24,W24,AI24,AU24,LARGE((BG24,BS24,CE24,CQ24,DC24),{1,2}))),"")</f>
        <v/>
      </c>
      <c r="DH24" s="103" t="str">
        <f>IFERROR(IF(AND(M24,Y24,AK24,AW24,,BI24,BU24,CG24,CS24,DE24)="","",SUM(M24,Y24,AK24,AW24,SMALL((BI24,BU24,CG24,CS24,DE24),{1,2}))),"")</f>
        <v/>
      </c>
      <c r="DI24" s="109" t="str">
        <f>IFERROR(pos&amp;IF(AND(MOD(ABS(18),100)&gt;10,MOD(ABS(pos),100)&lt;14),"th", CHOOSE(MOD(ABS(pos),10)+1,"th","st","nd","rd","th","th","th","th","th","th")),"")</f>
        <v/>
      </c>
      <c r="DJ24" s="62">
        <f>ROWS($B$12:$B24)</f>
        <v>13</v>
      </c>
      <c r="DK24" s="62" t="str">
        <f>IF($B24=REPORT_CARD!$M$12,$DJ24,"")</f>
        <v/>
      </c>
      <c r="DM24" s="65"/>
    </row>
    <row r="25" spans="1:117" ht="19.5" customHeight="1">
      <c r="A25" s="140" t="str">
        <f>IFERROR(IF(ISBLANK(#REF!),"",#REF!),"")</f>
        <v/>
      </c>
      <c r="B25" s="140" t="str">
        <f>IFERROR(IF(ISBLANK(#REF!),"",#REF!),"")</f>
        <v/>
      </c>
      <c r="C25" s="105">
        <v>15</v>
      </c>
      <c r="D25" s="105">
        <v>15</v>
      </c>
      <c r="E25" s="105">
        <v>14</v>
      </c>
      <c r="F25" s="105">
        <v>10</v>
      </c>
      <c r="G25" s="97">
        <f t="shared" si="43"/>
        <v>54</v>
      </c>
      <c r="H25" s="106" t="str">
        <f>IFERROR(IF(G25=0,"",ROUND((G25/SUM(SETTINGS!$L$14:$L$17))*SETTINGS!$L$18,0)),"")</f>
        <v/>
      </c>
      <c r="I25" s="105">
        <v>67</v>
      </c>
      <c r="J25" s="106" t="str">
        <f>IFERROR(IF(ISBLANK(I25),"",ROUND((I25/SETTINGS!$L$19)*SETTINGS!$L$20,0)),"")</f>
        <v/>
      </c>
      <c r="K25" s="106" t="str">
        <f t="shared" si="13"/>
        <v/>
      </c>
      <c r="L25" s="103" t="str">
        <f t="shared" si="0"/>
        <v/>
      </c>
      <c r="M25" s="107" t="str">
        <f t="shared" si="14"/>
        <v/>
      </c>
      <c r="N25" s="136"/>
      <c r="O25" s="105">
        <v>15</v>
      </c>
      <c r="P25" s="105">
        <v>13</v>
      </c>
      <c r="Q25" s="105">
        <v>13</v>
      </c>
      <c r="R25" s="105">
        <v>12</v>
      </c>
      <c r="S25" s="97">
        <f t="shared" si="1"/>
        <v>53</v>
      </c>
      <c r="T25" s="106" t="str">
        <f>IFERROR(IF(S25=0,"",ROUND((S25/SUM(SETTINGS!$L$14:$L$17))*SETTINGS!$L$18,0)),"")</f>
        <v/>
      </c>
      <c r="U25" s="105">
        <v>66</v>
      </c>
      <c r="V25" s="106" t="str">
        <f>IFERROR(IF(ISBLANK(U25),"",ROUND((U25/SETTINGS!$L$19)*SETTINGS!$L$20,0)),"")</f>
        <v/>
      </c>
      <c r="W25" s="106" t="str">
        <f t="shared" si="2"/>
        <v/>
      </c>
      <c r="X25" s="103" t="str">
        <f t="shared" si="3"/>
        <v/>
      </c>
      <c r="Y25" s="107" t="str">
        <f t="shared" si="4"/>
        <v/>
      </c>
      <c r="Z25" s="130"/>
      <c r="AA25" s="105">
        <v>15</v>
      </c>
      <c r="AB25" s="105">
        <v>12</v>
      </c>
      <c r="AC25" s="105">
        <v>12</v>
      </c>
      <c r="AD25" s="105">
        <v>15</v>
      </c>
      <c r="AE25" s="97">
        <f t="shared" si="15"/>
        <v>54</v>
      </c>
      <c r="AF25" s="106" t="str">
        <f>IFERROR(IF(AE25=0,"",ROUND((AE25/SUM(SETTINGS!$L$14:$L$17))*SETTINGS!$L$18,0)),"")</f>
        <v/>
      </c>
      <c r="AG25" s="105">
        <v>87</v>
      </c>
      <c r="AH25" s="106" t="str">
        <f>IFERROR(IF(ISBLANK(AG25),"",ROUND((AG25/SETTINGS!$L$19)*SETTINGS!$L$20,0)),"")</f>
        <v/>
      </c>
      <c r="AI25" s="106" t="str">
        <f t="shared" si="16"/>
        <v/>
      </c>
      <c r="AJ25" s="103" t="str">
        <f t="shared" si="17"/>
        <v/>
      </c>
      <c r="AK25" s="108" t="str">
        <f t="shared" si="18"/>
        <v/>
      </c>
      <c r="AL25" s="130"/>
      <c r="AM25" s="105">
        <v>15</v>
      </c>
      <c r="AN25" s="105">
        <v>12</v>
      </c>
      <c r="AO25" s="105">
        <v>13</v>
      </c>
      <c r="AP25" s="105">
        <v>14</v>
      </c>
      <c r="AQ25" s="97">
        <f t="shared" si="19"/>
        <v>54</v>
      </c>
      <c r="AR25" s="106" t="str">
        <f>IFERROR(IF(AQ25=0,"",ROUND((AQ25/SUM(SETTINGS!$L$14:$L$17))*SETTINGS!$L$18,0)),"")</f>
        <v/>
      </c>
      <c r="AS25" s="105">
        <v>80</v>
      </c>
      <c r="AT25" s="106" t="str">
        <f>IFERROR(IF(ISBLANK(AS25),"",ROUND((AS25/SETTINGS!$L$19)*SETTINGS!$L$20,0)),"")</f>
        <v/>
      </c>
      <c r="AU25" s="106" t="str">
        <f t="shared" si="20"/>
        <v/>
      </c>
      <c r="AV25" s="103" t="str">
        <f t="shared" si="21"/>
        <v/>
      </c>
      <c r="AW25" s="107" t="str">
        <f t="shared" si="22"/>
        <v/>
      </c>
      <c r="AX25" s="130"/>
      <c r="AY25" s="105">
        <v>15</v>
      </c>
      <c r="AZ25" s="105">
        <v>15</v>
      </c>
      <c r="BA25" s="105">
        <v>14</v>
      </c>
      <c r="BB25" s="105">
        <v>14</v>
      </c>
      <c r="BC25" s="97">
        <f t="shared" si="23"/>
        <v>58</v>
      </c>
      <c r="BD25" s="106" t="str">
        <f>IFERROR(IF(BC25=0,"",ROUND((BC25/SUM(SETTINGS!$L$14:$L$17))*SETTINGS!$L$18,0)),"")</f>
        <v/>
      </c>
      <c r="BE25" s="105">
        <v>92</v>
      </c>
      <c r="BF25" s="106" t="str">
        <f>IFERROR(IF(ISBLANK(BE25),"",ROUND((BE25/SETTINGS!$L$19)*SETTINGS!$L$20,0)),"")</f>
        <v/>
      </c>
      <c r="BG25" s="106" t="str">
        <f t="shared" si="24"/>
        <v/>
      </c>
      <c r="BH25" s="103" t="str">
        <f t="shared" si="25"/>
        <v/>
      </c>
      <c r="BI25" s="108" t="str">
        <f t="shared" si="26"/>
        <v/>
      </c>
      <c r="BJ25" s="130"/>
      <c r="BK25" s="105">
        <v>12</v>
      </c>
      <c r="BL25" s="105">
        <v>13</v>
      </c>
      <c r="BM25" s="105">
        <v>15</v>
      </c>
      <c r="BN25" s="105">
        <v>15</v>
      </c>
      <c r="BO25" s="97">
        <f t="shared" si="27"/>
        <v>55</v>
      </c>
      <c r="BP25" s="106" t="str">
        <f>IFERROR(IF(BO25=0,"",ROUND((BO25/SUM(SETTINGS!$L$14:$L$17))*SETTINGS!$L$18,0)),"")</f>
        <v/>
      </c>
      <c r="BQ25" s="105">
        <v>78</v>
      </c>
      <c r="BR25" s="106" t="str">
        <f>IFERROR(IF(ISBLANK(BQ25),"",ROUND((BQ25/SETTINGS!$L$19)*SETTINGS!$L$20,0)),"")</f>
        <v/>
      </c>
      <c r="BS25" s="106" t="str">
        <f t="shared" si="28"/>
        <v/>
      </c>
      <c r="BT25" s="103" t="str">
        <f t="shared" si="29"/>
        <v/>
      </c>
      <c r="BU25" s="107" t="str">
        <f t="shared" si="30"/>
        <v/>
      </c>
      <c r="BV25" s="130"/>
      <c r="BW25" s="105">
        <v>15</v>
      </c>
      <c r="BX25" s="105">
        <v>12</v>
      </c>
      <c r="BY25" s="105">
        <v>15</v>
      </c>
      <c r="BZ25" s="105">
        <v>15</v>
      </c>
      <c r="CA25" s="97">
        <f t="shared" si="31"/>
        <v>57</v>
      </c>
      <c r="CB25" s="106" t="str">
        <f>IFERROR(IF(CA25=0,"",ROUND((CA25/SUM(SETTINGS!$L$14:$L$17))*SETTINGS!$L$18,0)),"")</f>
        <v/>
      </c>
      <c r="CC25" s="105">
        <v>73</v>
      </c>
      <c r="CD25" s="106" t="str">
        <f>IFERROR(IF(ISBLANK(CC25),"",ROUND((CC25/SETTINGS!$L$19)*SETTINGS!$L$20,0)),"")</f>
        <v/>
      </c>
      <c r="CE25" s="106" t="str">
        <f t="shared" si="32"/>
        <v/>
      </c>
      <c r="CF25" s="103" t="str">
        <f t="shared" si="33"/>
        <v/>
      </c>
      <c r="CG25" s="107" t="str">
        <f t="shared" si="34"/>
        <v/>
      </c>
      <c r="CH25" s="130"/>
      <c r="CI25" s="105">
        <v>15</v>
      </c>
      <c r="CJ25" s="105">
        <v>13</v>
      </c>
      <c r="CK25" s="105">
        <v>15</v>
      </c>
      <c r="CL25" s="105">
        <v>15</v>
      </c>
      <c r="CM25" s="97">
        <f t="shared" si="35"/>
        <v>58</v>
      </c>
      <c r="CN25" s="106" t="str">
        <f>IFERROR(IF(CM25=0,"",ROUND((CM25/SUM(SETTINGS!$L$14:$L$17))*SETTINGS!$L$18,0)),"")</f>
        <v/>
      </c>
      <c r="CO25" s="105">
        <v>72</v>
      </c>
      <c r="CP25" s="106" t="str">
        <f>IFERROR(IF(ISBLANK(CO25),"",ROUND((CO25/SETTINGS!$L$19)*SETTINGS!$L$20,0)),"")</f>
        <v/>
      </c>
      <c r="CQ25" s="106" t="str">
        <f t="shared" si="36"/>
        <v/>
      </c>
      <c r="CR25" s="103" t="str">
        <f t="shared" si="37"/>
        <v/>
      </c>
      <c r="CS25" s="107" t="str">
        <f t="shared" si="38"/>
        <v/>
      </c>
      <c r="CT25" s="130"/>
      <c r="CU25" s="105">
        <v>13</v>
      </c>
      <c r="CV25" s="105">
        <v>15</v>
      </c>
      <c r="CW25" s="105">
        <v>14</v>
      </c>
      <c r="CX25" s="105">
        <v>13</v>
      </c>
      <c r="CY25" s="97">
        <f t="shared" si="39"/>
        <v>55</v>
      </c>
      <c r="CZ25" s="106" t="str">
        <f>IFERROR(IF(CY25=0,"",ROUND((CY25/SUM(SETTINGS!$L$14:$L$17))*SETTINGS!$L$18,0)),"")</f>
        <v/>
      </c>
      <c r="DA25" s="105">
        <v>79</v>
      </c>
      <c r="DB25" s="106" t="str">
        <f>IFERROR(IF(ISBLANK(DA25),"",ROUND((DA25/SETTINGS!$L$19)*SETTINGS!$L$20,0)),"")</f>
        <v/>
      </c>
      <c r="DC25" s="106" t="str">
        <f t="shared" si="40"/>
        <v/>
      </c>
      <c r="DD25" s="103" t="str">
        <f t="shared" si="41"/>
        <v/>
      </c>
      <c r="DE25" s="107" t="str">
        <f t="shared" si="42"/>
        <v/>
      </c>
      <c r="DF25" s="103" t="str">
        <f t="shared" si="12"/>
        <v/>
      </c>
      <c r="DG25" s="103" t="str">
        <f>IFERROR(IF(AND(K25,W25,AI25,AU25,BG25,BS25,CE25,CQ25,DC25)="","",SUM(K25,W25,AI25,AU25,LARGE((BG25,BS25,CE25,CQ25,DC25),{1,2}))),"")</f>
        <v/>
      </c>
      <c r="DH25" s="103" t="str">
        <f>IFERROR(IF(AND(M25,Y25,AK25,AW25,,BI25,BU25,CG25,CS25,DE25)="","",SUM(M25,Y25,AK25,AW25,SMALL((BI25,BU25,CG25,CS25,DE25),{1,2}))),"")</f>
        <v/>
      </c>
      <c r="DI25" s="109" t="str">
        <f>IFERROR(pos&amp;IF(AND(MOD(ABS(18),100)&gt;10,MOD(ABS(pos),100)&lt;14),"th", CHOOSE(MOD(ABS(pos),10)+1,"th","st","nd","rd","th","th","th","th","th","th")),"")</f>
        <v/>
      </c>
      <c r="DJ25" s="62">
        <f>ROWS($B$12:$B25)</f>
        <v>14</v>
      </c>
      <c r="DK25" s="62" t="str">
        <f>IF($B25=REPORT_CARD!$M$12,$DJ25,"")</f>
        <v/>
      </c>
      <c r="DM25" s="65"/>
    </row>
    <row r="26" spans="1:117" ht="19.5" customHeight="1">
      <c r="A26" s="140" t="str">
        <f>IFERROR(IF(ISBLANK(#REF!),"",#REF!),"")</f>
        <v/>
      </c>
      <c r="B26" s="140" t="str">
        <f>IFERROR(IF(ISBLANK(#REF!),"",#REF!),"")</f>
        <v/>
      </c>
      <c r="C26" s="105">
        <v>15</v>
      </c>
      <c r="D26" s="105">
        <v>15</v>
      </c>
      <c r="E26" s="105">
        <v>9</v>
      </c>
      <c r="F26" s="105">
        <v>10</v>
      </c>
      <c r="G26" s="97">
        <f t="shared" si="43"/>
        <v>49</v>
      </c>
      <c r="H26" s="106" t="str">
        <f>IFERROR(IF(G26=0,"",ROUND((G26/SUM(SETTINGS!$L$14:$L$17))*SETTINGS!$L$18,0)),"")</f>
        <v/>
      </c>
      <c r="I26" s="105">
        <v>40</v>
      </c>
      <c r="J26" s="106" t="str">
        <f>IFERROR(IF(ISBLANK(I26),"",ROUND((I26/SETTINGS!$L$19)*SETTINGS!$L$20,0)),"")</f>
        <v/>
      </c>
      <c r="K26" s="106" t="str">
        <f t="shared" si="13"/>
        <v/>
      </c>
      <c r="L26" s="103" t="str">
        <f t="shared" si="0"/>
        <v/>
      </c>
      <c r="M26" s="107" t="str">
        <f t="shared" si="14"/>
        <v/>
      </c>
      <c r="N26" s="136"/>
      <c r="O26" s="105">
        <v>5</v>
      </c>
      <c r="P26" s="105">
        <v>13</v>
      </c>
      <c r="Q26" s="105">
        <v>7</v>
      </c>
      <c r="R26" s="105">
        <v>13</v>
      </c>
      <c r="S26" s="97">
        <f t="shared" si="1"/>
        <v>38</v>
      </c>
      <c r="T26" s="106" t="str">
        <f>IFERROR(IF(S26=0,"",ROUND((S26/SUM(SETTINGS!$L$14:$L$17))*SETTINGS!$L$18,0)),"")</f>
        <v/>
      </c>
      <c r="U26" s="105">
        <v>40</v>
      </c>
      <c r="V26" s="106" t="str">
        <f>IFERROR(IF(ISBLANK(U26),"",ROUND((U26/SETTINGS!$L$19)*SETTINGS!$L$20,0)),"")</f>
        <v/>
      </c>
      <c r="W26" s="106" t="str">
        <f t="shared" si="2"/>
        <v/>
      </c>
      <c r="X26" s="103" t="str">
        <f t="shared" si="3"/>
        <v/>
      </c>
      <c r="Y26" s="107" t="str">
        <f t="shared" si="4"/>
        <v/>
      </c>
      <c r="Z26" s="130"/>
      <c r="AA26" s="105">
        <v>8</v>
      </c>
      <c r="AB26" s="105">
        <v>10</v>
      </c>
      <c r="AC26" s="105">
        <v>8</v>
      </c>
      <c r="AD26" s="105">
        <v>10</v>
      </c>
      <c r="AE26" s="97">
        <f t="shared" si="15"/>
        <v>36</v>
      </c>
      <c r="AF26" s="106" t="str">
        <f>IFERROR(IF(AE26=0,"",ROUND((AE26/SUM(SETTINGS!$L$14:$L$17))*SETTINGS!$L$18,0)),"")</f>
        <v/>
      </c>
      <c r="AG26" s="105">
        <v>51</v>
      </c>
      <c r="AH26" s="106" t="str">
        <f>IFERROR(IF(ISBLANK(AG26),"",ROUND((AG26/SETTINGS!$L$19)*SETTINGS!$L$20,0)),"")</f>
        <v/>
      </c>
      <c r="AI26" s="106" t="str">
        <f t="shared" si="16"/>
        <v/>
      </c>
      <c r="AJ26" s="103" t="str">
        <f t="shared" si="17"/>
        <v/>
      </c>
      <c r="AK26" s="108" t="str">
        <f t="shared" si="18"/>
        <v/>
      </c>
      <c r="AL26" s="130"/>
      <c r="AM26" s="105">
        <v>10</v>
      </c>
      <c r="AN26" s="105">
        <v>11</v>
      </c>
      <c r="AO26" s="105">
        <v>4</v>
      </c>
      <c r="AP26" s="105">
        <v>14</v>
      </c>
      <c r="AQ26" s="97">
        <f t="shared" si="19"/>
        <v>39</v>
      </c>
      <c r="AR26" s="106" t="str">
        <f>IFERROR(IF(AQ26=0,"",ROUND((AQ26/SUM(SETTINGS!$L$14:$L$17))*SETTINGS!$L$18,0)),"")</f>
        <v/>
      </c>
      <c r="AS26" s="105">
        <v>41</v>
      </c>
      <c r="AT26" s="106" t="str">
        <f>IFERROR(IF(ISBLANK(AS26),"",ROUND((AS26/SETTINGS!$L$19)*SETTINGS!$L$20,0)),"")</f>
        <v/>
      </c>
      <c r="AU26" s="106" t="str">
        <f t="shared" si="20"/>
        <v/>
      </c>
      <c r="AV26" s="103" t="str">
        <f t="shared" si="21"/>
        <v/>
      </c>
      <c r="AW26" s="107" t="str">
        <f t="shared" si="22"/>
        <v/>
      </c>
      <c r="AX26" s="130"/>
      <c r="AY26" s="105">
        <v>11</v>
      </c>
      <c r="AZ26" s="105">
        <v>10</v>
      </c>
      <c r="BA26" s="105">
        <v>8</v>
      </c>
      <c r="BB26" s="105">
        <v>10</v>
      </c>
      <c r="BC26" s="97">
        <f t="shared" si="23"/>
        <v>39</v>
      </c>
      <c r="BD26" s="106" t="str">
        <f>IFERROR(IF(BC26=0,"",ROUND((BC26/SUM(SETTINGS!$L$14:$L$17))*SETTINGS!$L$18,0)),"")</f>
        <v/>
      </c>
      <c r="BE26" s="105">
        <v>58</v>
      </c>
      <c r="BF26" s="106" t="str">
        <f>IFERROR(IF(ISBLANK(BE26),"",ROUND((BE26/SETTINGS!$L$19)*SETTINGS!$L$20,0)),"")</f>
        <v/>
      </c>
      <c r="BG26" s="106" t="str">
        <f t="shared" si="24"/>
        <v/>
      </c>
      <c r="BH26" s="103" t="str">
        <f t="shared" si="25"/>
        <v/>
      </c>
      <c r="BI26" s="108" t="str">
        <f t="shared" si="26"/>
        <v/>
      </c>
      <c r="BJ26" s="130"/>
      <c r="BK26" s="105">
        <v>14</v>
      </c>
      <c r="BL26" s="105">
        <v>6</v>
      </c>
      <c r="BM26" s="105">
        <v>2</v>
      </c>
      <c r="BN26" s="105">
        <v>15</v>
      </c>
      <c r="BO26" s="97">
        <f t="shared" si="27"/>
        <v>37</v>
      </c>
      <c r="BP26" s="106" t="str">
        <f>IFERROR(IF(BO26=0,"",ROUND((BO26/SUM(SETTINGS!$L$14:$L$17))*SETTINGS!$L$18,0)),"")</f>
        <v/>
      </c>
      <c r="BQ26" s="105">
        <v>41</v>
      </c>
      <c r="BR26" s="106" t="str">
        <f>IFERROR(IF(ISBLANK(BQ26),"",ROUND((BQ26/SETTINGS!$L$19)*SETTINGS!$L$20,0)),"")</f>
        <v/>
      </c>
      <c r="BS26" s="106" t="str">
        <f t="shared" si="28"/>
        <v/>
      </c>
      <c r="BT26" s="103" t="str">
        <f t="shared" si="29"/>
        <v/>
      </c>
      <c r="BU26" s="107" t="str">
        <f t="shared" si="30"/>
        <v/>
      </c>
      <c r="BV26" s="130"/>
      <c r="BW26" s="105">
        <v>8</v>
      </c>
      <c r="BX26" s="105">
        <v>13</v>
      </c>
      <c r="BY26" s="105">
        <v>14</v>
      </c>
      <c r="BZ26" s="105">
        <v>12</v>
      </c>
      <c r="CA26" s="97">
        <f t="shared" si="31"/>
        <v>47</v>
      </c>
      <c r="CB26" s="106" t="str">
        <f>IFERROR(IF(CA26=0,"",ROUND((CA26/SUM(SETTINGS!$L$14:$L$17))*SETTINGS!$L$18,0)),"")</f>
        <v/>
      </c>
      <c r="CC26" s="105">
        <v>56</v>
      </c>
      <c r="CD26" s="106" t="str">
        <f>IFERROR(IF(ISBLANK(CC26),"",ROUND((CC26/SETTINGS!$L$19)*SETTINGS!$L$20,0)),"")</f>
        <v/>
      </c>
      <c r="CE26" s="106" t="str">
        <f t="shared" si="32"/>
        <v/>
      </c>
      <c r="CF26" s="103" t="str">
        <f t="shared" si="33"/>
        <v/>
      </c>
      <c r="CG26" s="107" t="str">
        <f t="shared" si="34"/>
        <v/>
      </c>
      <c r="CH26" s="130"/>
      <c r="CI26" s="105">
        <v>9</v>
      </c>
      <c r="CJ26" s="105">
        <v>13</v>
      </c>
      <c r="CK26" s="105">
        <v>9</v>
      </c>
      <c r="CL26" s="105">
        <v>7</v>
      </c>
      <c r="CM26" s="97">
        <f t="shared" si="35"/>
        <v>38</v>
      </c>
      <c r="CN26" s="106" t="str">
        <f>IFERROR(IF(CM26=0,"",ROUND((CM26/SUM(SETTINGS!$L$14:$L$17))*SETTINGS!$L$18,0)),"")</f>
        <v/>
      </c>
      <c r="CO26" s="105">
        <v>24</v>
      </c>
      <c r="CP26" s="106" t="str">
        <f>IFERROR(IF(ISBLANK(CO26),"",ROUND((CO26/SETTINGS!$L$19)*SETTINGS!$L$20,0)),"")</f>
        <v/>
      </c>
      <c r="CQ26" s="106" t="str">
        <f t="shared" si="36"/>
        <v/>
      </c>
      <c r="CR26" s="103" t="str">
        <f t="shared" si="37"/>
        <v/>
      </c>
      <c r="CS26" s="107" t="str">
        <f t="shared" si="38"/>
        <v/>
      </c>
      <c r="CT26" s="130"/>
      <c r="CU26" s="105">
        <v>5</v>
      </c>
      <c r="CV26" s="105">
        <v>12</v>
      </c>
      <c r="CW26" s="105">
        <v>5</v>
      </c>
      <c r="CX26" s="105">
        <v>7</v>
      </c>
      <c r="CY26" s="97">
        <f t="shared" si="39"/>
        <v>29</v>
      </c>
      <c r="CZ26" s="106" t="str">
        <f>IFERROR(IF(CY26=0,"",ROUND((CY26/SUM(SETTINGS!$L$14:$L$17))*SETTINGS!$L$18,0)),"")</f>
        <v/>
      </c>
      <c r="DA26" s="105">
        <v>27</v>
      </c>
      <c r="DB26" s="106" t="str">
        <f>IFERROR(IF(ISBLANK(DA26),"",ROUND((DA26/SETTINGS!$L$19)*SETTINGS!$L$20,0)),"")</f>
        <v/>
      </c>
      <c r="DC26" s="106" t="str">
        <f t="shared" si="40"/>
        <v/>
      </c>
      <c r="DD26" s="103" t="str">
        <f t="shared" si="41"/>
        <v/>
      </c>
      <c r="DE26" s="107" t="str">
        <f t="shared" si="42"/>
        <v/>
      </c>
      <c r="DF26" s="103" t="str">
        <f t="shared" si="12"/>
        <v/>
      </c>
      <c r="DG26" s="103" t="str">
        <f>IFERROR(IF(AND(K26,W26,AI26,AU26,BG26,BS26,CE26,CQ26,DC26)="","",SUM(K26,W26,AI26,AU26,LARGE((BG26,BS26,CE26,CQ26,DC26),{1,2}))),"")</f>
        <v/>
      </c>
      <c r="DH26" s="103" t="str">
        <f>IFERROR(IF(AND(M26,Y26,AK26,AW26,,BI26,BU26,CG26,CS26,DE26)="","",SUM(M26,Y26,AK26,AW26,SMALL((BI26,BU26,CG26,CS26,DE26),{1,2}))),"")</f>
        <v/>
      </c>
      <c r="DI26" s="109" t="str">
        <f>IFERROR(pos&amp;IF(AND(MOD(ABS(18),100)&gt;10,MOD(ABS(pos),100)&lt;14),"th", CHOOSE(MOD(ABS(pos),10)+1,"th","st","nd","rd","th","th","th","th","th","th")),"")</f>
        <v/>
      </c>
      <c r="DJ26" s="62">
        <f>ROWS($B$12:$B26)</f>
        <v>15</v>
      </c>
      <c r="DK26" s="62" t="str">
        <f>IF($B26=REPORT_CARD!$M$12,$DJ26,"")</f>
        <v/>
      </c>
      <c r="DM26" s="65"/>
    </row>
    <row r="27" spans="1:117" ht="19.5" customHeight="1">
      <c r="A27" s="140" t="str">
        <f>IFERROR(IF(ISBLANK(#REF!),"",#REF!),"")</f>
        <v/>
      </c>
      <c r="B27" s="140" t="str">
        <f>IFERROR(IF(ISBLANK(#REF!),"",#REF!),"")</f>
        <v/>
      </c>
      <c r="C27" s="105">
        <v>15</v>
      </c>
      <c r="D27" s="105">
        <v>14</v>
      </c>
      <c r="E27" s="105">
        <v>15</v>
      </c>
      <c r="F27" s="105">
        <v>7</v>
      </c>
      <c r="G27" s="97">
        <f t="shared" si="43"/>
        <v>51</v>
      </c>
      <c r="H27" s="106" t="str">
        <f>IFERROR(IF(G27=0,"",ROUND((G27/SUM(SETTINGS!$L$14:$L$17))*SETTINGS!$L$18,0)),"")</f>
        <v/>
      </c>
      <c r="I27" s="105">
        <v>20</v>
      </c>
      <c r="J27" s="106" t="str">
        <f>IFERROR(IF(ISBLANK(I27),"",ROUND((I27/SETTINGS!$L$19)*SETTINGS!$L$20,0)),"")</f>
        <v/>
      </c>
      <c r="K27" s="106" t="str">
        <f t="shared" si="13"/>
        <v/>
      </c>
      <c r="L27" s="103" t="str">
        <f t="shared" si="0"/>
        <v/>
      </c>
      <c r="M27" s="107" t="str">
        <f t="shared" si="14"/>
        <v/>
      </c>
      <c r="N27" s="136"/>
      <c r="O27" s="105">
        <v>5</v>
      </c>
      <c r="P27" s="105">
        <v>13</v>
      </c>
      <c r="Q27" s="105">
        <v>5</v>
      </c>
      <c r="R27" s="105">
        <v>14</v>
      </c>
      <c r="S27" s="97">
        <f t="shared" si="1"/>
        <v>37</v>
      </c>
      <c r="T27" s="106" t="str">
        <f>IFERROR(IF(S27=0,"",ROUND((S27/SUM(SETTINGS!$L$14:$L$17))*SETTINGS!$L$18,0)),"")</f>
        <v/>
      </c>
      <c r="U27" s="105">
        <v>24</v>
      </c>
      <c r="V27" s="106" t="str">
        <f>IFERROR(IF(ISBLANK(U27),"",ROUND((U27/SETTINGS!$L$19)*SETTINGS!$L$20,0)),"")</f>
        <v/>
      </c>
      <c r="W27" s="106" t="str">
        <f t="shared" si="2"/>
        <v/>
      </c>
      <c r="X27" s="103" t="str">
        <f t="shared" si="3"/>
        <v/>
      </c>
      <c r="Y27" s="107" t="str">
        <f t="shared" si="4"/>
        <v/>
      </c>
      <c r="Z27" s="130"/>
      <c r="AA27" s="105">
        <v>7</v>
      </c>
      <c r="AB27" s="105">
        <v>10</v>
      </c>
      <c r="AC27" s="105">
        <v>10</v>
      </c>
      <c r="AD27" s="105">
        <v>9</v>
      </c>
      <c r="AE27" s="97">
        <f t="shared" si="15"/>
        <v>36</v>
      </c>
      <c r="AF27" s="106" t="str">
        <f>IFERROR(IF(AE27=0,"",ROUND((AE27/SUM(SETTINGS!$L$14:$L$17))*SETTINGS!$L$18,0)),"")</f>
        <v/>
      </c>
      <c r="AG27" s="105">
        <v>23</v>
      </c>
      <c r="AH27" s="106" t="str">
        <f>IFERROR(IF(ISBLANK(AG27),"",ROUND((AG27/SETTINGS!$L$19)*SETTINGS!$L$20,0)),"")</f>
        <v/>
      </c>
      <c r="AI27" s="106" t="str">
        <f t="shared" si="16"/>
        <v/>
      </c>
      <c r="AJ27" s="103" t="str">
        <f t="shared" si="17"/>
        <v/>
      </c>
      <c r="AK27" s="108" t="str">
        <f t="shared" si="18"/>
        <v/>
      </c>
      <c r="AL27" s="130"/>
      <c r="AM27" s="105">
        <v>12</v>
      </c>
      <c r="AN27" s="105">
        <v>10</v>
      </c>
      <c r="AO27" s="105">
        <v>9</v>
      </c>
      <c r="AP27" s="105">
        <v>14</v>
      </c>
      <c r="AQ27" s="97">
        <f t="shared" si="19"/>
        <v>45</v>
      </c>
      <c r="AR27" s="106" t="str">
        <f>IFERROR(IF(AQ27=0,"",ROUND((AQ27/SUM(SETTINGS!$L$14:$L$17))*SETTINGS!$L$18,0)),"")</f>
        <v/>
      </c>
      <c r="AS27" s="105">
        <v>29</v>
      </c>
      <c r="AT27" s="106" t="str">
        <f>IFERROR(IF(ISBLANK(AS27),"",ROUND((AS27/SETTINGS!$L$19)*SETTINGS!$L$20,0)),"")</f>
        <v/>
      </c>
      <c r="AU27" s="106" t="str">
        <f t="shared" si="20"/>
        <v/>
      </c>
      <c r="AV27" s="103" t="str">
        <f t="shared" si="21"/>
        <v/>
      </c>
      <c r="AW27" s="107" t="str">
        <f t="shared" si="22"/>
        <v/>
      </c>
      <c r="AX27" s="130"/>
      <c r="AY27" s="105">
        <v>12</v>
      </c>
      <c r="AZ27" s="105">
        <v>10</v>
      </c>
      <c r="BA27" s="105">
        <v>10</v>
      </c>
      <c r="BB27" s="105">
        <v>8</v>
      </c>
      <c r="BC27" s="97">
        <f t="shared" si="23"/>
        <v>40</v>
      </c>
      <c r="BD27" s="106" t="str">
        <f>IFERROR(IF(BC27=0,"",ROUND((BC27/SUM(SETTINGS!$L$14:$L$17))*SETTINGS!$L$18,0)),"")</f>
        <v/>
      </c>
      <c r="BE27" s="105">
        <v>42</v>
      </c>
      <c r="BF27" s="106" t="str">
        <f>IFERROR(IF(ISBLANK(BE27),"",ROUND((BE27/SETTINGS!$L$19)*SETTINGS!$L$20,0)),"")</f>
        <v/>
      </c>
      <c r="BG27" s="106" t="str">
        <f t="shared" si="24"/>
        <v/>
      </c>
      <c r="BH27" s="103" t="str">
        <f t="shared" si="25"/>
        <v/>
      </c>
      <c r="BI27" s="108" t="str">
        <f t="shared" si="26"/>
        <v/>
      </c>
      <c r="BJ27" s="130"/>
      <c r="BK27" s="105">
        <v>8</v>
      </c>
      <c r="BL27" s="105">
        <v>9</v>
      </c>
      <c r="BM27" s="105">
        <v>5</v>
      </c>
      <c r="BN27" s="105">
        <v>15</v>
      </c>
      <c r="BO27" s="97">
        <f t="shared" si="27"/>
        <v>37</v>
      </c>
      <c r="BP27" s="106" t="str">
        <f>IFERROR(IF(BO27=0,"",ROUND((BO27/SUM(SETTINGS!$L$14:$L$17))*SETTINGS!$L$18,0)),"")</f>
        <v/>
      </c>
      <c r="BQ27" s="105">
        <v>22</v>
      </c>
      <c r="BR27" s="106" t="str">
        <f>IFERROR(IF(ISBLANK(BQ27),"",ROUND((BQ27/SETTINGS!$L$19)*SETTINGS!$L$20,0)),"")</f>
        <v/>
      </c>
      <c r="BS27" s="106" t="str">
        <f t="shared" si="28"/>
        <v/>
      </c>
      <c r="BT27" s="103" t="str">
        <f t="shared" si="29"/>
        <v/>
      </c>
      <c r="BU27" s="107" t="str">
        <f t="shared" si="30"/>
        <v/>
      </c>
      <c r="BV27" s="130"/>
      <c r="BW27" s="105">
        <v>4</v>
      </c>
      <c r="BX27" s="105">
        <v>11</v>
      </c>
      <c r="BY27" s="105">
        <v>12</v>
      </c>
      <c r="BZ27" s="105">
        <v>8</v>
      </c>
      <c r="CA27" s="97">
        <f t="shared" si="31"/>
        <v>35</v>
      </c>
      <c r="CB27" s="106" t="str">
        <f>IFERROR(IF(CA27=0,"",ROUND((CA27/SUM(SETTINGS!$L$14:$L$17))*SETTINGS!$L$18,0)),"")</f>
        <v/>
      </c>
      <c r="CC27" s="105">
        <v>41</v>
      </c>
      <c r="CD27" s="106" t="str">
        <f>IFERROR(IF(ISBLANK(CC27),"",ROUND((CC27/SETTINGS!$L$19)*SETTINGS!$L$20,0)),"")</f>
        <v/>
      </c>
      <c r="CE27" s="106" t="str">
        <f t="shared" si="32"/>
        <v/>
      </c>
      <c r="CF27" s="103" t="str">
        <f t="shared" si="33"/>
        <v/>
      </c>
      <c r="CG27" s="107" t="str">
        <f t="shared" si="34"/>
        <v/>
      </c>
      <c r="CH27" s="130"/>
      <c r="CI27" s="105">
        <v>10</v>
      </c>
      <c r="CJ27" s="105">
        <v>13</v>
      </c>
      <c r="CK27" s="105">
        <v>7</v>
      </c>
      <c r="CL27" s="105">
        <v>10</v>
      </c>
      <c r="CM27" s="97">
        <f t="shared" si="35"/>
        <v>40</v>
      </c>
      <c r="CN27" s="106" t="str">
        <f>IFERROR(IF(CM27=0,"",ROUND((CM27/SUM(SETTINGS!$L$14:$L$17))*SETTINGS!$L$18,0)),"")</f>
        <v/>
      </c>
      <c r="CO27" s="105">
        <v>29</v>
      </c>
      <c r="CP27" s="106" t="str">
        <f>IFERROR(IF(ISBLANK(CO27),"",ROUND((CO27/SETTINGS!$L$19)*SETTINGS!$L$20,0)),"")</f>
        <v/>
      </c>
      <c r="CQ27" s="106" t="str">
        <f t="shared" si="36"/>
        <v/>
      </c>
      <c r="CR27" s="103" t="str">
        <f t="shared" si="37"/>
        <v/>
      </c>
      <c r="CS27" s="107" t="str">
        <f t="shared" si="38"/>
        <v/>
      </c>
      <c r="CT27" s="130"/>
      <c r="CU27" s="105">
        <v>7</v>
      </c>
      <c r="CV27" s="105">
        <v>14</v>
      </c>
      <c r="CW27" s="105">
        <v>12</v>
      </c>
      <c r="CX27" s="105">
        <v>6</v>
      </c>
      <c r="CY27" s="97">
        <f t="shared" si="39"/>
        <v>39</v>
      </c>
      <c r="CZ27" s="106" t="str">
        <f>IFERROR(IF(CY27=0,"",ROUND((CY27/SUM(SETTINGS!$L$14:$L$17))*SETTINGS!$L$18,0)),"")</f>
        <v/>
      </c>
      <c r="DA27" s="105">
        <v>14</v>
      </c>
      <c r="DB27" s="106" t="str">
        <f>IFERROR(IF(ISBLANK(DA27),"",ROUND((DA27/SETTINGS!$L$19)*SETTINGS!$L$20,0)),"")</f>
        <v/>
      </c>
      <c r="DC27" s="106" t="str">
        <f t="shared" si="40"/>
        <v/>
      </c>
      <c r="DD27" s="103" t="str">
        <f t="shared" si="41"/>
        <v/>
      </c>
      <c r="DE27" s="107" t="str">
        <f t="shared" si="42"/>
        <v/>
      </c>
      <c r="DF27" s="103" t="str">
        <f t="shared" si="12"/>
        <v/>
      </c>
      <c r="DG27" s="103" t="str">
        <f>IFERROR(IF(AND(K27,W27,AI27,AU27,BG27,BS27,CE27,CQ27,DC27)="","",SUM(K27,W27,AI27,AU27,LARGE((BG27,BS27,CE27,CQ27,DC27),{1,2}))),"")</f>
        <v/>
      </c>
      <c r="DH27" s="103" t="str">
        <f>IFERROR(IF(AND(M27,Y27,AK27,AW27,,BI27,BU27,CG27,CS27,DE27)="","",SUM(M27,Y27,AK27,AW27,SMALL((BI27,BU27,CG27,CS27,DE27),{1,2}))),"")</f>
        <v/>
      </c>
      <c r="DI27" s="109" t="str">
        <f>IFERROR(pos&amp;IF(AND(MOD(ABS(18),100)&gt;10,MOD(ABS(pos),100)&lt;14),"th", CHOOSE(MOD(ABS(pos),10)+1,"th","st","nd","rd","th","th","th","th","th","th")),"")</f>
        <v/>
      </c>
      <c r="DJ27" s="62">
        <f>ROWS($B$12:$B27)</f>
        <v>16</v>
      </c>
      <c r="DK27" s="62" t="str">
        <f>IF($B27=REPORT_CARD!$M$12,$DJ27,"")</f>
        <v/>
      </c>
      <c r="DM27" s="65"/>
    </row>
    <row r="28" spans="1:117" ht="19.5" customHeight="1">
      <c r="A28" s="140" t="str">
        <f>IFERROR(IF(ISBLANK(#REF!),"",#REF!),"")</f>
        <v/>
      </c>
      <c r="B28" s="140" t="str">
        <f>IFERROR(IF(ISBLANK(#REF!),"",#REF!),"")</f>
        <v/>
      </c>
      <c r="C28" s="105">
        <v>15</v>
      </c>
      <c r="D28" s="105">
        <v>14</v>
      </c>
      <c r="E28" s="105">
        <v>15</v>
      </c>
      <c r="F28" s="105">
        <v>9</v>
      </c>
      <c r="G28" s="97">
        <f t="shared" si="43"/>
        <v>53</v>
      </c>
      <c r="H28" s="106" t="str">
        <f>IFERROR(IF(G28=0,"",ROUND((G28/SUM(SETTINGS!$L$14:$L$17))*SETTINGS!$L$18,0)),"")</f>
        <v/>
      </c>
      <c r="I28" s="105">
        <v>45</v>
      </c>
      <c r="J28" s="106" t="str">
        <f>IFERROR(IF(ISBLANK(I28),"",ROUND((I28/SETTINGS!$L$19)*SETTINGS!$L$20,0)),"")</f>
        <v/>
      </c>
      <c r="K28" s="106" t="str">
        <f t="shared" si="13"/>
        <v/>
      </c>
      <c r="L28" s="103" t="str">
        <f t="shared" si="0"/>
        <v/>
      </c>
      <c r="M28" s="107" t="str">
        <f t="shared" si="14"/>
        <v/>
      </c>
      <c r="N28" s="136"/>
      <c r="O28" s="105">
        <v>5</v>
      </c>
      <c r="P28" s="105">
        <v>13</v>
      </c>
      <c r="Q28" s="105">
        <v>11</v>
      </c>
      <c r="R28" s="105">
        <v>12</v>
      </c>
      <c r="S28" s="97">
        <f t="shared" si="1"/>
        <v>41</v>
      </c>
      <c r="T28" s="106" t="str">
        <f>IFERROR(IF(S28=0,"",ROUND((S28/SUM(SETTINGS!$L$14:$L$17))*SETTINGS!$L$18,0)),"")</f>
        <v/>
      </c>
      <c r="U28" s="105">
        <v>39</v>
      </c>
      <c r="V28" s="106" t="str">
        <f>IFERROR(IF(ISBLANK(U28),"",ROUND((U28/SETTINGS!$L$19)*SETTINGS!$L$20,0)),"")</f>
        <v/>
      </c>
      <c r="W28" s="106" t="str">
        <f t="shared" si="2"/>
        <v/>
      </c>
      <c r="X28" s="103" t="str">
        <f t="shared" si="3"/>
        <v/>
      </c>
      <c r="Y28" s="107" t="str">
        <f t="shared" si="4"/>
        <v/>
      </c>
      <c r="Z28" s="130"/>
      <c r="AA28" s="105">
        <v>11</v>
      </c>
      <c r="AB28" s="105">
        <v>10</v>
      </c>
      <c r="AC28" s="105">
        <v>7</v>
      </c>
      <c r="AD28" s="105">
        <v>14</v>
      </c>
      <c r="AE28" s="97">
        <f t="shared" si="15"/>
        <v>42</v>
      </c>
      <c r="AF28" s="106" t="str">
        <f>IFERROR(IF(AE28=0,"",ROUND((AE28/SUM(SETTINGS!$L$14:$L$17))*SETTINGS!$L$18,0)),"")</f>
        <v/>
      </c>
      <c r="AG28" s="105">
        <v>72</v>
      </c>
      <c r="AH28" s="106" t="str">
        <f>IFERROR(IF(ISBLANK(AG28),"",ROUND((AG28/SETTINGS!$L$19)*SETTINGS!$L$20,0)),"")</f>
        <v/>
      </c>
      <c r="AI28" s="106" t="str">
        <f t="shared" si="16"/>
        <v/>
      </c>
      <c r="AJ28" s="103" t="str">
        <f t="shared" si="17"/>
        <v/>
      </c>
      <c r="AK28" s="108" t="str">
        <f t="shared" si="18"/>
        <v/>
      </c>
      <c r="AL28" s="130"/>
      <c r="AM28" s="105">
        <v>11</v>
      </c>
      <c r="AN28" s="105">
        <v>10</v>
      </c>
      <c r="AO28" s="105">
        <v>12</v>
      </c>
      <c r="AP28" s="105">
        <v>15</v>
      </c>
      <c r="AQ28" s="97">
        <f t="shared" si="19"/>
        <v>48</v>
      </c>
      <c r="AR28" s="106" t="str">
        <f>IFERROR(IF(AQ28=0,"",ROUND((AQ28/SUM(SETTINGS!$L$14:$L$17))*SETTINGS!$L$18,0)),"")</f>
        <v/>
      </c>
      <c r="AS28" s="105">
        <v>34</v>
      </c>
      <c r="AT28" s="106" t="str">
        <f>IFERROR(IF(ISBLANK(AS28),"",ROUND((AS28/SETTINGS!$L$19)*SETTINGS!$L$20,0)),"")</f>
        <v/>
      </c>
      <c r="AU28" s="106" t="str">
        <f t="shared" si="20"/>
        <v/>
      </c>
      <c r="AV28" s="103" t="str">
        <f t="shared" si="21"/>
        <v/>
      </c>
      <c r="AW28" s="107" t="str">
        <f t="shared" si="22"/>
        <v/>
      </c>
      <c r="AX28" s="130"/>
      <c r="AY28" s="105">
        <v>15</v>
      </c>
      <c r="AZ28" s="105">
        <v>9</v>
      </c>
      <c r="BA28" s="105">
        <v>12</v>
      </c>
      <c r="BB28" s="105">
        <v>10</v>
      </c>
      <c r="BC28" s="97">
        <f t="shared" si="23"/>
        <v>46</v>
      </c>
      <c r="BD28" s="106" t="str">
        <f>IFERROR(IF(BC28=0,"",ROUND((BC28/SUM(SETTINGS!$L$14:$L$17))*SETTINGS!$L$18,0)),"")</f>
        <v/>
      </c>
      <c r="BE28" s="105">
        <v>51</v>
      </c>
      <c r="BF28" s="106" t="str">
        <f>IFERROR(IF(ISBLANK(BE28),"",ROUND((BE28/SETTINGS!$L$19)*SETTINGS!$L$20,0)),"")</f>
        <v/>
      </c>
      <c r="BG28" s="106" t="str">
        <f t="shared" si="24"/>
        <v/>
      </c>
      <c r="BH28" s="103" t="str">
        <f t="shared" si="25"/>
        <v/>
      </c>
      <c r="BI28" s="108" t="str">
        <f t="shared" si="26"/>
        <v/>
      </c>
      <c r="BJ28" s="130"/>
      <c r="BK28" s="105">
        <v>15</v>
      </c>
      <c r="BL28" s="105">
        <v>15</v>
      </c>
      <c r="BM28" s="105">
        <v>4</v>
      </c>
      <c r="BN28" s="105">
        <v>15</v>
      </c>
      <c r="BO28" s="97">
        <f t="shared" si="27"/>
        <v>49</v>
      </c>
      <c r="BP28" s="106" t="str">
        <f>IFERROR(IF(BO28=0,"",ROUND((BO28/SUM(SETTINGS!$L$14:$L$17))*SETTINGS!$L$18,0)),"")</f>
        <v/>
      </c>
      <c r="BQ28" s="105">
        <v>45</v>
      </c>
      <c r="BR28" s="106" t="str">
        <f>IFERROR(IF(ISBLANK(BQ28),"",ROUND((BQ28/SETTINGS!$L$19)*SETTINGS!$L$20,0)),"")</f>
        <v/>
      </c>
      <c r="BS28" s="106" t="str">
        <f t="shared" si="28"/>
        <v/>
      </c>
      <c r="BT28" s="103" t="str">
        <f t="shared" si="29"/>
        <v/>
      </c>
      <c r="BU28" s="107" t="str">
        <f t="shared" si="30"/>
        <v/>
      </c>
      <c r="BV28" s="130"/>
      <c r="BW28" s="105">
        <v>15</v>
      </c>
      <c r="BX28" s="105">
        <v>13</v>
      </c>
      <c r="BY28" s="105">
        <v>12</v>
      </c>
      <c r="BZ28" s="105">
        <v>12</v>
      </c>
      <c r="CA28" s="97">
        <f t="shared" si="31"/>
        <v>52</v>
      </c>
      <c r="CB28" s="106" t="str">
        <f>IFERROR(IF(CA28=0,"",ROUND((CA28/SUM(SETTINGS!$L$14:$L$17))*SETTINGS!$L$18,0)),"")</f>
        <v/>
      </c>
      <c r="CC28" s="105">
        <v>49</v>
      </c>
      <c r="CD28" s="106" t="str">
        <f>IFERROR(IF(ISBLANK(CC28),"",ROUND((CC28/SETTINGS!$L$19)*SETTINGS!$L$20,0)),"")</f>
        <v/>
      </c>
      <c r="CE28" s="106" t="str">
        <f t="shared" si="32"/>
        <v/>
      </c>
      <c r="CF28" s="103" t="str">
        <f t="shared" si="33"/>
        <v/>
      </c>
      <c r="CG28" s="107" t="str">
        <f t="shared" si="34"/>
        <v/>
      </c>
      <c r="CH28" s="130"/>
      <c r="CI28" s="105">
        <v>12</v>
      </c>
      <c r="CJ28" s="105">
        <v>13</v>
      </c>
      <c r="CK28" s="105">
        <v>9</v>
      </c>
      <c r="CL28" s="105">
        <v>13</v>
      </c>
      <c r="CM28" s="97">
        <f t="shared" si="35"/>
        <v>47</v>
      </c>
      <c r="CN28" s="106" t="str">
        <f>IFERROR(IF(CM28=0,"",ROUND((CM28/SUM(SETTINGS!$L$14:$L$17))*SETTINGS!$L$18,0)),"")</f>
        <v/>
      </c>
      <c r="CO28" s="105">
        <v>52</v>
      </c>
      <c r="CP28" s="106" t="str">
        <f>IFERROR(IF(ISBLANK(CO28),"",ROUND((CO28/SETTINGS!$L$19)*SETTINGS!$L$20,0)),"")</f>
        <v/>
      </c>
      <c r="CQ28" s="106" t="str">
        <f t="shared" si="36"/>
        <v/>
      </c>
      <c r="CR28" s="103" t="str">
        <f t="shared" si="37"/>
        <v/>
      </c>
      <c r="CS28" s="107" t="str">
        <f t="shared" si="38"/>
        <v/>
      </c>
      <c r="CT28" s="130"/>
      <c r="CU28" s="105">
        <v>13</v>
      </c>
      <c r="CV28" s="105">
        <v>9</v>
      </c>
      <c r="CW28" s="105">
        <v>10</v>
      </c>
      <c r="CX28" s="105">
        <v>6</v>
      </c>
      <c r="CY28" s="97">
        <f t="shared" si="39"/>
        <v>38</v>
      </c>
      <c r="CZ28" s="106" t="str">
        <f>IFERROR(IF(CY28=0,"",ROUND((CY28/SUM(SETTINGS!$L$14:$L$17))*SETTINGS!$L$18,0)),"")</f>
        <v/>
      </c>
      <c r="DA28" s="105">
        <v>47</v>
      </c>
      <c r="DB28" s="106" t="str">
        <f>IFERROR(IF(ISBLANK(DA28),"",ROUND((DA28/SETTINGS!$L$19)*SETTINGS!$L$20,0)),"")</f>
        <v/>
      </c>
      <c r="DC28" s="106" t="str">
        <f t="shared" si="40"/>
        <v/>
      </c>
      <c r="DD28" s="103" t="str">
        <f t="shared" si="41"/>
        <v/>
      </c>
      <c r="DE28" s="107" t="str">
        <f t="shared" si="42"/>
        <v/>
      </c>
      <c r="DF28" s="103" t="str">
        <f t="shared" si="12"/>
        <v/>
      </c>
      <c r="DG28" s="103" t="str">
        <f>IFERROR(IF(AND(K28,W28,AI28,AU28,BG28,BS28,CE28,CQ28,DC28)="","",SUM(K28,W28,AI28,AU28,LARGE((BG28,BS28,CE28,CQ28,DC28),{1,2}))),"")</f>
        <v/>
      </c>
      <c r="DH28" s="103" t="str">
        <f>IFERROR(IF(AND(M28,Y28,AK28,AW28,,BI28,BU28,CG28,CS28,DE28)="","",SUM(M28,Y28,AK28,AW28,SMALL((BI28,BU28,CG28,CS28,DE28),{1,2}))),"")</f>
        <v/>
      </c>
      <c r="DI28" s="109" t="str">
        <f>IFERROR(pos&amp;IF(AND(MOD(ABS(18),100)&gt;10,MOD(ABS(pos),100)&lt;14),"th", CHOOSE(MOD(ABS(pos),10)+1,"th","st","nd","rd","th","th","th","th","th","th")),"")</f>
        <v/>
      </c>
      <c r="DJ28" s="62">
        <f>ROWS($B$12:$B28)</f>
        <v>17</v>
      </c>
      <c r="DK28" s="62" t="str">
        <f>IF($B28=REPORT_CARD!$M$12,$DJ28,"")</f>
        <v/>
      </c>
      <c r="DM28" s="65"/>
    </row>
    <row r="29" spans="1:117" ht="19.5" customHeight="1">
      <c r="A29" s="140" t="str">
        <f>IFERROR(IF(ISBLANK(#REF!),"",#REF!),"")</f>
        <v/>
      </c>
      <c r="B29" s="140" t="str">
        <f>IFERROR(IF(ISBLANK(#REF!),"",#REF!),"")</f>
        <v/>
      </c>
      <c r="C29" s="105">
        <v>15</v>
      </c>
      <c r="D29" s="105">
        <v>14</v>
      </c>
      <c r="E29" s="105">
        <v>15</v>
      </c>
      <c r="F29" s="105">
        <v>9</v>
      </c>
      <c r="G29" s="97">
        <f t="shared" si="43"/>
        <v>53</v>
      </c>
      <c r="H29" s="106" t="str">
        <f>IFERROR(IF(G29=0,"",ROUND((G29/SUM(SETTINGS!$L$14:$L$17))*SETTINGS!$L$18,0)),"")</f>
        <v/>
      </c>
      <c r="I29" s="105">
        <v>58</v>
      </c>
      <c r="J29" s="106" t="str">
        <f>IFERROR(IF(ISBLANK(I29),"",ROUND((I29/SETTINGS!$L$19)*SETTINGS!$L$20,0)),"")</f>
        <v/>
      </c>
      <c r="K29" s="106" t="str">
        <f t="shared" si="13"/>
        <v/>
      </c>
      <c r="L29" s="103" t="str">
        <f t="shared" si="0"/>
        <v/>
      </c>
      <c r="M29" s="107" t="str">
        <f t="shared" si="14"/>
        <v/>
      </c>
      <c r="N29" s="136"/>
      <c r="O29" s="105">
        <v>15</v>
      </c>
      <c r="P29" s="105">
        <v>13</v>
      </c>
      <c r="Q29" s="105">
        <v>12</v>
      </c>
      <c r="R29" s="105">
        <v>12</v>
      </c>
      <c r="S29" s="97">
        <f t="shared" si="1"/>
        <v>52</v>
      </c>
      <c r="T29" s="106" t="str">
        <f>IFERROR(IF(S29=0,"",ROUND((S29/SUM(SETTINGS!$L$14:$L$17))*SETTINGS!$L$18,0)),"")</f>
        <v/>
      </c>
      <c r="U29" s="105">
        <v>64</v>
      </c>
      <c r="V29" s="106" t="str">
        <f>IFERROR(IF(ISBLANK(U29),"",ROUND((U29/SETTINGS!$L$19)*SETTINGS!$L$20,0)),"")</f>
        <v/>
      </c>
      <c r="W29" s="106" t="str">
        <f t="shared" si="2"/>
        <v/>
      </c>
      <c r="X29" s="103" t="str">
        <f t="shared" si="3"/>
        <v/>
      </c>
      <c r="Y29" s="107" t="str">
        <f t="shared" si="4"/>
        <v/>
      </c>
      <c r="Z29" s="130"/>
      <c r="AA29" s="105">
        <v>12</v>
      </c>
      <c r="AB29" s="105">
        <v>12</v>
      </c>
      <c r="AC29" s="105">
        <v>13</v>
      </c>
      <c r="AD29" s="105">
        <v>14</v>
      </c>
      <c r="AE29" s="97">
        <f t="shared" si="15"/>
        <v>51</v>
      </c>
      <c r="AF29" s="106" t="str">
        <f>IFERROR(IF(AE29=0,"",ROUND((AE29/SUM(SETTINGS!$L$14:$L$17))*SETTINGS!$L$18,0)),"")</f>
        <v/>
      </c>
      <c r="AG29" s="105">
        <v>84</v>
      </c>
      <c r="AH29" s="106" t="str">
        <f>IFERROR(IF(ISBLANK(AG29),"",ROUND((AG29/SETTINGS!$L$19)*SETTINGS!$L$20,0)),"")</f>
        <v/>
      </c>
      <c r="AI29" s="106" t="str">
        <f t="shared" si="16"/>
        <v/>
      </c>
      <c r="AJ29" s="103" t="str">
        <f t="shared" si="17"/>
        <v/>
      </c>
      <c r="AK29" s="108" t="str">
        <f t="shared" si="18"/>
        <v/>
      </c>
      <c r="AL29" s="130"/>
      <c r="AM29" s="105">
        <v>12</v>
      </c>
      <c r="AN29" s="105">
        <v>9</v>
      </c>
      <c r="AO29" s="105">
        <v>10</v>
      </c>
      <c r="AP29" s="105">
        <v>15</v>
      </c>
      <c r="AQ29" s="97">
        <f t="shared" si="19"/>
        <v>46</v>
      </c>
      <c r="AR29" s="106" t="str">
        <f>IFERROR(IF(AQ29=0,"",ROUND((AQ29/SUM(SETTINGS!$L$14:$L$17))*SETTINGS!$L$18,0)),"")</f>
        <v/>
      </c>
      <c r="AS29" s="105">
        <v>51</v>
      </c>
      <c r="AT29" s="106" t="str">
        <f>IFERROR(IF(ISBLANK(AS29),"",ROUND((AS29/SETTINGS!$L$19)*SETTINGS!$L$20,0)),"")</f>
        <v/>
      </c>
      <c r="AU29" s="106" t="str">
        <f t="shared" si="20"/>
        <v/>
      </c>
      <c r="AV29" s="103" t="str">
        <f t="shared" si="21"/>
        <v/>
      </c>
      <c r="AW29" s="107" t="str">
        <f t="shared" si="22"/>
        <v/>
      </c>
      <c r="AX29" s="130"/>
      <c r="AY29" s="105">
        <v>13</v>
      </c>
      <c r="AZ29" s="105">
        <v>13</v>
      </c>
      <c r="BA29" s="105">
        <v>15</v>
      </c>
      <c r="BB29" s="105">
        <v>15</v>
      </c>
      <c r="BC29" s="97">
        <f t="shared" si="23"/>
        <v>56</v>
      </c>
      <c r="BD29" s="106" t="str">
        <f>IFERROR(IF(BC29=0,"",ROUND((BC29/SUM(SETTINGS!$L$14:$L$17))*SETTINGS!$L$18,0)),"")</f>
        <v/>
      </c>
      <c r="BE29" s="105">
        <v>86</v>
      </c>
      <c r="BF29" s="106" t="str">
        <f>IFERROR(IF(ISBLANK(BE29),"",ROUND((BE29/SETTINGS!$L$19)*SETTINGS!$L$20,0)),"")</f>
        <v/>
      </c>
      <c r="BG29" s="106" t="str">
        <f t="shared" si="24"/>
        <v/>
      </c>
      <c r="BH29" s="103" t="str">
        <f t="shared" si="25"/>
        <v/>
      </c>
      <c r="BI29" s="108" t="str">
        <f t="shared" si="26"/>
        <v/>
      </c>
      <c r="BJ29" s="130"/>
      <c r="BK29" s="105">
        <v>14</v>
      </c>
      <c r="BL29" s="105">
        <v>9</v>
      </c>
      <c r="BM29" s="105">
        <v>5</v>
      </c>
      <c r="BN29" s="105">
        <v>15</v>
      </c>
      <c r="BO29" s="97">
        <f t="shared" si="27"/>
        <v>43</v>
      </c>
      <c r="BP29" s="106" t="str">
        <f>IFERROR(IF(BO29=0,"",ROUND((BO29/SUM(SETTINGS!$L$14:$L$17))*SETTINGS!$L$18,0)),"")</f>
        <v/>
      </c>
      <c r="BQ29" s="105">
        <v>59</v>
      </c>
      <c r="BR29" s="106" t="str">
        <f>IFERROR(IF(ISBLANK(BQ29),"",ROUND((BQ29/SETTINGS!$L$19)*SETTINGS!$L$20,0)),"")</f>
        <v/>
      </c>
      <c r="BS29" s="106" t="str">
        <f t="shared" si="28"/>
        <v/>
      </c>
      <c r="BT29" s="103" t="str">
        <f t="shared" si="29"/>
        <v/>
      </c>
      <c r="BU29" s="107" t="str">
        <f t="shared" si="30"/>
        <v/>
      </c>
      <c r="BV29" s="130"/>
      <c r="BW29" s="105">
        <v>13</v>
      </c>
      <c r="BX29" s="105">
        <v>13</v>
      </c>
      <c r="BY29" s="105">
        <v>15</v>
      </c>
      <c r="BZ29" s="105">
        <v>15</v>
      </c>
      <c r="CA29" s="97">
        <f t="shared" si="31"/>
        <v>56</v>
      </c>
      <c r="CB29" s="106" t="str">
        <f>IFERROR(IF(CA29=0,"",ROUND((CA29/SUM(SETTINGS!$L$14:$L$17))*SETTINGS!$L$18,0)),"")</f>
        <v/>
      </c>
      <c r="CC29" s="105">
        <v>74</v>
      </c>
      <c r="CD29" s="106" t="str">
        <f>IFERROR(IF(ISBLANK(CC29),"",ROUND((CC29/SETTINGS!$L$19)*SETTINGS!$L$20,0)),"")</f>
        <v/>
      </c>
      <c r="CE29" s="106" t="str">
        <f t="shared" si="32"/>
        <v/>
      </c>
      <c r="CF29" s="103" t="str">
        <f t="shared" si="33"/>
        <v/>
      </c>
      <c r="CG29" s="107" t="str">
        <f t="shared" si="34"/>
        <v/>
      </c>
      <c r="CH29" s="130"/>
      <c r="CI29" s="105">
        <v>15</v>
      </c>
      <c r="CJ29" s="105">
        <v>13</v>
      </c>
      <c r="CK29" s="105">
        <v>13</v>
      </c>
      <c r="CL29" s="105">
        <v>15</v>
      </c>
      <c r="CM29" s="97">
        <f t="shared" si="35"/>
        <v>56</v>
      </c>
      <c r="CN29" s="106" t="str">
        <f>IFERROR(IF(CM29=0,"",ROUND((CM29/SUM(SETTINGS!$L$14:$L$17))*SETTINGS!$L$18,0)),"")</f>
        <v/>
      </c>
      <c r="CO29" s="105">
        <v>53</v>
      </c>
      <c r="CP29" s="106" t="str">
        <f>IFERROR(IF(ISBLANK(CO29),"",ROUND((CO29/SETTINGS!$L$19)*SETTINGS!$L$20,0)),"")</f>
        <v/>
      </c>
      <c r="CQ29" s="106" t="str">
        <f t="shared" si="36"/>
        <v/>
      </c>
      <c r="CR29" s="103" t="str">
        <f t="shared" si="37"/>
        <v/>
      </c>
      <c r="CS29" s="107" t="str">
        <f t="shared" si="38"/>
        <v/>
      </c>
      <c r="CT29" s="130"/>
      <c r="CU29" s="105">
        <v>14</v>
      </c>
      <c r="CV29" s="105">
        <v>15</v>
      </c>
      <c r="CW29" s="105">
        <v>12</v>
      </c>
      <c r="CX29" s="105">
        <v>14</v>
      </c>
      <c r="CY29" s="97">
        <f t="shared" si="39"/>
        <v>55</v>
      </c>
      <c r="CZ29" s="106" t="str">
        <f>IFERROR(IF(CY29=0,"",ROUND((CY29/SUM(SETTINGS!$L$14:$L$17))*SETTINGS!$L$18,0)),"")</f>
        <v/>
      </c>
      <c r="DA29" s="105">
        <v>45</v>
      </c>
      <c r="DB29" s="106" t="str">
        <f>IFERROR(IF(ISBLANK(DA29),"",ROUND((DA29/SETTINGS!$L$19)*SETTINGS!$L$20,0)),"")</f>
        <v/>
      </c>
      <c r="DC29" s="106" t="str">
        <f t="shared" si="40"/>
        <v/>
      </c>
      <c r="DD29" s="103" t="str">
        <f t="shared" si="41"/>
        <v/>
      </c>
      <c r="DE29" s="107" t="str">
        <f t="shared" si="42"/>
        <v/>
      </c>
      <c r="DF29" s="103" t="str">
        <f t="shared" si="12"/>
        <v/>
      </c>
      <c r="DG29" s="103" t="str">
        <f>IFERROR(IF(AND(K29,W29,AI29,AU29,BG29,BS29,CE29,CQ29,DC29)="","",SUM(K29,W29,AI29,AU29,LARGE((BG29,BS29,CE29,CQ29,DC29),{1,2}))),"")</f>
        <v/>
      </c>
      <c r="DH29" s="103" t="str">
        <f>IFERROR(IF(AND(M29,Y29,AK29,AW29,,BI29,BU29,CG29,CS29,DE29)="","",SUM(M29,Y29,AK29,AW29,SMALL((BI29,BU29,CG29,CS29,DE29),{1,2}))),"")</f>
        <v/>
      </c>
      <c r="DI29" s="109" t="str">
        <f>IFERROR(pos&amp;IF(AND(MOD(ABS(18),100)&gt;10,MOD(ABS(pos),100)&lt;14),"th", CHOOSE(MOD(ABS(pos),10)+1,"th","st","nd","rd","th","th","th","th","th","th")),"")</f>
        <v/>
      </c>
      <c r="DJ29" s="62">
        <f>ROWS($B$12:$B29)</f>
        <v>18</v>
      </c>
      <c r="DK29" s="62" t="str">
        <f>IF($B29=REPORT_CARD!$M$12,$DJ29,"")</f>
        <v/>
      </c>
      <c r="DM29" s="65"/>
    </row>
    <row r="30" spans="1:117" ht="19.5" customHeight="1">
      <c r="A30" s="140" t="str">
        <f>IFERROR(IF(ISBLANK(#REF!),"",#REF!),"")</f>
        <v/>
      </c>
      <c r="B30" s="140" t="str">
        <f>IFERROR(IF(ISBLANK(#REF!),"",#REF!),"")</f>
        <v/>
      </c>
      <c r="C30" s="105">
        <v>12</v>
      </c>
      <c r="D30" s="105">
        <v>14</v>
      </c>
      <c r="E30" s="105">
        <v>8</v>
      </c>
      <c r="F30" s="105">
        <v>10</v>
      </c>
      <c r="G30" s="97">
        <f t="shared" si="43"/>
        <v>44</v>
      </c>
      <c r="H30" s="106" t="str">
        <f>IFERROR(IF(G30=0,"",ROUND((G30/SUM(SETTINGS!$L$14:$L$17))*SETTINGS!$L$18,0)),"")</f>
        <v/>
      </c>
      <c r="I30" s="105">
        <v>53</v>
      </c>
      <c r="J30" s="106" t="str">
        <f>IFERROR(IF(ISBLANK(I30),"",ROUND((I30/SETTINGS!$L$19)*SETTINGS!$L$20,0)),"")</f>
        <v/>
      </c>
      <c r="K30" s="106" t="str">
        <f t="shared" si="13"/>
        <v/>
      </c>
      <c r="L30" s="103" t="str">
        <f t="shared" si="0"/>
        <v/>
      </c>
      <c r="M30" s="107" t="str">
        <f t="shared" si="14"/>
        <v/>
      </c>
      <c r="N30" s="136"/>
      <c r="O30" s="105">
        <v>5</v>
      </c>
      <c r="P30" s="105">
        <v>13</v>
      </c>
      <c r="Q30" s="105">
        <v>5</v>
      </c>
      <c r="R30" s="105">
        <v>11</v>
      </c>
      <c r="S30" s="97">
        <f t="shared" si="1"/>
        <v>34</v>
      </c>
      <c r="T30" s="106" t="str">
        <f>IFERROR(IF(S30=0,"",ROUND((S30/SUM(SETTINGS!$L$14:$L$17))*SETTINGS!$L$18,0)),"")</f>
        <v/>
      </c>
      <c r="U30" s="105">
        <v>50</v>
      </c>
      <c r="V30" s="106" t="str">
        <f>IFERROR(IF(ISBLANK(U30),"",ROUND((U30/SETTINGS!$L$19)*SETTINGS!$L$20,0)),"")</f>
        <v/>
      </c>
      <c r="W30" s="106" t="str">
        <f t="shared" si="2"/>
        <v/>
      </c>
      <c r="X30" s="103" t="str">
        <f t="shared" si="3"/>
        <v/>
      </c>
      <c r="Y30" s="107" t="str">
        <f t="shared" si="4"/>
        <v/>
      </c>
      <c r="Z30" s="130"/>
      <c r="AA30" s="105">
        <v>13</v>
      </c>
      <c r="AB30" s="105">
        <v>10</v>
      </c>
      <c r="AC30" s="105">
        <v>12</v>
      </c>
      <c r="AD30" s="105">
        <v>14</v>
      </c>
      <c r="AE30" s="97">
        <f t="shared" si="15"/>
        <v>49</v>
      </c>
      <c r="AF30" s="106" t="str">
        <f>IFERROR(IF(AE30=0,"",ROUND((AE30/SUM(SETTINGS!$L$14:$L$17))*SETTINGS!$L$18,0)),"")</f>
        <v/>
      </c>
      <c r="AG30" s="105">
        <v>65</v>
      </c>
      <c r="AH30" s="106" t="str">
        <f>IFERROR(IF(ISBLANK(AG30),"",ROUND((AG30/SETTINGS!$L$19)*SETTINGS!$L$20,0)),"")</f>
        <v/>
      </c>
      <c r="AI30" s="106" t="str">
        <f t="shared" si="16"/>
        <v/>
      </c>
      <c r="AJ30" s="103" t="str">
        <f t="shared" si="17"/>
        <v/>
      </c>
      <c r="AK30" s="108" t="str">
        <f t="shared" si="18"/>
        <v/>
      </c>
      <c r="AL30" s="130"/>
      <c r="AM30" s="105">
        <v>9</v>
      </c>
      <c r="AN30" s="105">
        <v>10</v>
      </c>
      <c r="AO30" s="105">
        <v>11</v>
      </c>
      <c r="AP30" s="105">
        <v>15</v>
      </c>
      <c r="AQ30" s="97">
        <f t="shared" si="19"/>
        <v>45</v>
      </c>
      <c r="AR30" s="106" t="str">
        <f>IFERROR(IF(AQ30=0,"",ROUND((AQ30/SUM(SETTINGS!$L$14:$L$17))*SETTINGS!$L$18,0)),"")</f>
        <v/>
      </c>
      <c r="AS30" s="105">
        <v>47</v>
      </c>
      <c r="AT30" s="106" t="str">
        <f>IFERROR(IF(ISBLANK(AS30),"",ROUND((AS30/SETTINGS!$L$19)*SETTINGS!$L$20,0)),"")</f>
        <v/>
      </c>
      <c r="AU30" s="106" t="str">
        <f t="shared" si="20"/>
        <v/>
      </c>
      <c r="AV30" s="103" t="str">
        <f t="shared" si="21"/>
        <v/>
      </c>
      <c r="AW30" s="107" t="str">
        <f t="shared" si="22"/>
        <v/>
      </c>
      <c r="AX30" s="130"/>
      <c r="AY30" s="105">
        <v>12</v>
      </c>
      <c r="AZ30" s="105">
        <v>11</v>
      </c>
      <c r="BA30" s="105">
        <v>10</v>
      </c>
      <c r="BB30" s="105">
        <v>12</v>
      </c>
      <c r="BC30" s="97">
        <f t="shared" si="23"/>
        <v>45</v>
      </c>
      <c r="BD30" s="106" t="str">
        <f>IFERROR(IF(BC30=0,"",ROUND((BC30/SUM(SETTINGS!$L$14:$L$17))*SETTINGS!$L$18,0)),"")</f>
        <v/>
      </c>
      <c r="BE30" s="105">
        <v>75</v>
      </c>
      <c r="BF30" s="106" t="str">
        <f>IFERROR(IF(ISBLANK(BE30),"",ROUND((BE30/SETTINGS!$L$19)*SETTINGS!$L$20,0)),"")</f>
        <v/>
      </c>
      <c r="BG30" s="106" t="str">
        <f t="shared" si="24"/>
        <v/>
      </c>
      <c r="BH30" s="103" t="str">
        <f t="shared" si="25"/>
        <v/>
      </c>
      <c r="BI30" s="108" t="str">
        <f t="shared" si="26"/>
        <v/>
      </c>
      <c r="BJ30" s="130"/>
      <c r="BK30" s="105">
        <v>15</v>
      </c>
      <c r="BL30" s="105">
        <v>12</v>
      </c>
      <c r="BM30" s="105">
        <v>3</v>
      </c>
      <c r="BN30" s="105">
        <v>15</v>
      </c>
      <c r="BO30" s="97">
        <f t="shared" si="27"/>
        <v>45</v>
      </c>
      <c r="BP30" s="106" t="str">
        <f>IFERROR(IF(BO30=0,"",ROUND((BO30/SUM(SETTINGS!$L$14:$L$17))*SETTINGS!$L$18,0)),"")</f>
        <v/>
      </c>
      <c r="BQ30" s="105">
        <v>54</v>
      </c>
      <c r="BR30" s="106" t="str">
        <f>IFERROR(IF(ISBLANK(BQ30),"",ROUND((BQ30/SETTINGS!$L$19)*SETTINGS!$L$20,0)),"")</f>
        <v/>
      </c>
      <c r="BS30" s="106" t="str">
        <f t="shared" si="28"/>
        <v/>
      </c>
      <c r="BT30" s="103" t="str">
        <f t="shared" si="29"/>
        <v/>
      </c>
      <c r="BU30" s="107" t="str">
        <f t="shared" si="30"/>
        <v/>
      </c>
      <c r="BV30" s="130"/>
      <c r="BW30" s="105">
        <v>10</v>
      </c>
      <c r="BX30" s="105">
        <v>13</v>
      </c>
      <c r="BY30" s="105">
        <v>13</v>
      </c>
      <c r="BZ30" s="105">
        <v>14</v>
      </c>
      <c r="CA30" s="97">
        <f t="shared" si="31"/>
        <v>50</v>
      </c>
      <c r="CB30" s="106" t="str">
        <f>IFERROR(IF(CA30=0,"",ROUND((CA30/SUM(SETTINGS!$L$14:$L$17))*SETTINGS!$L$18,0)),"")</f>
        <v/>
      </c>
      <c r="CC30" s="105">
        <v>69</v>
      </c>
      <c r="CD30" s="106" t="str">
        <f>IFERROR(IF(ISBLANK(CC30),"",ROUND((CC30/SETTINGS!$L$19)*SETTINGS!$L$20,0)),"")</f>
        <v/>
      </c>
      <c r="CE30" s="106" t="str">
        <f t="shared" si="32"/>
        <v/>
      </c>
      <c r="CF30" s="103" t="str">
        <f t="shared" si="33"/>
        <v/>
      </c>
      <c r="CG30" s="107" t="str">
        <f t="shared" si="34"/>
        <v/>
      </c>
      <c r="CH30" s="130"/>
      <c r="CI30" s="105">
        <v>11</v>
      </c>
      <c r="CJ30" s="105">
        <v>13</v>
      </c>
      <c r="CK30" s="105">
        <v>12</v>
      </c>
      <c r="CL30" s="105">
        <v>15</v>
      </c>
      <c r="CM30" s="97">
        <f t="shared" si="35"/>
        <v>51</v>
      </c>
      <c r="CN30" s="106" t="str">
        <f>IFERROR(IF(CM30=0,"",ROUND((CM30/SUM(SETTINGS!$L$14:$L$17))*SETTINGS!$L$18,0)),"")</f>
        <v/>
      </c>
      <c r="CO30" s="105">
        <v>49</v>
      </c>
      <c r="CP30" s="106" t="str">
        <f>IFERROR(IF(ISBLANK(CO30),"",ROUND((CO30/SETTINGS!$L$19)*SETTINGS!$L$20,0)),"")</f>
        <v/>
      </c>
      <c r="CQ30" s="106" t="str">
        <f t="shared" si="36"/>
        <v/>
      </c>
      <c r="CR30" s="103" t="str">
        <f t="shared" si="37"/>
        <v/>
      </c>
      <c r="CS30" s="107" t="str">
        <f t="shared" si="38"/>
        <v/>
      </c>
      <c r="CT30" s="130"/>
      <c r="CU30" s="105">
        <v>15</v>
      </c>
      <c r="CV30" s="105">
        <v>9</v>
      </c>
      <c r="CW30" s="105">
        <v>12</v>
      </c>
      <c r="CX30" s="105">
        <v>8</v>
      </c>
      <c r="CY30" s="97">
        <f t="shared" si="39"/>
        <v>44</v>
      </c>
      <c r="CZ30" s="106" t="str">
        <f>IFERROR(IF(CY30=0,"",ROUND((CY30/SUM(SETTINGS!$L$14:$L$17))*SETTINGS!$L$18,0)),"")</f>
        <v/>
      </c>
      <c r="DA30" s="105">
        <v>44</v>
      </c>
      <c r="DB30" s="106" t="str">
        <f>IFERROR(IF(ISBLANK(DA30),"",ROUND((DA30/SETTINGS!$L$19)*SETTINGS!$L$20,0)),"")</f>
        <v/>
      </c>
      <c r="DC30" s="106" t="str">
        <f t="shared" si="40"/>
        <v/>
      </c>
      <c r="DD30" s="103" t="str">
        <f t="shared" si="41"/>
        <v/>
      </c>
      <c r="DE30" s="107" t="str">
        <f t="shared" si="42"/>
        <v/>
      </c>
      <c r="DF30" s="103" t="str">
        <f t="shared" si="12"/>
        <v/>
      </c>
      <c r="DG30" s="103" t="str">
        <f>IFERROR(IF(AND(K30,W30,AI30,AU30,BG30,BS30,CE30,CQ30,DC30)="","",SUM(K30,W30,AI30,AU30,LARGE((BG30,BS30,CE30,CQ30,DC30),{1,2}))),"")</f>
        <v/>
      </c>
      <c r="DH30" s="103" t="str">
        <f>IFERROR(IF(AND(M30,Y30,AK30,AW30,,BI30,BU30,CG30,CS30,DE30)="","",SUM(M30,Y30,AK30,AW30,SMALL((BI30,BU30,CG30,CS30,DE30),{1,2}))),"")</f>
        <v/>
      </c>
      <c r="DI30" s="109" t="str">
        <f>IFERROR(pos&amp;IF(AND(MOD(ABS(18),100)&gt;10,MOD(ABS(pos),100)&lt;14),"th", CHOOSE(MOD(ABS(pos),10)+1,"th","st","nd","rd","th","th","th","th","th","th")),"")</f>
        <v/>
      </c>
      <c r="DJ30" s="62">
        <f>ROWS($B$12:$B30)</f>
        <v>19</v>
      </c>
      <c r="DK30" s="62" t="str">
        <f>IF($B30=REPORT_CARD!$M$12,$DJ30,"")</f>
        <v/>
      </c>
      <c r="DM30" s="65"/>
    </row>
    <row r="31" spans="1:117" ht="19.5" customHeight="1">
      <c r="A31" s="140" t="str">
        <f>IFERROR(IF(ISBLANK(#REF!),"",#REF!),"")</f>
        <v/>
      </c>
      <c r="B31" s="140" t="str">
        <f>IFERROR(IF(ISBLANK(#REF!),"",#REF!),"")</f>
        <v/>
      </c>
      <c r="C31" s="105">
        <v>14</v>
      </c>
      <c r="D31" s="105">
        <v>9</v>
      </c>
      <c r="E31" s="105">
        <v>5</v>
      </c>
      <c r="F31" s="105">
        <v>10</v>
      </c>
      <c r="G31" s="97">
        <f t="shared" si="43"/>
        <v>38</v>
      </c>
      <c r="H31" s="106" t="str">
        <f>IFERROR(IF(G31=0,"",ROUND((G31/SUM(SETTINGS!$L$14:$L$17))*SETTINGS!$L$18,0)),"")</f>
        <v/>
      </c>
      <c r="I31" s="105">
        <v>17</v>
      </c>
      <c r="J31" s="106" t="str">
        <f>IFERROR(IF(ISBLANK(I31),"",ROUND((I31/SETTINGS!$L$19)*SETTINGS!$L$20,0)),"")</f>
        <v/>
      </c>
      <c r="K31" s="106" t="str">
        <f t="shared" si="13"/>
        <v/>
      </c>
      <c r="L31" s="103" t="str">
        <f t="shared" si="0"/>
        <v/>
      </c>
      <c r="M31" s="107" t="str">
        <f t="shared" si="14"/>
        <v/>
      </c>
      <c r="N31" s="136"/>
      <c r="O31" s="105">
        <v>5</v>
      </c>
      <c r="P31" s="105">
        <v>8</v>
      </c>
      <c r="Q31" s="105">
        <v>7</v>
      </c>
      <c r="R31" s="105">
        <v>5</v>
      </c>
      <c r="S31" s="97">
        <f t="shared" si="1"/>
        <v>25</v>
      </c>
      <c r="T31" s="106" t="str">
        <f>IFERROR(IF(S31=0,"",ROUND((S31/SUM(SETTINGS!$L$14:$L$17))*SETTINGS!$L$18,0)),"")</f>
        <v/>
      </c>
      <c r="U31" s="105">
        <v>11</v>
      </c>
      <c r="V31" s="106" t="str">
        <f>IFERROR(IF(ISBLANK(U31),"",ROUND((U31/SETTINGS!$L$19)*SETTINGS!$L$20,0)),"")</f>
        <v/>
      </c>
      <c r="W31" s="106" t="str">
        <f t="shared" si="2"/>
        <v/>
      </c>
      <c r="X31" s="103" t="str">
        <f t="shared" si="3"/>
        <v/>
      </c>
      <c r="Y31" s="107" t="str">
        <f t="shared" si="4"/>
        <v/>
      </c>
      <c r="Z31" s="130"/>
      <c r="AA31" s="105">
        <v>8</v>
      </c>
      <c r="AB31" s="105">
        <v>12</v>
      </c>
      <c r="AC31" s="105">
        <v>8</v>
      </c>
      <c r="AD31" s="105">
        <v>8</v>
      </c>
      <c r="AE31" s="97">
        <f t="shared" si="15"/>
        <v>36</v>
      </c>
      <c r="AF31" s="106" t="str">
        <f>IFERROR(IF(AE31=0,"",ROUND((AE31/SUM(SETTINGS!$L$14:$L$17))*SETTINGS!$L$18,0)),"")</f>
        <v/>
      </c>
      <c r="AG31" s="105">
        <v>17</v>
      </c>
      <c r="AH31" s="106" t="str">
        <f>IFERROR(IF(ISBLANK(AG31),"",ROUND((AG31/SETTINGS!$L$19)*SETTINGS!$L$20,0)),"")</f>
        <v/>
      </c>
      <c r="AI31" s="106" t="str">
        <f t="shared" si="16"/>
        <v/>
      </c>
      <c r="AJ31" s="103" t="str">
        <f t="shared" si="17"/>
        <v/>
      </c>
      <c r="AK31" s="108" t="str">
        <f t="shared" si="18"/>
        <v/>
      </c>
      <c r="AL31" s="130"/>
      <c r="AM31" s="105">
        <v>9</v>
      </c>
      <c r="AN31" s="105">
        <v>12</v>
      </c>
      <c r="AO31" s="105">
        <v>8</v>
      </c>
      <c r="AP31" s="105">
        <v>15</v>
      </c>
      <c r="AQ31" s="97">
        <f t="shared" si="19"/>
        <v>44</v>
      </c>
      <c r="AR31" s="106" t="str">
        <f>IFERROR(IF(AQ31=0,"",ROUND((AQ31/SUM(SETTINGS!$L$14:$L$17))*SETTINGS!$L$18,0)),"")</f>
        <v/>
      </c>
      <c r="AS31" s="105">
        <v>26</v>
      </c>
      <c r="AT31" s="106" t="str">
        <f>IFERROR(IF(ISBLANK(AS31),"",ROUND((AS31/SETTINGS!$L$19)*SETTINGS!$L$20,0)),"")</f>
        <v/>
      </c>
      <c r="AU31" s="106" t="str">
        <f t="shared" si="20"/>
        <v/>
      </c>
      <c r="AV31" s="103" t="str">
        <f t="shared" si="21"/>
        <v/>
      </c>
      <c r="AW31" s="107" t="str">
        <f t="shared" si="22"/>
        <v/>
      </c>
      <c r="AX31" s="130"/>
      <c r="AY31" s="105">
        <v>10</v>
      </c>
      <c r="AZ31" s="105">
        <v>15</v>
      </c>
      <c r="BA31" s="105">
        <v>10</v>
      </c>
      <c r="BB31" s="105">
        <v>10</v>
      </c>
      <c r="BC31" s="97">
        <f t="shared" si="23"/>
        <v>45</v>
      </c>
      <c r="BD31" s="106" t="str">
        <f>IFERROR(IF(BC31=0,"",ROUND((BC31/SUM(SETTINGS!$L$14:$L$17))*SETTINGS!$L$18,0)),"")</f>
        <v/>
      </c>
      <c r="BE31" s="105">
        <v>14</v>
      </c>
      <c r="BF31" s="106" t="str">
        <f>IFERROR(IF(ISBLANK(BE31),"",ROUND((BE31/SETTINGS!$L$19)*SETTINGS!$L$20,0)),"")</f>
        <v/>
      </c>
      <c r="BG31" s="106" t="str">
        <f t="shared" si="24"/>
        <v/>
      </c>
      <c r="BH31" s="103" t="str">
        <f t="shared" si="25"/>
        <v/>
      </c>
      <c r="BI31" s="108" t="str">
        <f t="shared" si="26"/>
        <v/>
      </c>
      <c r="BJ31" s="130"/>
      <c r="BK31" s="105">
        <v>8</v>
      </c>
      <c r="BL31" s="105">
        <v>3</v>
      </c>
      <c r="BM31" s="105">
        <v>2</v>
      </c>
      <c r="BN31" s="105">
        <v>15</v>
      </c>
      <c r="BO31" s="97">
        <f t="shared" si="27"/>
        <v>28</v>
      </c>
      <c r="BP31" s="106" t="str">
        <f>IFERROR(IF(BO31=0,"",ROUND((BO31/SUM(SETTINGS!$L$14:$L$17))*SETTINGS!$L$18,0)),"")</f>
        <v/>
      </c>
      <c r="BQ31" s="105">
        <v>17</v>
      </c>
      <c r="BR31" s="106" t="str">
        <f>IFERROR(IF(ISBLANK(BQ31),"",ROUND((BQ31/SETTINGS!$L$19)*SETTINGS!$L$20,0)),"")</f>
        <v/>
      </c>
      <c r="BS31" s="106" t="str">
        <f t="shared" si="28"/>
        <v/>
      </c>
      <c r="BT31" s="103" t="str">
        <f t="shared" si="29"/>
        <v/>
      </c>
      <c r="BU31" s="107" t="str">
        <f t="shared" si="30"/>
        <v/>
      </c>
      <c r="BV31" s="130"/>
      <c r="BW31" s="105">
        <v>1</v>
      </c>
      <c r="BX31" s="105">
        <v>5</v>
      </c>
      <c r="BY31" s="105">
        <v>7</v>
      </c>
      <c r="BZ31" s="105">
        <v>8</v>
      </c>
      <c r="CA31" s="97">
        <f t="shared" si="31"/>
        <v>21</v>
      </c>
      <c r="CB31" s="106" t="str">
        <f>IFERROR(IF(CA31=0,"",ROUND((CA31/SUM(SETTINGS!$L$14:$L$17))*SETTINGS!$L$18,0)),"")</f>
        <v/>
      </c>
      <c r="CC31" s="105">
        <v>14</v>
      </c>
      <c r="CD31" s="106" t="str">
        <f>IFERROR(IF(ISBLANK(CC31),"",ROUND((CC31/SETTINGS!$L$19)*SETTINGS!$L$20,0)),"")</f>
        <v/>
      </c>
      <c r="CE31" s="106" t="str">
        <f t="shared" si="32"/>
        <v/>
      </c>
      <c r="CF31" s="103" t="str">
        <f t="shared" si="33"/>
        <v/>
      </c>
      <c r="CG31" s="107" t="str">
        <f t="shared" si="34"/>
        <v/>
      </c>
      <c r="CH31" s="130"/>
      <c r="CI31" s="105">
        <v>10</v>
      </c>
      <c r="CJ31" s="105">
        <v>13</v>
      </c>
      <c r="CK31" s="105">
        <v>5</v>
      </c>
      <c r="CL31" s="105">
        <v>10</v>
      </c>
      <c r="CM31" s="97">
        <f t="shared" si="35"/>
        <v>38</v>
      </c>
      <c r="CN31" s="106" t="str">
        <f>IFERROR(IF(CM31=0,"",ROUND((CM31/SUM(SETTINGS!$L$14:$L$17))*SETTINGS!$L$18,0)),"")</f>
        <v/>
      </c>
      <c r="CO31" s="105">
        <v>6</v>
      </c>
      <c r="CP31" s="106" t="str">
        <f>IFERROR(IF(ISBLANK(CO31),"",ROUND((CO31/SETTINGS!$L$19)*SETTINGS!$L$20,0)),"")</f>
        <v/>
      </c>
      <c r="CQ31" s="106" t="str">
        <f t="shared" si="36"/>
        <v/>
      </c>
      <c r="CR31" s="103" t="str">
        <f t="shared" si="37"/>
        <v/>
      </c>
      <c r="CS31" s="107" t="str">
        <f t="shared" si="38"/>
        <v/>
      </c>
      <c r="CT31" s="130"/>
      <c r="CU31" s="105">
        <v>5</v>
      </c>
      <c r="CV31" s="105">
        <v>3</v>
      </c>
      <c r="CW31" s="105">
        <v>3</v>
      </c>
      <c r="CX31" s="105">
        <v>4</v>
      </c>
      <c r="CY31" s="97">
        <f t="shared" si="39"/>
        <v>15</v>
      </c>
      <c r="CZ31" s="106" t="str">
        <f>IFERROR(IF(CY31=0,"",ROUND((CY31/SUM(SETTINGS!$L$14:$L$17))*SETTINGS!$L$18,0)),"")</f>
        <v/>
      </c>
      <c r="DA31" s="105">
        <v>15</v>
      </c>
      <c r="DB31" s="106" t="str">
        <f>IFERROR(IF(ISBLANK(DA31),"",ROUND((DA31/SETTINGS!$L$19)*SETTINGS!$L$20,0)),"")</f>
        <v/>
      </c>
      <c r="DC31" s="106" t="str">
        <f t="shared" si="40"/>
        <v/>
      </c>
      <c r="DD31" s="103" t="str">
        <f t="shared" si="41"/>
        <v/>
      </c>
      <c r="DE31" s="107" t="str">
        <f t="shared" si="42"/>
        <v/>
      </c>
      <c r="DF31" s="103" t="str">
        <f t="shared" si="12"/>
        <v/>
      </c>
      <c r="DG31" s="103" t="str">
        <f>IFERROR(IF(AND(K31,W31,AI31,AU31,BG31,BS31,CE31,CQ31,DC31)="","",SUM(K31,W31,AI31,AU31,LARGE((BG31,BS31,CE31,CQ31,DC31),{1,2}))),"")</f>
        <v/>
      </c>
      <c r="DH31" s="103" t="str">
        <f>IFERROR(IF(AND(M31,Y31,AK31,AW31,,BI31,BU31,CG31,CS31,DE31)="","",SUM(M31,Y31,AK31,AW31,SMALL((BI31,BU31,CG31,CS31,DE31),{1,2}))),"")</f>
        <v/>
      </c>
      <c r="DI31" s="109" t="str">
        <f>IFERROR(pos&amp;IF(AND(MOD(ABS(18),100)&gt;10,MOD(ABS(pos),100)&lt;14),"th", CHOOSE(MOD(ABS(pos),10)+1,"th","st","nd","rd","th","th","th","th","th","th")),"")</f>
        <v/>
      </c>
      <c r="DJ31" s="62">
        <f>ROWS($B$12:$B31)</f>
        <v>20</v>
      </c>
      <c r="DK31" s="62" t="str">
        <f>IF($B31=REPORT_CARD!$M$12,$DJ31,"")</f>
        <v/>
      </c>
      <c r="DM31" s="65"/>
    </row>
    <row r="32" spans="1:117" ht="19.5" customHeight="1">
      <c r="A32" s="140" t="str">
        <f>IFERROR(IF(ISBLANK(#REF!),"",#REF!),"")</f>
        <v/>
      </c>
      <c r="B32" s="140" t="str">
        <f>IFERROR(IF(ISBLANK(#REF!),"",#REF!),"")</f>
        <v/>
      </c>
      <c r="C32" s="105">
        <v>9</v>
      </c>
      <c r="D32" s="105">
        <v>14</v>
      </c>
      <c r="E32" s="105">
        <v>8</v>
      </c>
      <c r="F32" s="105">
        <v>15</v>
      </c>
      <c r="G32" s="97">
        <f t="shared" si="43"/>
        <v>46</v>
      </c>
      <c r="H32" s="106" t="str">
        <f>IFERROR(IF(G32=0,"",ROUND((G32/SUM(SETTINGS!$L$14:$L$17))*SETTINGS!$L$18,0)),"")</f>
        <v/>
      </c>
      <c r="I32" s="105">
        <v>41</v>
      </c>
      <c r="J32" s="106" t="str">
        <f>IFERROR(IF(ISBLANK(I32),"",ROUND((I32/SETTINGS!$L$19)*SETTINGS!$L$20,0)),"")</f>
        <v/>
      </c>
      <c r="K32" s="106" t="str">
        <f t="shared" si="13"/>
        <v/>
      </c>
      <c r="L32" s="103" t="str">
        <f t="shared" si="0"/>
        <v/>
      </c>
      <c r="M32" s="107" t="str">
        <f t="shared" si="14"/>
        <v/>
      </c>
      <c r="N32" s="136"/>
      <c r="O32" s="105">
        <v>12</v>
      </c>
      <c r="P32" s="105">
        <v>13</v>
      </c>
      <c r="Q32" s="105">
        <v>7</v>
      </c>
      <c r="R32" s="105">
        <v>10</v>
      </c>
      <c r="S32" s="97">
        <f t="shared" si="1"/>
        <v>42</v>
      </c>
      <c r="T32" s="106" t="str">
        <f>IFERROR(IF(S32=0,"",ROUND((S32/SUM(SETTINGS!$L$14:$L$17))*SETTINGS!$L$18,0)),"")</f>
        <v/>
      </c>
      <c r="U32" s="105">
        <v>49</v>
      </c>
      <c r="V32" s="106" t="str">
        <f>IFERROR(IF(ISBLANK(U32),"",ROUND((U32/SETTINGS!$L$19)*SETTINGS!$L$20,0)),"")</f>
        <v/>
      </c>
      <c r="W32" s="106" t="str">
        <f t="shared" si="2"/>
        <v/>
      </c>
      <c r="X32" s="103" t="str">
        <f t="shared" si="3"/>
        <v/>
      </c>
      <c r="Y32" s="107" t="str">
        <f t="shared" si="4"/>
        <v/>
      </c>
      <c r="Z32" s="130"/>
      <c r="AA32" s="105">
        <v>14</v>
      </c>
      <c r="AB32" s="105">
        <v>10</v>
      </c>
      <c r="AC32" s="105">
        <v>8</v>
      </c>
      <c r="AD32" s="105">
        <v>14</v>
      </c>
      <c r="AE32" s="97">
        <f t="shared" si="15"/>
        <v>46</v>
      </c>
      <c r="AF32" s="106" t="str">
        <f>IFERROR(IF(AE32=0,"",ROUND((AE32/SUM(SETTINGS!$L$14:$L$17))*SETTINGS!$L$18,0)),"")</f>
        <v/>
      </c>
      <c r="AG32" s="105">
        <v>54</v>
      </c>
      <c r="AH32" s="106" t="str">
        <f>IFERROR(IF(ISBLANK(AG32),"",ROUND((AG32/SETTINGS!$L$19)*SETTINGS!$L$20,0)),"")</f>
        <v/>
      </c>
      <c r="AI32" s="106" t="str">
        <f t="shared" si="16"/>
        <v/>
      </c>
      <c r="AJ32" s="103" t="str">
        <f t="shared" si="17"/>
        <v/>
      </c>
      <c r="AK32" s="108" t="str">
        <f t="shared" si="18"/>
        <v/>
      </c>
      <c r="AL32" s="130"/>
      <c r="AM32" s="105">
        <v>8</v>
      </c>
      <c r="AN32" s="105">
        <v>4</v>
      </c>
      <c r="AO32" s="105">
        <v>6</v>
      </c>
      <c r="AP32" s="105">
        <v>15</v>
      </c>
      <c r="AQ32" s="97">
        <f t="shared" si="19"/>
        <v>33</v>
      </c>
      <c r="AR32" s="106" t="str">
        <f>IFERROR(IF(AQ32=0,"",ROUND((AQ32/SUM(SETTINGS!$L$14:$L$17))*SETTINGS!$L$18,0)),"")</f>
        <v/>
      </c>
      <c r="AS32" s="105">
        <v>42</v>
      </c>
      <c r="AT32" s="106" t="str">
        <f>IFERROR(IF(ISBLANK(AS32),"",ROUND((AS32/SETTINGS!$L$19)*SETTINGS!$L$20,0)),"")</f>
        <v/>
      </c>
      <c r="AU32" s="106" t="str">
        <f t="shared" si="20"/>
        <v/>
      </c>
      <c r="AV32" s="103" t="str">
        <f t="shared" si="21"/>
        <v/>
      </c>
      <c r="AW32" s="107" t="str">
        <f t="shared" si="22"/>
        <v/>
      </c>
      <c r="AX32" s="130"/>
      <c r="AY32" s="105">
        <v>12</v>
      </c>
      <c r="AZ32" s="105">
        <v>8</v>
      </c>
      <c r="BA32" s="105">
        <v>10</v>
      </c>
      <c r="BB32" s="105">
        <v>12</v>
      </c>
      <c r="BC32" s="97">
        <f t="shared" si="23"/>
        <v>42</v>
      </c>
      <c r="BD32" s="106" t="str">
        <f>IFERROR(IF(BC32=0,"",ROUND((BC32/SUM(SETTINGS!$L$14:$L$17))*SETTINGS!$L$18,0)),"")</f>
        <v/>
      </c>
      <c r="BE32" s="105">
        <v>70</v>
      </c>
      <c r="BF32" s="106" t="str">
        <f>IFERROR(IF(ISBLANK(BE32),"",ROUND((BE32/SETTINGS!$L$19)*SETTINGS!$L$20,0)),"")</f>
        <v/>
      </c>
      <c r="BG32" s="106" t="str">
        <f t="shared" si="24"/>
        <v/>
      </c>
      <c r="BH32" s="103" t="str">
        <f t="shared" si="25"/>
        <v/>
      </c>
      <c r="BI32" s="108" t="str">
        <f t="shared" si="26"/>
        <v/>
      </c>
      <c r="BJ32" s="130"/>
      <c r="BK32" s="105">
        <v>14</v>
      </c>
      <c r="BL32" s="105">
        <v>5</v>
      </c>
      <c r="BM32" s="105">
        <v>2</v>
      </c>
      <c r="BN32" s="105">
        <v>15</v>
      </c>
      <c r="BO32" s="97">
        <f t="shared" si="27"/>
        <v>36</v>
      </c>
      <c r="BP32" s="106" t="str">
        <f>IFERROR(IF(BO32=0,"",ROUND((BO32/SUM(SETTINGS!$L$14:$L$17))*SETTINGS!$L$18,0)),"")</f>
        <v/>
      </c>
      <c r="BQ32" s="105">
        <v>76</v>
      </c>
      <c r="BR32" s="106" t="str">
        <f>IFERROR(IF(ISBLANK(BQ32),"",ROUND((BQ32/SETTINGS!$L$19)*SETTINGS!$L$20,0)),"")</f>
        <v/>
      </c>
      <c r="BS32" s="106" t="str">
        <f t="shared" si="28"/>
        <v/>
      </c>
      <c r="BT32" s="103" t="str">
        <f t="shared" si="29"/>
        <v/>
      </c>
      <c r="BU32" s="107" t="str">
        <f t="shared" si="30"/>
        <v/>
      </c>
      <c r="BV32" s="130"/>
      <c r="BW32" s="105">
        <v>6</v>
      </c>
      <c r="BX32" s="105">
        <v>13</v>
      </c>
      <c r="BY32" s="105">
        <v>14</v>
      </c>
      <c r="BZ32" s="105">
        <v>10</v>
      </c>
      <c r="CA32" s="97">
        <f t="shared" si="31"/>
        <v>43</v>
      </c>
      <c r="CB32" s="106" t="str">
        <f>IFERROR(IF(CA32=0,"",ROUND((CA32/SUM(SETTINGS!$L$14:$L$17))*SETTINGS!$L$18,0)),"")</f>
        <v/>
      </c>
      <c r="CC32" s="105">
        <v>49</v>
      </c>
      <c r="CD32" s="106" t="str">
        <f>IFERROR(IF(ISBLANK(CC32),"",ROUND((CC32/SETTINGS!$L$19)*SETTINGS!$L$20,0)),"")</f>
        <v/>
      </c>
      <c r="CE32" s="106" t="str">
        <f t="shared" si="32"/>
        <v/>
      </c>
      <c r="CF32" s="103" t="str">
        <f t="shared" si="33"/>
        <v/>
      </c>
      <c r="CG32" s="107" t="str">
        <f t="shared" si="34"/>
        <v/>
      </c>
      <c r="CH32" s="130"/>
      <c r="CI32" s="105">
        <v>10</v>
      </c>
      <c r="CJ32" s="105">
        <v>13</v>
      </c>
      <c r="CK32" s="105">
        <v>13</v>
      </c>
      <c r="CL32" s="105">
        <v>13</v>
      </c>
      <c r="CM32" s="97">
        <f t="shared" si="35"/>
        <v>49</v>
      </c>
      <c r="CN32" s="106" t="str">
        <f>IFERROR(IF(CM32=0,"",ROUND((CM32/SUM(SETTINGS!$L$14:$L$17))*SETTINGS!$L$18,0)),"")</f>
        <v/>
      </c>
      <c r="CO32" s="105">
        <v>44</v>
      </c>
      <c r="CP32" s="106" t="str">
        <f>IFERROR(IF(ISBLANK(CO32),"",ROUND((CO32/SETTINGS!$L$19)*SETTINGS!$L$20,0)),"")</f>
        <v/>
      </c>
      <c r="CQ32" s="106" t="str">
        <f t="shared" si="36"/>
        <v/>
      </c>
      <c r="CR32" s="103" t="str">
        <f t="shared" si="37"/>
        <v/>
      </c>
      <c r="CS32" s="107" t="str">
        <f t="shared" si="38"/>
        <v/>
      </c>
      <c r="CT32" s="130"/>
      <c r="CU32" s="105">
        <v>8</v>
      </c>
      <c r="CV32" s="105">
        <v>14</v>
      </c>
      <c r="CW32" s="105">
        <v>8</v>
      </c>
      <c r="CX32" s="105">
        <v>8</v>
      </c>
      <c r="CY32" s="97">
        <f t="shared" si="39"/>
        <v>38</v>
      </c>
      <c r="CZ32" s="106" t="str">
        <f>IFERROR(IF(CY32=0,"",ROUND((CY32/SUM(SETTINGS!$L$14:$L$17))*SETTINGS!$L$18,0)),"")</f>
        <v/>
      </c>
      <c r="DA32" s="105">
        <v>46</v>
      </c>
      <c r="DB32" s="106" t="str">
        <f>IFERROR(IF(ISBLANK(DA32),"",ROUND((DA32/SETTINGS!$L$19)*SETTINGS!$L$20,0)),"")</f>
        <v/>
      </c>
      <c r="DC32" s="106" t="str">
        <f t="shared" si="40"/>
        <v/>
      </c>
      <c r="DD32" s="103" t="str">
        <f t="shared" si="41"/>
        <v/>
      </c>
      <c r="DE32" s="107" t="str">
        <f t="shared" si="42"/>
        <v/>
      </c>
      <c r="DF32" s="103" t="str">
        <f t="shared" si="12"/>
        <v/>
      </c>
      <c r="DG32" s="103" t="str">
        <f>IFERROR(IF(AND(K32,W32,AI32,AU32,BG32,BS32,CE32,CQ32,DC32)="","",SUM(K32,W32,AI32,AU32,LARGE((BG32,BS32,CE32,CQ32,DC32),{1,2}))),"")</f>
        <v/>
      </c>
      <c r="DH32" s="103" t="str">
        <f>IFERROR(IF(AND(M32,Y32,AK32,AW32,,BI32,BU32,CG32,CS32,DE32)="","",SUM(M32,Y32,AK32,AW32,SMALL((BI32,BU32,CG32,CS32,DE32),{1,2}))),"")</f>
        <v/>
      </c>
      <c r="DI32" s="109" t="str">
        <f>IFERROR(pos&amp;IF(AND(MOD(ABS(18),100)&gt;10,MOD(ABS(pos),100)&lt;14),"th", CHOOSE(MOD(ABS(pos),10)+1,"th","st","nd","rd","th","th","th","th","th","th")),"")</f>
        <v/>
      </c>
      <c r="DJ32" s="62">
        <f>ROWS($B$12:$B32)</f>
        <v>21</v>
      </c>
      <c r="DK32" s="62" t="str">
        <f>IF($B32=REPORT_CARD!$M$12,$DJ32,"")</f>
        <v/>
      </c>
      <c r="DM32" s="65"/>
    </row>
    <row r="33" spans="1:117" ht="19.5" customHeight="1">
      <c r="A33" s="140" t="str">
        <f>IFERROR(IF(ISBLANK(#REF!),"",#REF!),"")</f>
        <v/>
      </c>
      <c r="B33" s="140" t="str">
        <f>IFERROR(IF(ISBLANK(#REF!),"",#REF!),"")</f>
        <v/>
      </c>
      <c r="C33" s="105">
        <v>15</v>
      </c>
      <c r="D33" s="105">
        <v>9</v>
      </c>
      <c r="E33" s="105">
        <v>15</v>
      </c>
      <c r="F33" s="105">
        <v>14</v>
      </c>
      <c r="G33" s="97">
        <f t="shared" si="43"/>
        <v>53</v>
      </c>
      <c r="H33" s="106" t="str">
        <f>IFERROR(IF(G33=0,"",ROUND((G33/SUM(SETTINGS!$L$14:$L$17))*SETTINGS!$L$18,0)),"")</f>
        <v/>
      </c>
      <c r="I33" s="105">
        <v>41</v>
      </c>
      <c r="J33" s="106" t="str">
        <f>IFERROR(IF(ISBLANK(I33),"",ROUND((I33/SETTINGS!$L$19)*SETTINGS!$L$20,0)),"")</f>
        <v/>
      </c>
      <c r="K33" s="106" t="str">
        <f t="shared" si="13"/>
        <v/>
      </c>
      <c r="L33" s="103" t="str">
        <f t="shared" si="0"/>
        <v/>
      </c>
      <c r="M33" s="107" t="str">
        <f t="shared" si="14"/>
        <v/>
      </c>
      <c r="N33" s="136"/>
      <c r="O33" s="105">
        <v>5</v>
      </c>
      <c r="P33" s="105">
        <v>14</v>
      </c>
      <c r="Q33" s="105">
        <v>5</v>
      </c>
      <c r="R33" s="105">
        <v>12</v>
      </c>
      <c r="S33" s="97">
        <f t="shared" si="1"/>
        <v>36</v>
      </c>
      <c r="T33" s="106" t="str">
        <f>IFERROR(IF(S33=0,"",ROUND((S33/SUM(SETTINGS!$L$14:$L$17))*SETTINGS!$L$18,0)),"")</f>
        <v/>
      </c>
      <c r="U33" s="105">
        <v>55</v>
      </c>
      <c r="V33" s="106" t="str">
        <f>IFERROR(IF(ISBLANK(U33),"",ROUND((U33/SETTINGS!$L$19)*SETTINGS!$L$20,0)),"")</f>
        <v/>
      </c>
      <c r="W33" s="106" t="str">
        <f t="shared" si="2"/>
        <v/>
      </c>
      <c r="X33" s="103" t="str">
        <f t="shared" si="3"/>
        <v/>
      </c>
      <c r="Y33" s="107" t="str">
        <f t="shared" si="4"/>
        <v/>
      </c>
      <c r="Z33" s="130"/>
      <c r="AA33" s="105">
        <v>5</v>
      </c>
      <c r="AB33" s="105">
        <v>10</v>
      </c>
      <c r="AC33" s="105">
        <v>12</v>
      </c>
      <c r="AD33" s="105">
        <v>13</v>
      </c>
      <c r="AE33" s="97">
        <f t="shared" si="15"/>
        <v>40</v>
      </c>
      <c r="AF33" s="106" t="str">
        <f>IFERROR(IF(AE33=0,"",ROUND((AE33/SUM(SETTINGS!$L$14:$L$17))*SETTINGS!$L$18,0)),"")</f>
        <v/>
      </c>
      <c r="AG33" s="105">
        <v>37</v>
      </c>
      <c r="AH33" s="106" t="str">
        <f>IFERROR(IF(ISBLANK(AG33),"",ROUND((AG33/SETTINGS!$L$19)*SETTINGS!$L$20,0)),"")</f>
        <v/>
      </c>
      <c r="AI33" s="106" t="str">
        <f t="shared" si="16"/>
        <v/>
      </c>
      <c r="AJ33" s="103" t="str">
        <f t="shared" si="17"/>
        <v/>
      </c>
      <c r="AK33" s="108" t="str">
        <f t="shared" si="18"/>
        <v/>
      </c>
      <c r="AL33" s="130"/>
      <c r="AM33" s="105">
        <v>6</v>
      </c>
      <c r="AN33" s="105">
        <v>7</v>
      </c>
      <c r="AO33" s="105">
        <v>9</v>
      </c>
      <c r="AP33" s="105">
        <v>15</v>
      </c>
      <c r="AQ33" s="97">
        <f t="shared" si="19"/>
        <v>37</v>
      </c>
      <c r="AR33" s="106" t="str">
        <f>IFERROR(IF(AQ33=0,"",ROUND((AQ33/SUM(SETTINGS!$L$14:$L$17))*SETTINGS!$L$18,0)),"")</f>
        <v/>
      </c>
      <c r="AS33" s="105">
        <v>33</v>
      </c>
      <c r="AT33" s="106" t="str">
        <f>IFERROR(IF(ISBLANK(AS33),"",ROUND((AS33/SETTINGS!$L$19)*SETTINGS!$L$20,0)),"")</f>
        <v/>
      </c>
      <c r="AU33" s="106" t="str">
        <f t="shared" si="20"/>
        <v/>
      </c>
      <c r="AV33" s="103" t="str">
        <f t="shared" si="21"/>
        <v/>
      </c>
      <c r="AW33" s="107" t="str">
        <f t="shared" si="22"/>
        <v/>
      </c>
      <c r="AX33" s="130"/>
      <c r="AY33" s="105">
        <v>10</v>
      </c>
      <c r="AZ33" s="105">
        <v>13</v>
      </c>
      <c r="BA33" s="105">
        <v>8</v>
      </c>
      <c r="BB33" s="105">
        <v>10</v>
      </c>
      <c r="BC33" s="97">
        <f t="shared" si="23"/>
        <v>41</v>
      </c>
      <c r="BD33" s="106" t="str">
        <f>IFERROR(IF(BC33=0,"",ROUND((BC33/SUM(SETTINGS!$L$14:$L$17))*SETTINGS!$L$18,0)),"")</f>
        <v/>
      </c>
      <c r="BE33" s="105">
        <v>67</v>
      </c>
      <c r="BF33" s="106" t="str">
        <f>IFERROR(IF(ISBLANK(BE33),"",ROUND((BE33/SETTINGS!$L$19)*SETTINGS!$L$20,0)),"")</f>
        <v/>
      </c>
      <c r="BG33" s="106" t="str">
        <f t="shared" si="24"/>
        <v/>
      </c>
      <c r="BH33" s="103" t="str">
        <f t="shared" si="25"/>
        <v/>
      </c>
      <c r="BI33" s="108" t="str">
        <f t="shared" si="26"/>
        <v/>
      </c>
      <c r="BJ33" s="130"/>
      <c r="BK33" s="105">
        <v>9</v>
      </c>
      <c r="BL33" s="105">
        <v>9</v>
      </c>
      <c r="BM33" s="105">
        <v>1</v>
      </c>
      <c r="BN33" s="105">
        <v>15</v>
      </c>
      <c r="BO33" s="97">
        <f t="shared" si="27"/>
        <v>34</v>
      </c>
      <c r="BP33" s="106" t="str">
        <f>IFERROR(IF(BO33=0,"",ROUND((BO33/SUM(SETTINGS!$L$14:$L$17))*SETTINGS!$L$18,0)),"")</f>
        <v/>
      </c>
      <c r="BQ33" s="105">
        <v>32</v>
      </c>
      <c r="BR33" s="106" t="str">
        <f>IFERROR(IF(ISBLANK(BQ33),"",ROUND((BQ33/SETTINGS!$L$19)*SETTINGS!$L$20,0)),"")</f>
        <v/>
      </c>
      <c r="BS33" s="106" t="str">
        <f t="shared" si="28"/>
        <v/>
      </c>
      <c r="BT33" s="103" t="str">
        <f t="shared" si="29"/>
        <v/>
      </c>
      <c r="BU33" s="107" t="str">
        <f t="shared" si="30"/>
        <v/>
      </c>
      <c r="BV33" s="130"/>
      <c r="BW33" s="105">
        <v>13</v>
      </c>
      <c r="BX33" s="105">
        <v>4</v>
      </c>
      <c r="BY33" s="105">
        <v>15</v>
      </c>
      <c r="BZ33" s="105">
        <v>12</v>
      </c>
      <c r="CA33" s="97">
        <f t="shared" si="31"/>
        <v>44</v>
      </c>
      <c r="CB33" s="106" t="str">
        <f>IFERROR(IF(CA33=0,"",ROUND((CA33/SUM(SETTINGS!$L$14:$L$17))*SETTINGS!$L$18,0)),"")</f>
        <v/>
      </c>
      <c r="CC33" s="105">
        <v>46</v>
      </c>
      <c r="CD33" s="106" t="str">
        <f>IFERROR(IF(ISBLANK(CC33),"",ROUND((CC33/SETTINGS!$L$19)*SETTINGS!$L$20,0)),"")</f>
        <v/>
      </c>
      <c r="CE33" s="106" t="str">
        <f t="shared" si="32"/>
        <v/>
      </c>
      <c r="CF33" s="103" t="str">
        <f t="shared" si="33"/>
        <v/>
      </c>
      <c r="CG33" s="107" t="str">
        <f t="shared" si="34"/>
        <v/>
      </c>
      <c r="CH33" s="130"/>
      <c r="CI33" s="105">
        <v>10</v>
      </c>
      <c r="CJ33" s="105">
        <v>15</v>
      </c>
      <c r="CK33" s="105">
        <v>12</v>
      </c>
      <c r="CL33" s="105">
        <v>10</v>
      </c>
      <c r="CM33" s="97">
        <f t="shared" si="35"/>
        <v>47</v>
      </c>
      <c r="CN33" s="106" t="str">
        <f>IFERROR(IF(CM33=0,"",ROUND((CM33/SUM(SETTINGS!$L$14:$L$17))*SETTINGS!$L$18,0)),"")</f>
        <v/>
      </c>
      <c r="CO33" s="105">
        <v>24</v>
      </c>
      <c r="CP33" s="106" t="str">
        <f>IFERROR(IF(ISBLANK(CO33),"",ROUND((CO33/SETTINGS!$L$19)*SETTINGS!$L$20,0)),"")</f>
        <v/>
      </c>
      <c r="CQ33" s="106" t="str">
        <f t="shared" si="36"/>
        <v/>
      </c>
      <c r="CR33" s="103" t="str">
        <f t="shared" si="37"/>
        <v/>
      </c>
      <c r="CS33" s="107" t="str">
        <f t="shared" si="38"/>
        <v/>
      </c>
      <c r="CT33" s="130"/>
      <c r="CU33" s="105">
        <v>10</v>
      </c>
      <c r="CV33" s="105">
        <v>9</v>
      </c>
      <c r="CW33" s="105">
        <v>8</v>
      </c>
      <c r="CX33" s="105">
        <v>8</v>
      </c>
      <c r="CY33" s="97">
        <f t="shared" si="39"/>
        <v>35</v>
      </c>
      <c r="CZ33" s="106" t="str">
        <f>IFERROR(IF(CY33=0,"",ROUND((CY33/SUM(SETTINGS!$L$14:$L$17))*SETTINGS!$L$18,0)),"")</f>
        <v/>
      </c>
      <c r="DA33" s="105">
        <v>42</v>
      </c>
      <c r="DB33" s="106" t="str">
        <f>IFERROR(IF(ISBLANK(DA33),"",ROUND((DA33/SETTINGS!$L$19)*SETTINGS!$L$20,0)),"")</f>
        <v/>
      </c>
      <c r="DC33" s="106" t="str">
        <f t="shared" si="40"/>
        <v/>
      </c>
      <c r="DD33" s="103" t="str">
        <f t="shared" si="41"/>
        <v/>
      </c>
      <c r="DE33" s="107" t="str">
        <f t="shared" si="42"/>
        <v/>
      </c>
      <c r="DF33" s="103" t="str">
        <f t="shared" si="12"/>
        <v/>
      </c>
      <c r="DG33" s="103" t="str">
        <f>IFERROR(IF(AND(K33,W33,AI33,AU33,BG33,BS33,CE33,CQ33,DC33)="","",SUM(K33,W33,AI33,AU33,LARGE((BG33,BS33,CE33,CQ33,DC33),{1,2}))),"")</f>
        <v/>
      </c>
      <c r="DH33" s="103" t="str">
        <f>IFERROR(IF(AND(M33,Y33,AK33,AW33,,BI33,BU33,CG33,CS33,DE33)="","",SUM(M33,Y33,AK33,AW33,SMALL((BI33,BU33,CG33,CS33,DE33),{1,2}))),"")</f>
        <v/>
      </c>
      <c r="DI33" s="109" t="str">
        <f>IFERROR(pos&amp;IF(AND(MOD(ABS(18),100)&gt;10,MOD(ABS(pos),100)&lt;14),"th", CHOOSE(MOD(ABS(pos),10)+1,"th","st","nd","rd","th","th","th","th","th","th")),"")</f>
        <v/>
      </c>
      <c r="DJ33" s="62">
        <f>ROWS($B$12:$B33)</f>
        <v>22</v>
      </c>
      <c r="DK33" s="62" t="str">
        <f>IF($B33=REPORT_CARD!$M$12,$DJ33,"")</f>
        <v/>
      </c>
      <c r="DM33" s="65"/>
    </row>
    <row r="34" spans="1:117" ht="19.5" customHeight="1">
      <c r="A34" s="140" t="str">
        <f>IFERROR(IF(ISBLANK(#REF!),"",#REF!),"")</f>
        <v/>
      </c>
      <c r="B34" s="140" t="str">
        <f>IFERROR(IF(ISBLANK(#REF!),"",#REF!),"")</f>
        <v/>
      </c>
      <c r="C34" s="105">
        <v>9</v>
      </c>
      <c r="D34" s="105">
        <v>15</v>
      </c>
      <c r="E34" s="105">
        <v>10</v>
      </c>
      <c r="F34" s="105">
        <v>10</v>
      </c>
      <c r="G34" s="97">
        <f t="shared" si="43"/>
        <v>44</v>
      </c>
      <c r="H34" s="106" t="str">
        <f>IFERROR(IF(G34=0,"",ROUND((G34/SUM(SETTINGS!$L$14:$L$17))*SETTINGS!$L$18,0)),"")</f>
        <v/>
      </c>
      <c r="I34" s="105">
        <v>41</v>
      </c>
      <c r="J34" s="106" t="str">
        <f>IFERROR(IF(ISBLANK(I34),"",ROUND((I34/SETTINGS!$L$19)*SETTINGS!$L$20,0)),"")</f>
        <v/>
      </c>
      <c r="K34" s="106" t="str">
        <f t="shared" si="13"/>
        <v/>
      </c>
      <c r="L34" s="103" t="str">
        <f t="shared" si="0"/>
        <v/>
      </c>
      <c r="M34" s="107" t="str">
        <f t="shared" si="14"/>
        <v/>
      </c>
      <c r="N34" s="136"/>
      <c r="O34" s="105">
        <v>3</v>
      </c>
      <c r="P34" s="105">
        <v>10</v>
      </c>
      <c r="Q34" s="105">
        <v>5</v>
      </c>
      <c r="R34" s="105">
        <v>10</v>
      </c>
      <c r="S34" s="97">
        <f t="shared" si="1"/>
        <v>28</v>
      </c>
      <c r="T34" s="106" t="str">
        <f>IFERROR(IF(S34=0,"",ROUND((S34/SUM(SETTINGS!$L$14:$L$17))*SETTINGS!$L$18,0)),"")</f>
        <v/>
      </c>
      <c r="U34" s="105">
        <v>29</v>
      </c>
      <c r="V34" s="106" t="str">
        <f>IFERROR(IF(ISBLANK(U34),"",ROUND((U34/SETTINGS!$L$19)*SETTINGS!$L$20,0)),"")</f>
        <v/>
      </c>
      <c r="W34" s="106" t="str">
        <f t="shared" si="2"/>
        <v/>
      </c>
      <c r="X34" s="103" t="str">
        <f t="shared" si="3"/>
        <v/>
      </c>
      <c r="Y34" s="107" t="str">
        <f t="shared" si="4"/>
        <v/>
      </c>
      <c r="Z34" s="130"/>
      <c r="AA34" s="105">
        <v>7</v>
      </c>
      <c r="AB34" s="105">
        <v>10</v>
      </c>
      <c r="AC34" s="105">
        <v>12</v>
      </c>
      <c r="AD34" s="105">
        <v>9</v>
      </c>
      <c r="AE34" s="97">
        <f t="shared" si="15"/>
        <v>38</v>
      </c>
      <c r="AF34" s="106" t="str">
        <f>IFERROR(IF(AE34=0,"",ROUND((AE34/SUM(SETTINGS!$L$14:$L$17))*SETTINGS!$L$18,0)),"")</f>
        <v/>
      </c>
      <c r="AG34" s="105">
        <v>32</v>
      </c>
      <c r="AH34" s="106" t="str">
        <f>IFERROR(IF(ISBLANK(AG34),"",ROUND((AG34/SETTINGS!$L$19)*SETTINGS!$L$20,0)),"")</f>
        <v/>
      </c>
      <c r="AI34" s="106" t="str">
        <f t="shared" si="16"/>
        <v/>
      </c>
      <c r="AJ34" s="103" t="str">
        <f t="shared" si="17"/>
        <v/>
      </c>
      <c r="AK34" s="108" t="str">
        <f t="shared" si="18"/>
        <v/>
      </c>
      <c r="AL34" s="130"/>
      <c r="AM34" s="105">
        <v>10</v>
      </c>
      <c r="AN34" s="105">
        <v>9</v>
      </c>
      <c r="AO34" s="105">
        <v>2</v>
      </c>
      <c r="AP34" s="105">
        <v>14</v>
      </c>
      <c r="AQ34" s="97">
        <f t="shared" si="19"/>
        <v>35</v>
      </c>
      <c r="AR34" s="106" t="str">
        <f>IFERROR(IF(AQ34=0,"",ROUND((AQ34/SUM(SETTINGS!$L$14:$L$17))*SETTINGS!$L$18,0)),"")</f>
        <v/>
      </c>
      <c r="AS34" s="105">
        <v>27</v>
      </c>
      <c r="AT34" s="106" t="str">
        <f>IFERROR(IF(ISBLANK(AS34),"",ROUND((AS34/SETTINGS!$L$19)*SETTINGS!$L$20,0)),"")</f>
        <v/>
      </c>
      <c r="AU34" s="106" t="str">
        <f t="shared" si="20"/>
        <v/>
      </c>
      <c r="AV34" s="103" t="str">
        <f t="shared" si="21"/>
        <v/>
      </c>
      <c r="AW34" s="107" t="str">
        <f t="shared" si="22"/>
        <v/>
      </c>
      <c r="AX34" s="130"/>
      <c r="AY34" s="105">
        <v>10</v>
      </c>
      <c r="AZ34" s="105">
        <v>12</v>
      </c>
      <c r="BA34" s="105">
        <v>8</v>
      </c>
      <c r="BB34" s="105">
        <v>12</v>
      </c>
      <c r="BC34" s="97">
        <f t="shared" si="23"/>
        <v>42</v>
      </c>
      <c r="BD34" s="106" t="str">
        <f>IFERROR(IF(BC34=0,"",ROUND((BC34/SUM(SETTINGS!$L$14:$L$17))*SETTINGS!$L$18,0)),"")</f>
        <v/>
      </c>
      <c r="BE34" s="105">
        <v>70</v>
      </c>
      <c r="BF34" s="106" t="str">
        <f>IFERROR(IF(ISBLANK(BE34),"",ROUND((BE34/SETTINGS!$L$19)*SETTINGS!$L$20,0)),"")</f>
        <v/>
      </c>
      <c r="BG34" s="106" t="str">
        <f t="shared" si="24"/>
        <v/>
      </c>
      <c r="BH34" s="103" t="str">
        <f t="shared" si="25"/>
        <v/>
      </c>
      <c r="BI34" s="108" t="str">
        <f t="shared" si="26"/>
        <v/>
      </c>
      <c r="BJ34" s="130"/>
      <c r="BK34" s="105">
        <v>10</v>
      </c>
      <c r="BL34" s="105">
        <v>3</v>
      </c>
      <c r="BM34" s="105">
        <v>5</v>
      </c>
      <c r="BN34" s="105">
        <v>15</v>
      </c>
      <c r="BO34" s="97">
        <f t="shared" si="27"/>
        <v>33</v>
      </c>
      <c r="BP34" s="106" t="str">
        <f>IFERROR(IF(BO34=0,"",ROUND((BO34/SUM(SETTINGS!$L$14:$L$17))*SETTINGS!$L$18,0)),"")</f>
        <v/>
      </c>
      <c r="BQ34" s="105">
        <v>33</v>
      </c>
      <c r="BR34" s="106" t="str">
        <f>IFERROR(IF(ISBLANK(BQ34),"",ROUND((BQ34/SETTINGS!$L$19)*SETTINGS!$L$20,0)),"")</f>
        <v/>
      </c>
      <c r="BS34" s="106" t="str">
        <f t="shared" si="28"/>
        <v/>
      </c>
      <c r="BT34" s="103" t="str">
        <f t="shared" si="29"/>
        <v/>
      </c>
      <c r="BU34" s="107" t="str">
        <f t="shared" si="30"/>
        <v/>
      </c>
      <c r="BV34" s="130"/>
      <c r="BW34" s="105">
        <v>10</v>
      </c>
      <c r="BX34" s="105">
        <v>7</v>
      </c>
      <c r="BY34" s="105">
        <v>14</v>
      </c>
      <c r="BZ34" s="105">
        <v>8</v>
      </c>
      <c r="CA34" s="97">
        <f t="shared" si="31"/>
        <v>39</v>
      </c>
      <c r="CB34" s="106" t="str">
        <f>IFERROR(IF(CA34=0,"",ROUND((CA34/SUM(SETTINGS!$L$14:$L$17))*SETTINGS!$L$18,0)),"")</f>
        <v/>
      </c>
      <c r="CC34" s="105">
        <v>46</v>
      </c>
      <c r="CD34" s="106" t="str">
        <f>IFERROR(IF(ISBLANK(CC34),"",ROUND((CC34/SETTINGS!$L$19)*SETTINGS!$L$20,0)),"")</f>
        <v/>
      </c>
      <c r="CE34" s="106" t="str">
        <f t="shared" si="32"/>
        <v/>
      </c>
      <c r="CF34" s="103" t="str">
        <f t="shared" si="33"/>
        <v/>
      </c>
      <c r="CG34" s="107" t="str">
        <f t="shared" si="34"/>
        <v/>
      </c>
      <c r="CH34" s="130"/>
      <c r="CI34" s="105">
        <v>14</v>
      </c>
      <c r="CJ34" s="105">
        <v>15</v>
      </c>
      <c r="CK34" s="105">
        <v>10</v>
      </c>
      <c r="CL34" s="105">
        <v>14</v>
      </c>
      <c r="CM34" s="97">
        <f t="shared" si="35"/>
        <v>53</v>
      </c>
      <c r="CN34" s="106" t="str">
        <f>IFERROR(IF(CM34=0,"",ROUND((CM34/SUM(SETTINGS!$L$14:$L$17))*SETTINGS!$L$18,0)),"")</f>
        <v/>
      </c>
      <c r="CO34" s="105">
        <v>22</v>
      </c>
      <c r="CP34" s="106" t="str">
        <f>IFERROR(IF(ISBLANK(CO34),"",ROUND((CO34/SETTINGS!$L$19)*SETTINGS!$L$20,0)),"")</f>
        <v/>
      </c>
      <c r="CQ34" s="106" t="str">
        <f t="shared" si="36"/>
        <v/>
      </c>
      <c r="CR34" s="103" t="str">
        <f t="shared" si="37"/>
        <v/>
      </c>
      <c r="CS34" s="107" t="str">
        <f t="shared" si="38"/>
        <v/>
      </c>
      <c r="CT34" s="130"/>
      <c r="CU34" s="105">
        <v>7</v>
      </c>
      <c r="CV34" s="105">
        <v>13</v>
      </c>
      <c r="CW34" s="105">
        <v>8</v>
      </c>
      <c r="CX34" s="105">
        <v>9</v>
      </c>
      <c r="CY34" s="97">
        <f t="shared" si="39"/>
        <v>37</v>
      </c>
      <c r="CZ34" s="106" t="str">
        <f>IFERROR(IF(CY34=0,"",ROUND((CY34/SUM(SETTINGS!$L$14:$L$17))*SETTINGS!$L$18,0)),"")</f>
        <v/>
      </c>
      <c r="DA34" s="105">
        <v>35</v>
      </c>
      <c r="DB34" s="106" t="str">
        <f>IFERROR(IF(ISBLANK(DA34),"",ROUND((DA34/SETTINGS!$L$19)*SETTINGS!$L$20,0)),"")</f>
        <v/>
      </c>
      <c r="DC34" s="106" t="str">
        <f t="shared" si="40"/>
        <v/>
      </c>
      <c r="DD34" s="103" t="str">
        <f t="shared" si="41"/>
        <v/>
      </c>
      <c r="DE34" s="107" t="str">
        <f t="shared" si="42"/>
        <v/>
      </c>
      <c r="DF34" s="103" t="str">
        <f t="shared" si="12"/>
        <v/>
      </c>
      <c r="DG34" s="103" t="str">
        <f>IFERROR(IF(AND(K34,W34,AI34,AU34,BG34,BS34,CE34,CQ34,DC34)="","",SUM(K34,W34,AI34,AU34,LARGE((BG34,BS34,CE34,CQ34,DC34),{1,2}))),"")</f>
        <v/>
      </c>
      <c r="DH34" s="103" t="str">
        <f>IFERROR(IF(AND(M34,Y34,AK34,AW34,,BI34,BU34,CG34,CS34,DE34)="","",SUM(M34,Y34,AK34,AW34,SMALL((BI34,BU34,CG34,CS34,DE34),{1,2}))),"")</f>
        <v/>
      </c>
      <c r="DI34" s="109" t="str">
        <f>IFERROR(pos&amp;IF(AND(MOD(ABS(18),100)&gt;10,MOD(ABS(pos),100)&lt;14),"th", CHOOSE(MOD(ABS(pos),10)+1,"th","st","nd","rd","th","th","th","th","th","th")),"")</f>
        <v/>
      </c>
      <c r="DJ34" s="62">
        <f>ROWS($B$12:$B34)</f>
        <v>23</v>
      </c>
      <c r="DK34" s="62" t="str">
        <f>IF($B34=REPORT_CARD!$M$12,$DJ34,"")</f>
        <v/>
      </c>
      <c r="DM34" s="65"/>
    </row>
    <row r="35" spans="1:117" ht="19.5" customHeight="1">
      <c r="A35" s="140" t="str">
        <f>IFERROR(IF(ISBLANK(#REF!),"",#REF!),"")</f>
        <v/>
      </c>
      <c r="B35" s="140" t="str">
        <f>IFERROR(IF(ISBLANK(#REF!),"",#REF!),"")</f>
        <v/>
      </c>
      <c r="C35" s="105">
        <v>12</v>
      </c>
      <c r="D35" s="105">
        <v>9</v>
      </c>
      <c r="E35" s="105">
        <v>4</v>
      </c>
      <c r="F35" s="105">
        <v>14</v>
      </c>
      <c r="G35" s="97">
        <f t="shared" si="43"/>
        <v>39</v>
      </c>
      <c r="H35" s="106" t="str">
        <f>IFERROR(IF(G35=0,"",ROUND((G35/SUM(SETTINGS!$L$14:$L$17))*SETTINGS!$L$18,0)),"")</f>
        <v/>
      </c>
      <c r="I35" s="105">
        <v>16</v>
      </c>
      <c r="J35" s="106" t="str">
        <f>IFERROR(IF(ISBLANK(I35),"",ROUND((I35/SETTINGS!$L$19)*SETTINGS!$L$20,0)),"")</f>
        <v/>
      </c>
      <c r="K35" s="106" t="str">
        <f t="shared" si="13"/>
        <v/>
      </c>
      <c r="L35" s="103" t="str">
        <f t="shared" si="0"/>
        <v/>
      </c>
      <c r="M35" s="107" t="str">
        <f t="shared" si="14"/>
        <v/>
      </c>
      <c r="N35" s="136"/>
      <c r="O35" s="105">
        <v>5</v>
      </c>
      <c r="P35" s="105">
        <v>12</v>
      </c>
      <c r="Q35" s="105">
        <v>6</v>
      </c>
      <c r="R35" s="105">
        <v>9</v>
      </c>
      <c r="S35" s="97">
        <f t="shared" si="1"/>
        <v>32</v>
      </c>
      <c r="T35" s="106" t="str">
        <f>IFERROR(IF(S35=0,"",ROUND((S35/SUM(SETTINGS!$L$14:$L$17))*SETTINGS!$L$18,0)),"")</f>
        <v/>
      </c>
      <c r="U35" s="105">
        <v>10</v>
      </c>
      <c r="V35" s="106" t="str">
        <f>IFERROR(IF(ISBLANK(U35),"",ROUND((U35/SETTINGS!$L$19)*SETTINGS!$L$20,0)),"")</f>
        <v/>
      </c>
      <c r="W35" s="106" t="str">
        <f t="shared" si="2"/>
        <v/>
      </c>
      <c r="X35" s="103" t="str">
        <f t="shared" si="3"/>
        <v/>
      </c>
      <c r="Y35" s="107" t="str">
        <f t="shared" si="4"/>
        <v/>
      </c>
      <c r="Z35" s="130"/>
      <c r="AA35" s="105">
        <v>6</v>
      </c>
      <c r="AB35" s="105">
        <v>10</v>
      </c>
      <c r="AC35" s="105">
        <v>6</v>
      </c>
      <c r="AD35" s="105">
        <v>14</v>
      </c>
      <c r="AE35" s="97">
        <f t="shared" si="15"/>
        <v>36</v>
      </c>
      <c r="AF35" s="106" t="str">
        <f>IFERROR(IF(AE35=0,"",ROUND((AE35/SUM(SETTINGS!$L$14:$L$17))*SETTINGS!$L$18,0)),"")</f>
        <v/>
      </c>
      <c r="AG35" s="105">
        <v>17</v>
      </c>
      <c r="AH35" s="106" t="str">
        <f>IFERROR(IF(ISBLANK(AG35),"",ROUND((AG35/SETTINGS!$L$19)*SETTINGS!$L$20,0)),"")</f>
        <v/>
      </c>
      <c r="AI35" s="106" t="str">
        <f t="shared" si="16"/>
        <v/>
      </c>
      <c r="AJ35" s="103" t="str">
        <f t="shared" si="17"/>
        <v/>
      </c>
      <c r="AK35" s="108" t="str">
        <f t="shared" si="18"/>
        <v/>
      </c>
      <c r="AL35" s="130"/>
      <c r="AM35" s="105">
        <v>6</v>
      </c>
      <c r="AN35" s="105">
        <v>10</v>
      </c>
      <c r="AO35" s="105">
        <v>11</v>
      </c>
      <c r="AP35" s="105">
        <v>14</v>
      </c>
      <c r="AQ35" s="97">
        <f t="shared" si="19"/>
        <v>41</v>
      </c>
      <c r="AR35" s="106" t="str">
        <f>IFERROR(IF(AQ35=0,"",ROUND((AQ35/SUM(SETTINGS!$L$14:$L$17))*SETTINGS!$L$18,0)),"")</f>
        <v/>
      </c>
      <c r="AS35" s="105">
        <v>22</v>
      </c>
      <c r="AT35" s="106" t="str">
        <f>IFERROR(IF(ISBLANK(AS35),"",ROUND((AS35/SETTINGS!$L$19)*SETTINGS!$L$20,0)),"")</f>
        <v/>
      </c>
      <c r="AU35" s="106" t="str">
        <f t="shared" si="20"/>
        <v/>
      </c>
      <c r="AV35" s="103" t="str">
        <f t="shared" si="21"/>
        <v/>
      </c>
      <c r="AW35" s="107" t="str">
        <f t="shared" si="22"/>
        <v/>
      </c>
      <c r="AX35" s="130"/>
      <c r="AY35" s="105">
        <v>6</v>
      </c>
      <c r="AZ35" s="105">
        <v>10</v>
      </c>
      <c r="BA35" s="105">
        <v>8</v>
      </c>
      <c r="BB35" s="105">
        <v>6</v>
      </c>
      <c r="BC35" s="97">
        <f t="shared" si="23"/>
        <v>30</v>
      </c>
      <c r="BD35" s="106" t="str">
        <f>IFERROR(IF(BC35=0,"",ROUND((BC35/SUM(SETTINGS!$L$14:$L$17))*SETTINGS!$L$18,0)),"")</f>
        <v/>
      </c>
      <c r="BE35" s="105">
        <v>31</v>
      </c>
      <c r="BF35" s="106" t="str">
        <f>IFERROR(IF(ISBLANK(BE35),"",ROUND((BE35/SETTINGS!$L$19)*SETTINGS!$L$20,0)),"")</f>
        <v/>
      </c>
      <c r="BG35" s="106" t="str">
        <f t="shared" si="24"/>
        <v/>
      </c>
      <c r="BH35" s="103" t="str">
        <f t="shared" si="25"/>
        <v/>
      </c>
      <c r="BI35" s="108" t="str">
        <f t="shared" si="26"/>
        <v/>
      </c>
      <c r="BJ35" s="130"/>
      <c r="BK35" s="105">
        <v>1</v>
      </c>
      <c r="BL35" s="105">
        <v>5</v>
      </c>
      <c r="BM35" s="105">
        <v>1</v>
      </c>
      <c r="BN35" s="105">
        <v>15</v>
      </c>
      <c r="BO35" s="97">
        <f t="shared" si="27"/>
        <v>22</v>
      </c>
      <c r="BP35" s="106" t="str">
        <f>IFERROR(IF(BO35=0,"",ROUND((BO35/SUM(SETTINGS!$L$14:$L$17))*SETTINGS!$L$18,0)),"")</f>
        <v/>
      </c>
      <c r="BQ35" s="105">
        <v>17</v>
      </c>
      <c r="BR35" s="106" t="str">
        <f>IFERROR(IF(ISBLANK(BQ35),"",ROUND((BQ35/SETTINGS!$L$19)*SETTINGS!$L$20,0)),"")</f>
        <v/>
      </c>
      <c r="BS35" s="106" t="str">
        <f t="shared" si="28"/>
        <v/>
      </c>
      <c r="BT35" s="103" t="str">
        <f t="shared" si="29"/>
        <v/>
      </c>
      <c r="BU35" s="107" t="str">
        <f t="shared" si="30"/>
        <v/>
      </c>
      <c r="BV35" s="130"/>
      <c r="BW35" s="105">
        <v>12</v>
      </c>
      <c r="BX35" s="105">
        <v>3</v>
      </c>
      <c r="BY35" s="105">
        <v>6</v>
      </c>
      <c r="BZ35" s="105">
        <v>7</v>
      </c>
      <c r="CA35" s="97">
        <f t="shared" si="31"/>
        <v>28</v>
      </c>
      <c r="CB35" s="106" t="str">
        <f>IFERROR(IF(CA35=0,"",ROUND((CA35/SUM(SETTINGS!$L$14:$L$17))*SETTINGS!$L$18,0)),"")</f>
        <v/>
      </c>
      <c r="CC35" s="105">
        <v>14</v>
      </c>
      <c r="CD35" s="106" t="str">
        <f>IFERROR(IF(ISBLANK(CC35),"",ROUND((CC35/SETTINGS!$L$19)*SETTINGS!$L$20,0)),"")</f>
        <v/>
      </c>
      <c r="CE35" s="106" t="str">
        <f t="shared" si="32"/>
        <v/>
      </c>
      <c r="CF35" s="103" t="str">
        <f t="shared" si="33"/>
        <v/>
      </c>
      <c r="CG35" s="107" t="str">
        <f t="shared" si="34"/>
        <v/>
      </c>
      <c r="CH35" s="130"/>
      <c r="CI35" s="105">
        <v>10</v>
      </c>
      <c r="CJ35" s="105">
        <v>13</v>
      </c>
      <c r="CK35" s="105">
        <v>5</v>
      </c>
      <c r="CL35" s="105">
        <v>10</v>
      </c>
      <c r="CM35" s="97">
        <f t="shared" si="35"/>
        <v>38</v>
      </c>
      <c r="CN35" s="106" t="str">
        <f>IFERROR(IF(CM35=0,"",ROUND((CM35/SUM(SETTINGS!$L$14:$L$17))*SETTINGS!$L$18,0)),"")</f>
        <v/>
      </c>
      <c r="CO35" s="105">
        <v>10</v>
      </c>
      <c r="CP35" s="106" t="str">
        <f>IFERROR(IF(ISBLANK(CO35),"",ROUND((CO35/SETTINGS!$L$19)*SETTINGS!$L$20,0)),"")</f>
        <v/>
      </c>
      <c r="CQ35" s="106" t="str">
        <f t="shared" si="36"/>
        <v/>
      </c>
      <c r="CR35" s="103" t="str">
        <f t="shared" si="37"/>
        <v/>
      </c>
      <c r="CS35" s="107" t="str">
        <f t="shared" si="38"/>
        <v/>
      </c>
      <c r="CT35" s="130"/>
      <c r="CU35" s="105">
        <v>11</v>
      </c>
      <c r="CV35" s="105">
        <v>8</v>
      </c>
      <c r="CW35" s="105">
        <v>6</v>
      </c>
      <c r="CX35" s="105">
        <v>8</v>
      </c>
      <c r="CY35" s="97">
        <f t="shared" si="39"/>
        <v>33</v>
      </c>
      <c r="CZ35" s="106" t="str">
        <f>IFERROR(IF(CY35=0,"",ROUND((CY35/SUM(SETTINGS!$L$14:$L$17))*SETTINGS!$L$18,0)),"")</f>
        <v/>
      </c>
      <c r="DA35" s="105">
        <v>24</v>
      </c>
      <c r="DB35" s="106" t="str">
        <f>IFERROR(IF(ISBLANK(DA35),"",ROUND((DA35/SETTINGS!$L$19)*SETTINGS!$L$20,0)),"")</f>
        <v/>
      </c>
      <c r="DC35" s="106" t="str">
        <f t="shared" si="40"/>
        <v/>
      </c>
      <c r="DD35" s="103" t="str">
        <f t="shared" si="41"/>
        <v/>
      </c>
      <c r="DE35" s="107" t="str">
        <f t="shared" si="42"/>
        <v/>
      </c>
      <c r="DF35" s="103" t="str">
        <f t="shared" si="12"/>
        <v/>
      </c>
      <c r="DG35" s="103" t="str">
        <f>IFERROR(IF(AND(K35,W35,AI35,AU35,BG35,BS35,CE35,CQ35,DC35)="","",SUM(K35,W35,AI35,AU35,LARGE((BG35,BS35,CE35,CQ35,DC35),{1,2}))),"")</f>
        <v/>
      </c>
      <c r="DH35" s="103" t="str">
        <f>IFERROR(IF(AND(M35,Y35,AK35,AW35,,BI35,BU35,CG35,CS35,DE35)="","",SUM(M35,Y35,AK35,AW35,SMALL((BI35,BU35,CG35,CS35,DE35),{1,2}))),"")</f>
        <v/>
      </c>
      <c r="DI35" s="109" t="str">
        <f>IFERROR(pos&amp;IF(AND(MOD(ABS(18),100)&gt;10,MOD(ABS(pos),100)&lt;14),"th", CHOOSE(MOD(ABS(pos),10)+1,"th","st","nd","rd","th","th","th","th","th","th")),"")</f>
        <v/>
      </c>
      <c r="DJ35" s="62">
        <f>ROWS($B$12:$B35)</f>
        <v>24</v>
      </c>
      <c r="DK35" s="62" t="str">
        <f>IF($B35=REPORT_CARD!$M$12,$DJ35,"")</f>
        <v/>
      </c>
      <c r="DM35" s="65"/>
    </row>
    <row r="36" spans="1:117" ht="19.5" customHeight="1">
      <c r="A36" s="140" t="str">
        <f>IFERROR(IF(ISBLANK(#REF!),"",#REF!),"")</f>
        <v/>
      </c>
      <c r="B36" s="140" t="str">
        <f>IFERROR(IF(ISBLANK(#REF!),"",#REF!),"")</f>
        <v/>
      </c>
      <c r="C36" s="105">
        <v>12</v>
      </c>
      <c r="D36" s="105">
        <v>14</v>
      </c>
      <c r="E36" s="105">
        <v>10</v>
      </c>
      <c r="F36" s="105">
        <v>6</v>
      </c>
      <c r="G36" s="97">
        <f t="shared" si="43"/>
        <v>42</v>
      </c>
      <c r="H36" s="106" t="str">
        <f>IFERROR(IF(G36=0,"",ROUND((G36/SUM(SETTINGS!$L$14:$L$17))*SETTINGS!$L$18,0)),"")</f>
        <v/>
      </c>
      <c r="I36" s="105">
        <v>30</v>
      </c>
      <c r="J36" s="106" t="str">
        <f>IFERROR(IF(ISBLANK(I36),"",ROUND((I36/SETTINGS!$L$19)*SETTINGS!$L$20,0)),"")</f>
        <v/>
      </c>
      <c r="K36" s="106" t="str">
        <f t="shared" si="13"/>
        <v/>
      </c>
      <c r="L36" s="103" t="str">
        <f t="shared" si="0"/>
        <v/>
      </c>
      <c r="M36" s="107" t="str">
        <f t="shared" si="14"/>
        <v/>
      </c>
      <c r="N36" s="136"/>
      <c r="O36" s="105">
        <v>8</v>
      </c>
      <c r="P36" s="105">
        <v>13</v>
      </c>
      <c r="Q36" s="105">
        <v>8</v>
      </c>
      <c r="R36" s="105">
        <v>10</v>
      </c>
      <c r="S36" s="97">
        <f t="shared" si="1"/>
        <v>39</v>
      </c>
      <c r="T36" s="106" t="str">
        <f>IFERROR(IF(S36=0,"",ROUND((S36/SUM(SETTINGS!$L$14:$L$17))*SETTINGS!$L$18,0)),"")</f>
        <v/>
      </c>
      <c r="U36" s="105">
        <v>30</v>
      </c>
      <c r="V36" s="106" t="str">
        <f>IFERROR(IF(ISBLANK(U36),"",ROUND((U36/SETTINGS!$L$19)*SETTINGS!$L$20,0)),"")</f>
        <v/>
      </c>
      <c r="W36" s="106" t="str">
        <f t="shared" si="2"/>
        <v/>
      </c>
      <c r="X36" s="103" t="str">
        <f t="shared" si="3"/>
        <v/>
      </c>
      <c r="Y36" s="107" t="str">
        <f t="shared" si="4"/>
        <v/>
      </c>
      <c r="Z36" s="130"/>
      <c r="AA36" s="105">
        <v>10</v>
      </c>
      <c r="AB36" s="105">
        <v>10</v>
      </c>
      <c r="AC36" s="105">
        <v>8</v>
      </c>
      <c r="AD36" s="105">
        <v>8</v>
      </c>
      <c r="AE36" s="97">
        <f t="shared" si="15"/>
        <v>36</v>
      </c>
      <c r="AF36" s="106" t="str">
        <f>IFERROR(IF(AE36=0,"",ROUND((AE36/SUM(SETTINGS!$L$14:$L$17))*SETTINGS!$L$18,0)),"")</f>
        <v/>
      </c>
      <c r="AG36" s="105">
        <v>38</v>
      </c>
      <c r="AH36" s="106" t="str">
        <f>IFERROR(IF(ISBLANK(AG36),"",ROUND((AG36/SETTINGS!$L$19)*SETTINGS!$L$20,0)),"")</f>
        <v/>
      </c>
      <c r="AI36" s="106" t="str">
        <f t="shared" si="16"/>
        <v/>
      </c>
      <c r="AJ36" s="103" t="str">
        <f t="shared" si="17"/>
        <v/>
      </c>
      <c r="AK36" s="108" t="str">
        <f t="shared" si="18"/>
        <v/>
      </c>
      <c r="AL36" s="130"/>
      <c r="AM36" s="105">
        <v>1</v>
      </c>
      <c r="AN36" s="105">
        <v>5</v>
      </c>
      <c r="AO36" s="105">
        <v>6</v>
      </c>
      <c r="AP36" s="105">
        <v>15</v>
      </c>
      <c r="AQ36" s="97">
        <f t="shared" si="19"/>
        <v>27</v>
      </c>
      <c r="AR36" s="106" t="str">
        <f>IFERROR(IF(AQ36=0,"",ROUND((AQ36/SUM(SETTINGS!$L$14:$L$17))*SETTINGS!$L$18,0)),"")</f>
        <v/>
      </c>
      <c r="AS36" s="105">
        <v>33</v>
      </c>
      <c r="AT36" s="106" t="str">
        <f>IFERROR(IF(ISBLANK(AS36),"",ROUND((AS36/SETTINGS!$L$19)*SETTINGS!$L$20,0)),"")</f>
        <v/>
      </c>
      <c r="AU36" s="106" t="str">
        <f t="shared" si="20"/>
        <v/>
      </c>
      <c r="AV36" s="103" t="str">
        <f t="shared" si="21"/>
        <v/>
      </c>
      <c r="AW36" s="107" t="str">
        <f t="shared" si="22"/>
        <v/>
      </c>
      <c r="AX36" s="130"/>
      <c r="AY36" s="105">
        <v>15</v>
      </c>
      <c r="AZ36" s="105">
        <v>9</v>
      </c>
      <c r="BA36" s="105">
        <v>8</v>
      </c>
      <c r="BB36" s="105">
        <v>12</v>
      </c>
      <c r="BC36" s="97">
        <f t="shared" si="23"/>
        <v>44</v>
      </c>
      <c r="BD36" s="106" t="str">
        <f>IFERROR(IF(BC36=0,"",ROUND((BC36/SUM(SETTINGS!$L$14:$L$17))*SETTINGS!$L$18,0)),"")</f>
        <v/>
      </c>
      <c r="BE36" s="105">
        <v>59</v>
      </c>
      <c r="BF36" s="106" t="str">
        <f>IFERROR(IF(ISBLANK(BE36),"",ROUND((BE36/SETTINGS!$L$19)*SETTINGS!$L$20,0)),"")</f>
        <v/>
      </c>
      <c r="BG36" s="106" t="str">
        <f t="shared" si="24"/>
        <v/>
      </c>
      <c r="BH36" s="103" t="str">
        <f t="shared" si="25"/>
        <v/>
      </c>
      <c r="BI36" s="108" t="str">
        <f t="shared" si="26"/>
        <v/>
      </c>
      <c r="BJ36" s="130"/>
      <c r="BK36" s="105">
        <v>11</v>
      </c>
      <c r="BL36" s="105">
        <v>7</v>
      </c>
      <c r="BM36" s="105">
        <v>3</v>
      </c>
      <c r="BN36" s="105">
        <v>15</v>
      </c>
      <c r="BO36" s="97">
        <f t="shared" si="27"/>
        <v>36</v>
      </c>
      <c r="BP36" s="106" t="str">
        <f>IFERROR(IF(BO36=0,"",ROUND((BO36/SUM(SETTINGS!$L$14:$L$17))*SETTINGS!$L$18,0)),"")</f>
        <v/>
      </c>
      <c r="BQ36" s="105">
        <v>32</v>
      </c>
      <c r="BR36" s="106" t="str">
        <f>IFERROR(IF(ISBLANK(BQ36),"",ROUND((BQ36/SETTINGS!$L$19)*SETTINGS!$L$20,0)),"")</f>
        <v/>
      </c>
      <c r="BS36" s="106" t="str">
        <f t="shared" si="28"/>
        <v/>
      </c>
      <c r="BT36" s="103" t="str">
        <f t="shared" si="29"/>
        <v/>
      </c>
      <c r="BU36" s="107" t="str">
        <f t="shared" si="30"/>
        <v/>
      </c>
      <c r="BV36" s="130"/>
      <c r="BW36" s="105">
        <v>14</v>
      </c>
      <c r="BX36" s="105">
        <v>11</v>
      </c>
      <c r="BY36" s="105">
        <v>8</v>
      </c>
      <c r="BZ36" s="105">
        <v>3</v>
      </c>
      <c r="CA36" s="97">
        <f t="shared" si="31"/>
        <v>36</v>
      </c>
      <c r="CB36" s="106" t="str">
        <f>IFERROR(IF(CA36=0,"",ROUND((CA36/SUM(SETTINGS!$L$14:$L$17))*SETTINGS!$L$18,0)),"")</f>
        <v/>
      </c>
      <c r="CC36" s="105">
        <v>44</v>
      </c>
      <c r="CD36" s="106" t="str">
        <f>IFERROR(IF(ISBLANK(CC36),"",ROUND((CC36/SETTINGS!$L$19)*SETTINGS!$L$20,0)),"")</f>
        <v/>
      </c>
      <c r="CE36" s="106" t="str">
        <f t="shared" si="32"/>
        <v/>
      </c>
      <c r="CF36" s="103" t="str">
        <f t="shared" si="33"/>
        <v/>
      </c>
      <c r="CG36" s="107" t="str">
        <f t="shared" si="34"/>
        <v/>
      </c>
      <c r="CH36" s="130"/>
      <c r="CI36" s="105">
        <v>10</v>
      </c>
      <c r="CJ36" s="105">
        <v>13</v>
      </c>
      <c r="CK36" s="105">
        <v>11</v>
      </c>
      <c r="CL36" s="105">
        <v>10</v>
      </c>
      <c r="CM36" s="97">
        <f t="shared" si="35"/>
        <v>44</v>
      </c>
      <c r="CN36" s="106" t="str">
        <f>IFERROR(IF(CM36=0,"",ROUND((CM36/SUM(SETTINGS!$L$14:$L$17))*SETTINGS!$L$18,0)),"")</f>
        <v/>
      </c>
      <c r="CO36" s="105">
        <v>33</v>
      </c>
      <c r="CP36" s="106" t="str">
        <f>IFERROR(IF(ISBLANK(CO36),"",ROUND((CO36/SETTINGS!$L$19)*SETTINGS!$L$20,0)),"")</f>
        <v/>
      </c>
      <c r="CQ36" s="106" t="str">
        <f t="shared" si="36"/>
        <v/>
      </c>
      <c r="CR36" s="103" t="str">
        <f t="shared" si="37"/>
        <v/>
      </c>
      <c r="CS36" s="107" t="str">
        <f t="shared" si="38"/>
        <v/>
      </c>
      <c r="CT36" s="130"/>
      <c r="CU36" s="105">
        <v>10</v>
      </c>
      <c r="CV36" s="105">
        <v>6</v>
      </c>
      <c r="CW36" s="105">
        <v>6</v>
      </c>
      <c r="CX36" s="105">
        <v>8</v>
      </c>
      <c r="CY36" s="97">
        <f t="shared" si="39"/>
        <v>30</v>
      </c>
      <c r="CZ36" s="106" t="str">
        <f>IFERROR(IF(CY36=0,"",ROUND((CY36/SUM(SETTINGS!$L$14:$L$17))*SETTINGS!$L$18,0)),"")</f>
        <v/>
      </c>
      <c r="DA36" s="105">
        <v>20</v>
      </c>
      <c r="DB36" s="106" t="str">
        <f>IFERROR(IF(ISBLANK(DA36),"",ROUND((DA36/SETTINGS!$L$19)*SETTINGS!$L$20,0)),"")</f>
        <v/>
      </c>
      <c r="DC36" s="106" t="str">
        <f t="shared" si="40"/>
        <v/>
      </c>
      <c r="DD36" s="103" t="str">
        <f t="shared" si="41"/>
        <v/>
      </c>
      <c r="DE36" s="107" t="str">
        <f t="shared" si="42"/>
        <v/>
      </c>
      <c r="DF36" s="103" t="str">
        <f t="shared" si="12"/>
        <v/>
      </c>
      <c r="DG36" s="103" t="str">
        <f>IFERROR(IF(AND(K36,W36,AI36,AU36,BG36,BS36,CE36,CQ36,DC36)="","",SUM(K36,W36,AI36,AU36,LARGE((BG36,BS36,CE36,CQ36,DC36),{1,2}))),"")</f>
        <v/>
      </c>
      <c r="DH36" s="103" t="str">
        <f>IFERROR(IF(AND(M36,Y36,AK36,AW36,,BI36,BU36,CG36,CS36,DE36)="","",SUM(M36,Y36,AK36,AW36,SMALL((BI36,BU36,CG36,CS36,DE36),{1,2}))),"")</f>
        <v/>
      </c>
      <c r="DI36" s="109" t="str">
        <f>IFERROR(pos&amp;IF(AND(MOD(ABS(18),100)&gt;10,MOD(ABS(pos),100)&lt;14),"th", CHOOSE(MOD(ABS(pos),10)+1,"th","st","nd","rd","th","th","th","th","th","th")),"")</f>
        <v/>
      </c>
      <c r="DJ36" s="62">
        <f>ROWS($B$12:$B36)</f>
        <v>25</v>
      </c>
      <c r="DK36" s="62" t="str">
        <f>IF($B36=REPORT_CARD!$M$12,$DJ36,"")</f>
        <v/>
      </c>
      <c r="DM36" s="65"/>
    </row>
    <row r="37" spans="1:117" ht="19.5" customHeight="1">
      <c r="A37" s="140" t="str">
        <f>IFERROR(IF(ISBLANK(#REF!),"",#REF!),"")</f>
        <v/>
      </c>
      <c r="B37" s="140" t="str">
        <f>IFERROR(IF(ISBLANK(#REF!),"",#REF!),"")</f>
        <v/>
      </c>
      <c r="C37" s="105">
        <v>15</v>
      </c>
      <c r="D37" s="105">
        <v>9</v>
      </c>
      <c r="E37" s="105">
        <v>14</v>
      </c>
      <c r="F37" s="105">
        <v>4</v>
      </c>
      <c r="G37" s="97">
        <f t="shared" si="43"/>
        <v>42</v>
      </c>
      <c r="H37" s="106" t="str">
        <f>IFERROR(IF(G37=0,"",ROUND((G37/SUM(SETTINGS!$L$14:$L$17))*SETTINGS!$L$18,0)),"")</f>
        <v/>
      </c>
      <c r="I37" s="105">
        <v>28</v>
      </c>
      <c r="J37" s="106" t="str">
        <f>IFERROR(IF(ISBLANK(I37),"",ROUND((I37/SETTINGS!$L$19)*SETTINGS!$L$20,0)),"")</f>
        <v/>
      </c>
      <c r="K37" s="106" t="str">
        <f t="shared" si="13"/>
        <v/>
      </c>
      <c r="L37" s="103" t="str">
        <f t="shared" si="0"/>
        <v/>
      </c>
      <c r="M37" s="107" t="str">
        <f t="shared" si="14"/>
        <v/>
      </c>
      <c r="N37" s="136"/>
      <c r="O37" s="105">
        <v>5</v>
      </c>
      <c r="P37" s="105">
        <v>12</v>
      </c>
      <c r="Q37" s="105">
        <v>7</v>
      </c>
      <c r="R37" s="105">
        <v>10</v>
      </c>
      <c r="S37" s="97">
        <f t="shared" si="1"/>
        <v>34</v>
      </c>
      <c r="T37" s="106" t="str">
        <f>IFERROR(IF(S37=0,"",ROUND((S37/SUM(SETTINGS!$L$14:$L$17))*SETTINGS!$L$18,0)),"")</f>
        <v/>
      </c>
      <c r="U37" s="105">
        <v>30</v>
      </c>
      <c r="V37" s="106" t="str">
        <f>IFERROR(IF(ISBLANK(U37),"",ROUND((U37/SETTINGS!$L$19)*SETTINGS!$L$20,0)),"")</f>
        <v/>
      </c>
      <c r="W37" s="106" t="str">
        <f t="shared" si="2"/>
        <v/>
      </c>
      <c r="X37" s="103" t="str">
        <f t="shared" si="3"/>
        <v/>
      </c>
      <c r="Y37" s="107" t="str">
        <f t="shared" si="4"/>
        <v/>
      </c>
      <c r="Z37" s="130"/>
      <c r="AA37" s="105">
        <v>6</v>
      </c>
      <c r="AB37" s="105">
        <v>12</v>
      </c>
      <c r="AC37" s="105">
        <v>12</v>
      </c>
      <c r="AD37" s="105">
        <v>13</v>
      </c>
      <c r="AE37" s="97">
        <f t="shared" si="15"/>
        <v>43</v>
      </c>
      <c r="AF37" s="106" t="str">
        <f>IFERROR(IF(AE37=0,"",ROUND((AE37/SUM(SETTINGS!$L$14:$L$17))*SETTINGS!$L$18,0)),"")</f>
        <v/>
      </c>
      <c r="AG37" s="105">
        <v>59</v>
      </c>
      <c r="AH37" s="106" t="str">
        <f>IFERROR(IF(ISBLANK(AG37),"",ROUND((AG37/SETTINGS!$L$19)*SETTINGS!$L$20,0)),"")</f>
        <v/>
      </c>
      <c r="AI37" s="106" t="str">
        <f t="shared" si="16"/>
        <v/>
      </c>
      <c r="AJ37" s="103" t="str">
        <f t="shared" si="17"/>
        <v/>
      </c>
      <c r="AK37" s="108" t="str">
        <f t="shared" si="18"/>
        <v/>
      </c>
      <c r="AL37" s="130"/>
      <c r="AM37" s="105">
        <v>7</v>
      </c>
      <c r="AN37" s="105">
        <v>10</v>
      </c>
      <c r="AO37" s="105">
        <v>13</v>
      </c>
      <c r="AP37" s="105">
        <v>15</v>
      </c>
      <c r="AQ37" s="97">
        <f t="shared" si="19"/>
        <v>45</v>
      </c>
      <c r="AR37" s="106" t="str">
        <f>IFERROR(IF(AQ37=0,"",ROUND((AQ37/SUM(SETTINGS!$L$14:$L$17))*SETTINGS!$L$18,0)),"")</f>
        <v/>
      </c>
      <c r="AS37" s="105">
        <v>35</v>
      </c>
      <c r="AT37" s="106" t="str">
        <f>IFERROR(IF(ISBLANK(AS37),"",ROUND((AS37/SETTINGS!$L$19)*SETTINGS!$L$20,0)),"")</f>
        <v/>
      </c>
      <c r="AU37" s="106" t="str">
        <f t="shared" si="20"/>
        <v/>
      </c>
      <c r="AV37" s="103" t="str">
        <f t="shared" si="21"/>
        <v/>
      </c>
      <c r="AW37" s="107" t="str">
        <f t="shared" si="22"/>
        <v/>
      </c>
      <c r="AX37" s="130"/>
      <c r="AY37" s="105">
        <v>12</v>
      </c>
      <c r="AZ37" s="105">
        <v>10</v>
      </c>
      <c r="BA37" s="105">
        <v>12</v>
      </c>
      <c r="BB37" s="105">
        <v>10</v>
      </c>
      <c r="BC37" s="97">
        <f t="shared" si="23"/>
        <v>44</v>
      </c>
      <c r="BD37" s="106" t="str">
        <f>IFERROR(IF(BC37=0,"",ROUND((BC37/SUM(SETTINGS!$L$14:$L$17))*SETTINGS!$L$18,0)),"")</f>
        <v/>
      </c>
      <c r="BE37" s="105">
        <v>44</v>
      </c>
      <c r="BF37" s="106" t="str">
        <f>IFERROR(IF(ISBLANK(BE37),"",ROUND((BE37/SETTINGS!$L$19)*SETTINGS!$L$20,0)),"")</f>
        <v/>
      </c>
      <c r="BG37" s="106" t="str">
        <f t="shared" si="24"/>
        <v/>
      </c>
      <c r="BH37" s="103" t="str">
        <f t="shared" si="25"/>
        <v/>
      </c>
      <c r="BI37" s="108" t="str">
        <f t="shared" si="26"/>
        <v/>
      </c>
      <c r="BJ37" s="130"/>
      <c r="BK37" s="105">
        <v>11</v>
      </c>
      <c r="BL37" s="105">
        <v>12</v>
      </c>
      <c r="BM37" s="105">
        <v>1</v>
      </c>
      <c r="BN37" s="105">
        <v>15</v>
      </c>
      <c r="BO37" s="97">
        <f t="shared" si="27"/>
        <v>39</v>
      </c>
      <c r="BP37" s="106" t="str">
        <f>IFERROR(IF(BO37=0,"",ROUND((BO37/SUM(SETTINGS!$L$14:$L$17))*SETTINGS!$L$18,0)),"")</f>
        <v/>
      </c>
      <c r="BQ37" s="105">
        <v>35</v>
      </c>
      <c r="BR37" s="106" t="str">
        <f>IFERROR(IF(ISBLANK(BQ37),"",ROUND((BQ37/SETTINGS!$L$19)*SETTINGS!$L$20,0)),"")</f>
        <v/>
      </c>
      <c r="BS37" s="106" t="str">
        <f t="shared" si="28"/>
        <v/>
      </c>
      <c r="BT37" s="103" t="str">
        <f t="shared" si="29"/>
        <v/>
      </c>
      <c r="BU37" s="107" t="str">
        <f t="shared" si="30"/>
        <v/>
      </c>
      <c r="BV37" s="130"/>
      <c r="BW37" s="105">
        <v>14</v>
      </c>
      <c r="BX37" s="105">
        <v>4</v>
      </c>
      <c r="BY37" s="105">
        <v>9</v>
      </c>
      <c r="BZ37" s="105">
        <v>13</v>
      </c>
      <c r="CA37" s="97">
        <f t="shared" si="31"/>
        <v>40</v>
      </c>
      <c r="CB37" s="106" t="str">
        <f>IFERROR(IF(CA37=0,"",ROUND((CA37/SUM(SETTINGS!$L$14:$L$17))*SETTINGS!$L$18,0)),"")</f>
        <v/>
      </c>
      <c r="CC37" s="105">
        <v>36</v>
      </c>
      <c r="CD37" s="106" t="str">
        <f>IFERROR(IF(ISBLANK(CC37),"",ROUND((CC37/SETTINGS!$L$19)*SETTINGS!$L$20,0)),"")</f>
        <v/>
      </c>
      <c r="CE37" s="106" t="str">
        <f t="shared" si="32"/>
        <v/>
      </c>
      <c r="CF37" s="103" t="str">
        <f t="shared" si="33"/>
        <v/>
      </c>
      <c r="CG37" s="107" t="str">
        <f t="shared" si="34"/>
        <v/>
      </c>
      <c r="CH37" s="130"/>
      <c r="CI37" s="105">
        <v>9</v>
      </c>
      <c r="CJ37" s="105">
        <v>13</v>
      </c>
      <c r="CK37" s="105">
        <v>10</v>
      </c>
      <c r="CL37" s="105">
        <v>12</v>
      </c>
      <c r="CM37" s="97">
        <f t="shared" si="35"/>
        <v>44</v>
      </c>
      <c r="CN37" s="106" t="str">
        <f>IFERROR(IF(CM37=0,"",ROUND((CM37/SUM(SETTINGS!$L$14:$L$17))*SETTINGS!$L$18,0)),"")</f>
        <v/>
      </c>
      <c r="CO37" s="105">
        <v>18</v>
      </c>
      <c r="CP37" s="106" t="str">
        <f>IFERROR(IF(ISBLANK(CO37),"",ROUND((CO37/SETTINGS!$L$19)*SETTINGS!$L$20,0)),"")</f>
        <v/>
      </c>
      <c r="CQ37" s="106" t="str">
        <f t="shared" si="36"/>
        <v/>
      </c>
      <c r="CR37" s="103" t="str">
        <f t="shared" si="37"/>
        <v/>
      </c>
      <c r="CS37" s="107" t="str">
        <f t="shared" si="38"/>
        <v/>
      </c>
      <c r="CT37" s="130"/>
      <c r="CU37" s="105">
        <v>10</v>
      </c>
      <c r="CV37" s="105">
        <v>12</v>
      </c>
      <c r="CW37" s="105">
        <v>10</v>
      </c>
      <c r="CX37" s="105">
        <v>10</v>
      </c>
      <c r="CY37" s="97">
        <f t="shared" si="39"/>
        <v>42</v>
      </c>
      <c r="CZ37" s="106" t="str">
        <f>IFERROR(IF(CY37=0,"",ROUND((CY37/SUM(SETTINGS!$L$14:$L$17))*SETTINGS!$L$18,0)),"")</f>
        <v/>
      </c>
      <c r="DA37" s="105">
        <v>14</v>
      </c>
      <c r="DB37" s="106" t="str">
        <f>IFERROR(IF(ISBLANK(DA37),"",ROUND((DA37/SETTINGS!$L$19)*SETTINGS!$L$20,0)),"")</f>
        <v/>
      </c>
      <c r="DC37" s="106" t="str">
        <f t="shared" si="40"/>
        <v/>
      </c>
      <c r="DD37" s="103" t="str">
        <f t="shared" si="41"/>
        <v/>
      </c>
      <c r="DE37" s="107" t="str">
        <f t="shared" si="42"/>
        <v/>
      </c>
      <c r="DF37" s="103" t="str">
        <f t="shared" si="12"/>
        <v/>
      </c>
      <c r="DG37" s="103" t="str">
        <f>IFERROR(IF(AND(K37,W37,AI37,AU37,BG37,BS37,CE37,CQ37,DC37)="","",SUM(K37,W37,AI37,AU37,LARGE((BG37,BS37,CE37,CQ37,DC37),{1,2}))),"")</f>
        <v/>
      </c>
      <c r="DH37" s="103" t="str">
        <f>IFERROR(IF(AND(M37,Y37,AK37,AW37,,BI37,BU37,CG37,CS37,DE37)="","",SUM(M37,Y37,AK37,AW37,SMALL((BI37,BU37,CG37,CS37,DE37),{1,2}))),"")</f>
        <v/>
      </c>
      <c r="DI37" s="109" t="str">
        <f>IFERROR(pos&amp;IF(AND(MOD(ABS(18),100)&gt;10,MOD(ABS(pos),100)&lt;14),"th", CHOOSE(MOD(ABS(pos),10)+1,"th","st","nd","rd","th","th","th","th","th","th")),"")</f>
        <v/>
      </c>
      <c r="DJ37" s="62">
        <f>ROWS($B$12:$B37)</f>
        <v>26</v>
      </c>
      <c r="DK37" s="62" t="str">
        <f>IF($B37=REPORT_CARD!$M$12,$DJ37,"")</f>
        <v/>
      </c>
      <c r="DM37" s="65"/>
    </row>
    <row r="38" spans="1:117" ht="19.5" customHeight="1">
      <c r="A38" s="140" t="str">
        <f>IFERROR(IF(ISBLANK(#REF!),"",#REF!),"")</f>
        <v/>
      </c>
      <c r="B38" s="140" t="str">
        <f>IFERROR(IF(ISBLANK(#REF!),"",#REF!),"")</f>
        <v/>
      </c>
      <c r="C38" s="105">
        <v>15</v>
      </c>
      <c r="D38" s="105">
        <v>14</v>
      </c>
      <c r="E38" s="105">
        <v>9</v>
      </c>
      <c r="F38" s="105">
        <v>15</v>
      </c>
      <c r="G38" s="97">
        <f t="shared" si="43"/>
        <v>53</v>
      </c>
      <c r="H38" s="106" t="str">
        <f>IFERROR(IF(G38=0,"",ROUND((G38/SUM(SETTINGS!$L$14:$L$17))*SETTINGS!$L$18,0)),"")</f>
        <v/>
      </c>
      <c r="I38" s="105">
        <v>56</v>
      </c>
      <c r="J38" s="106" t="str">
        <f>IFERROR(IF(ISBLANK(I38),"",ROUND((I38/SETTINGS!$L$19)*SETTINGS!$L$20,0)),"")</f>
        <v/>
      </c>
      <c r="K38" s="106" t="str">
        <f t="shared" si="13"/>
        <v/>
      </c>
      <c r="L38" s="103" t="str">
        <f t="shared" si="0"/>
        <v/>
      </c>
      <c r="M38" s="107" t="str">
        <f t="shared" si="14"/>
        <v/>
      </c>
      <c r="N38" s="136"/>
      <c r="O38" s="105">
        <v>11</v>
      </c>
      <c r="P38" s="105">
        <v>13</v>
      </c>
      <c r="Q38" s="105">
        <v>11</v>
      </c>
      <c r="R38" s="105">
        <v>10</v>
      </c>
      <c r="S38" s="97">
        <f t="shared" si="1"/>
        <v>45</v>
      </c>
      <c r="T38" s="106" t="str">
        <f>IFERROR(IF(S38=0,"",ROUND((S38/SUM(SETTINGS!$L$14:$L$17))*SETTINGS!$L$18,0)),"")</f>
        <v/>
      </c>
      <c r="U38" s="105">
        <v>55</v>
      </c>
      <c r="V38" s="106" t="str">
        <f>IFERROR(IF(ISBLANK(U38),"",ROUND((U38/SETTINGS!$L$19)*SETTINGS!$L$20,0)),"")</f>
        <v/>
      </c>
      <c r="W38" s="106" t="str">
        <f t="shared" si="2"/>
        <v/>
      </c>
      <c r="X38" s="103" t="str">
        <f t="shared" si="3"/>
        <v/>
      </c>
      <c r="Y38" s="107" t="str">
        <f t="shared" si="4"/>
        <v/>
      </c>
      <c r="Z38" s="130"/>
      <c r="AA38" s="105">
        <v>10</v>
      </c>
      <c r="AB38" s="105">
        <v>10</v>
      </c>
      <c r="AC38" s="105">
        <v>10</v>
      </c>
      <c r="AD38" s="105">
        <v>12</v>
      </c>
      <c r="AE38" s="97">
        <f t="shared" si="15"/>
        <v>42</v>
      </c>
      <c r="AF38" s="106" t="str">
        <f>IFERROR(IF(AE38=0,"",ROUND((AE38/SUM(SETTINGS!$L$14:$L$17))*SETTINGS!$L$18,0)),"")</f>
        <v/>
      </c>
      <c r="AG38" s="105">
        <v>61</v>
      </c>
      <c r="AH38" s="106" t="str">
        <f>IFERROR(IF(ISBLANK(AG38),"",ROUND((AG38/SETTINGS!$L$19)*SETTINGS!$L$20,0)),"")</f>
        <v/>
      </c>
      <c r="AI38" s="106" t="str">
        <f t="shared" si="16"/>
        <v/>
      </c>
      <c r="AJ38" s="103" t="str">
        <f t="shared" si="17"/>
        <v/>
      </c>
      <c r="AK38" s="108" t="str">
        <f t="shared" si="18"/>
        <v/>
      </c>
      <c r="AL38" s="130"/>
      <c r="AM38" s="105">
        <v>10</v>
      </c>
      <c r="AN38" s="105">
        <v>8</v>
      </c>
      <c r="AO38" s="105">
        <v>12</v>
      </c>
      <c r="AP38" s="105">
        <v>14</v>
      </c>
      <c r="AQ38" s="97">
        <f t="shared" si="19"/>
        <v>44</v>
      </c>
      <c r="AR38" s="106" t="str">
        <f>IFERROR(IF(AQ38=0,"",ROUND((AQ38/SUM(SETTINGS!$L$14:$L$17))*SETTINGS!$L$18,0)),"")</f>
        <v/>
      </c>
      <c r="AS38" s="105">
        <v>59</v>
      </c>
      <c r="AT38" s="106" t="str">
        <f>IFERROR(IF(ISBLANK(AS38),"",ROUND((AS38/SETTINGS!$L$19)*SETTINGS!$L$20,0)),"")</f>
        <v/>
      </c>
      <c r="AU38" s="106" t="str">
        <f t="shared" si="20"/>
        <v/>
      </c>
      <c r="AV38" s="103" t="str">
        <f t="shared" si="21"/>
        <v/>
      </c>
      <c r="AW38" s="107" t="str">
        <f t="shared" si="22"/>
        <v/>
      </c>
      <c r="AX38" s="130"/>
      <c r="AY38" s="105">
        <v>12</v>
      </c>
      <c r="AZ38" s="105">
        <v>8</v>
      </c>
      <c r="BA38" s="105">
        <v>11</v>
      </c>
      <c r="BB38" s="105">
        <v>11</v>
      </c>
      <c r="BC38" s="97">
        <f t="shared" si="23"/>
        <v>42</v>
      </c>
      <c r="BD38" s="106" t="str">
        <f>IFERROR(IF(BC38=0,"",ROUND((BC38/SUM(SETTINGS!$L$14:$L$17))*SETTINGS!$L$18,0)),"")</f>
        <v/>
      </c>
      <c r="BE38" s="105">
        <v>74</v>
      </c>
      <c r="BF38" s="106" t="str">
        <f>IFERROR(IF(ISBLANK(BE38),"",ROUND((BE38/SETTINGS!$L$19)*SETTINGS!$L$20,0)),"")</f>
        <v/>
      </c>
      <c r="BG38" s="106" t="str">
        <f t="shared" si="24"/>
        <v/>
      </c>
      <c r="BH38" s="103" t="str">
        <f t="shared" si="25"/>
        <v/>
      </c>
      <c r="BI38" s="108" t="str">
        <f t="shared" si="26"/>
        <v/>
      </c>
      <c r="BJ38" s="130"/>
      <c r="BK38" s="105">
        <v>15</v>
      </c>
      <c r="BL38" s="105">
        <v>15</v>
      </c>
      <c r="BM38" s="105">
        <v>6</v>
      </c>
      <c r="BN38" s="105">
        <v>15</v>
      </c>
      <c r="BO38" s="97">
        <f t="shared" si="27"/>
        <v>51</v>
      </c>
      <c r="BP38" s="106" t="str">
        <f>IFERROR(IF(BO38=0,"",ROUND((BO38/SUM(SETTINGS!$L$14:$L$17))*SETTINGS!$L$18,0)),"")</f>
        <v/>
      </c>
      <c r="BQ38" s="105">
        <v>55</v>
      </c>
      <c r="BR38" s="106" t="str">
        <f>IFERROR(IF(ISBLANK(BQ38),"",ROUND((BQ38/SETTINGS!$L$19)*SETTINGS!$L$20,0)),"")</f>
        <v/>
      </c>
      <c r="BS38" s="106" t="str">
        <f t="shared" si="28"/>
        <v/>
      </c>
      <c r="BT38" s="103" t="str">
        <f t="shared" si="29"/>
        <v/>
      </c>
      <c r="BU38" s="107" t="str">
        <f t="shared" si="30"/>
        <v/>
      </c>
      <c r="BV38" s="130"/>
      <c r="BW38" s="105">
        <v>14</v>
      </c>
      <c r="BX38" s="105">
        <v>13</v>
      </c>
      <c r="BY38" s="105">
        <v>14</v>
      </c>
      <c r="BZ38" s="105">
        <v>15</v>
      </c>
      <c r="CA38" s="97">
        <f t="shared" si="31"/>
        <v>56</v>
      </c>
      <c r="CB38" s="106" t="str">
        <f>IFERROR(IF(CA38=0,"",ROUND((CA38/SUM(SETTINGS!$L$14:$L$17))*SETTINGS!$L$18,0)),"")</f>
        <v/>
      </c>
      <c r="CC38" s="105">
        <v>69</v>
      </c>
      <c r="CD38" s="106" t="str">
        <f>IFERROR(IF(ISBLANK(CC38),"",ROUND((CC38/SETTINGS!$L$19)*SETTINGS!$L$20,0)),"")</f>
        <v/>
      </c>
      <c r="CE38" s="106" t="str">
        <f t="shared" si="32"/>
        <v/>
      </c>
      <c r="CF38" s="103" t="str">
        <f t="shared" si="33"/>
        <v/>
      </c>
      <c r="CG38" s="107" t="str">
        <f t="shared" si="34"/>
        <v/>
      </c>
      <c r="CH38" s="130"/>
      <c r="CI38" s="105">
        <v>15</v>
      </c>
      <c r="CJ38" s="105">
        <v>13</v>
      </c>
      <c r="CK38" s="105">
        <v>9</v>
      </c>
      <c r="CL38" s="105">
        <v>13</v>
      </c>
      <c r="CM38" s="97">
        <f t="shared" si="35"/>
        <v>50</v>
      </c>
      <c r="CN38" s="106" t="str">
        <f>IFERROR(IF(CM38=0,"",ROUND((CM38/SUM(SETTINGS!$L$14:$L$17))*SETTINGS!$L$18,0)),"")</f>
        <v/>
      </c>
      <c r="CO38" s="105">
        <v>43</v>
      </c>
      <c r="CP38" s="106" t="str">
        <f>IFERROR(IF(ISBLANK(CO38),"",ROUND((CO38/SETTINGS!$L$19)*SETTINGS!$L$20,0)),"")</f>
        <v/>
      </c>
      <c r="CQ38" s="106" t="str">
        <f t="shared" si="36"/>
        <v/>
      </c>
      <c r="CR38" s="103" t="str">
        <f t="shared" si="37"/>
        <v/>
      </c>
      <c r="CS38" s="107" t="str">
        <f t="shared" si="38"/>
        <v/>
      </c>
      <c r="CT38" s="130"/>
      <c r="CU38" s="105">
        <v>12</v>
      </c>
      <c r="CV38" s="105">
        <v>11</v>
      </c>
      <c r="CW38" s="105">
        <v>14</v>
      </c>
      <c r="CX38" s="105">
        <v>11</v>
      </c>
      <c r="CY38" s="97">
        <f t="shared" si="39"/>
        <v>48</v>
      </c>
      <c r="CZ38" s="106" t="str">
        <f>IFERROR(IF(CY38=0,"",ROUND((CY38/SUM(SETTINGS!$L$14:$L$17))*SETTINGS!$L$18,0)),"")</f>
        <v/>
      </c>
      <c r="DA38" s="105">
        <v>37</v>
      </c>
      <c r="DB38" s="106" t="str">
        <f>IFERROR(IF(ISBLANK(DA38),"",ROUND((DA38/SETTINGS!$L$19)*SETTINGS!$L$20,0)),"")</f>
        <v/>
      </c>
      <c r="DC38" s="106" t="str">
        <f t="shared" si="40"/>
        <v/>
      </c>
      <c r="DD38" s="103" t="str">
        <f t="shared" si="41"/>
        <v/>
      </c>
      <c r="DE38" s="107" t="str">
        <f t="shared" si="42"/>
        <v/>
      </c>
      <c r="DF38" s="103" t="str">
        <f t="shared" si="12"/>
        <v/>
      </c>
      <c r="DG38" s="103" t="str">
        <f>IFERROR(IF(AND(K38,W38,AI38,AU38,BG38,BS38,CE38,CQ38,DC38)="","",SUM(K38,W38,AI38,AU38,LARGE((BG38,BS38,CE38,CQ38,DC38),{1,2}))),"")</f>
        <v/>
      </c>
      <c r="DH38" s="103" t="str">
        <f>IFERROR(IF(AND(M38,Y38,AK38,AW38,,BI38,BU38,CG38,CS38,DE38)="","",SUM(M38,Y38,AK38,AW38,SMALL((BI38,BU38,CG38,CS38,DE38),{1,2}))),"")</f>
        <v/>
      </c>
      <c r="DI38" s="109" t="str">
        <f>IFERROR(pos&amp;IF(AND(MOD(ABS(18),100)&gt;10,MOD(ABS(pos),100)&lt;14),"th", CHOOSE(MOD(ABS(pos),10)+1,"th","st","nd","rd","th","th","th","th","th","th")),"")</f>
        <v/>
      </c>
      <c r="DJ38" s="62">
        <f>ROWS($B$12:$B38)</f>
        <v>27</v>
      </c>
      <c r="DK38" s="62" t="str">
        <f>IF($B38=REPORT_CARD!$M$12,$DJ38,"")</f>
        <v/>
      </c>
      <c r="DM38" s="65"/>
    </row>
    <row r="39" spans="1:117" ht="19.5" customHeight="1">
      <c r="A39" s="140" t="str">
        <f>IFERROR(IF(ISBLANK(#REF!),"",#REF!),"")</f>
        <v/>
      </c>
      <c r="B39" s="140" t="str">
        <f>IFERROR(IF(ISBLANK(#REF!),"",#REF!),"")</f>
        <v/>
      </c>
      <c r="C39" s="105">
        <v>9</v>
      </c>
      <c r="D39" s="105">
        <v>14</v>
      </c>
      <c r="E39" s="105">
        <v>9</v>
      </c>
      <c r="F39" s="105">
        <v>12</v>
      </c>
      <c r="G39" s="97">
        <f t="shared" si="43"/>
        <v>44</v>
      </c>
      <c r="H39" s="106" t="str">
        <f>IFERROR(IF(G39=0,"",ROUND((G39/SUM(SETTINGS!$L$14:$L$17))*SETTINGS!$L$18,0)),"")</f>
        <v/>
      </c>
      <c r="I39" s="105">
        <v>49</v>
      </c>
      <c r="J39" s="106" t="str">
        <f>IFERROR(IF(ISBLANK(I39),"",ROUND((I39/SETTINGS!$L$19)*SETTINGS!$L$20,0)),"")</f>
        <v/>
      </c>
      <c r="K39" s="106" t="str">
        <f t="shared" si="13"/>
        <v/>
      </c>
      <c r="L39" s="103" t="str">
        <f t="shared" si="0"/>
        <v/>
      </c>
      <c r="M39" s="107" t="str">
        <f t="shared" si="14"/>
        <v/>
      </c>
      <c r="N39" s="136"/>
      <c r="O39" s="105">
        <v>7</v>
      </c>
      <c r="P39" s="105">
        <v>14</v>
      </c>
      <c r="Q39" s="105">
        <v>5</v>
      </c>
      <c r="R39" s="105">
        <v>8</v>
      </c>
      <c r="S39" s="97">
        <f t="shared" si="1"/>
        <v>34</v>
      </c>
      <c r="T39" s="106" t="str">
        <f>IFERROR(IF(S39=0,"",ROUND((S39/SUM(SETTINGS!$L$14:$L$17))*SETTINGS!$L$18,0)),"")</f>
        <v/>
      </c>
      <c r="U39" s="105">
        <v>51</v>
      </c>
      <c r="V39" s="106" t="str">
        <f>IFERROR(IF(ISBLANK(U39),"",ROUND((U39/SETTINGS!$L$19)*SETTINGS!$L$20,0)),"")</f>
        <v/>
      </c>
      <c r="W39" s="106" t="str">
        <f t="shared" si="2"/>
        <v/>
      </c>
      <c r="X39" s="103" t="str">
        <f t="shared" si="3"/>
        <v/>
      </c>
      <c r="Y39" s="107" t="str">
        <f t="shared" si="4"/>
        <v/>
      </c>
      <c r="Z39" s="130"/>
      <c r="AA39" s="105">
        <v>6</v>
      </c>
      <c r="AB39" s="105">
        <v>10</v>
      </c>
      <c r="AC39" s="105">
        <v>10</v>
      </c>
      <c r="AD39" s="105">
        <v>10</v>
      </c>
      <c r="AE39" s="97">
        <f t="shared" si="15"/>
        <v>36</v>
      </c>
      <c r="AF39" s="106" t="str">
        <f>IFERROR(IF(AE39=0,"",ROUND((AE39/SUM(SETTINGS!$L$14:$L$17))*SETTINGS!$L$18,0)),"")</f>
        <v/>
      </c>
      <c r="AG39" s="105">
        <v>43</v>
      </c>
      <c r="AH39" s="106" t="str">
        <f>IFERROR(IF(ISBLANK(AG39),"",ROUND((AG39/SETTINGS!$L$19)*SETTINGS!$L$20,0)),"")</f>
        <v/>
      </c>
      <c r="AI39" s="106" t="str">
        <f t="shared" si="16"/>
        <v/>
      </c>
      <c r="AJ39" s="103" t="str">
        <f t="shared" si="17"/>
        <v/>
      </c>
      <c r="AK39" s="108" t="str">
        <f t="shared" si="18"/>
        <v/>
      </c>
      <c r="AL39" s="130"/>
      <c r="AM39" s="105">
        <v>5</v>
      </c>
      <c r="AN39" s="105">
        <v>8</v>
      </c>
      <c r="AO39" s="105">
        <v>10</v>
      </c>
      <c r="AP39" s="105">
        <v>15</v>
      </c>
      <c r="AQ39" s="97">
        <f t="shared" si="19"/>
        <v>38</v>
      </c>
      <c r="AR39" s="106" t="str">
        <f>IFERROR(IF(AQ39=0,"",ROUND((AQ39/SUM(SETTINGS!$L$14:$L$17))*SETTINGS!$L$18,0)),"")</f>
        <v/>
      </c>
      <c r="AS39" s="105">
        <v>33</v>
      </c>
      <c r="AT39" s="106" t="str">
        <f>IFERROR(IF(ISBLANK(AS39),"",ROUND((AS39/SETTINGS!$L$19)*SETTINGS!$L$20,0)),"")</f>
        <v/>
      </c>
      <c r="AU39" s="106" t="str">
        <f t="shared" si="20"/>
        <v/>
      </c>
      <c r="AV39" s="103" t="str">
        <f t="shared" si="21"/>
        <v/>
      </c>
      <c r="AW39" s="107" t="str">
        <f t="shared" si="22"/>
        <v/>
      </c>
      <c r="AX39" s="130"/>
      <c r="AY39" s="105">
        <v>12</v>
      </c>
      <c r="AZ39" s="105">
        <v>12</v>
      </c>
      <c r="BA39" s="105">
        <v>12</v>
      </c>
      <c r="BB39" s="105">
        <v>10</v>
      </c>
      <c r="BC39" s="97">
        <f t="shared" si="23"/>
        <v>46</v>
      </c>
      <c r="BD39" s="106" t="str">
        <f>IFERROR(IF(BC39=0,"",ROUND((BC39/SUM(SETTINGS!$L$14:$L$17))*SETTINGS!$L$18,0)),"")</f>
        <v/>
      </c>
      <c r="BE39" s="105">
        <v>74</v>
      </c>
      <c r="BF39" s="106" t="str">
        <f>IFERROR(IF(ISBLANK(BE39),"",ROUND((BE39/SETTINGS!$L$19)*SETTINGS!$L$20,0)),"")</f>
        <v/>
      </c>
      <c r="BG39" s="106" t="str">
        <f t="shared" si="24"/>
        <v/>
      </c>
      <c r="BH39" s="103" t="str">
        <f t="shared" si="25"/>
        <v/>
      </c>
      <c r="BI39" s="108" t="str">
        <f t="shared" si="26"/>
        <v/>
      </c>
      <c r="BJ39" s="130"/>
      <c r="BK39" s="105">
        <v>12</v>
      </c>
      <c r="BL39" s="105">
        <v>4</v>
      </c>
      <c r="BM39" s="105">
        <v>2</v>
      </c>
      <c r="BN39" s="105">
        <v>15</v>
      </c>
      <c r="BO39" s="97">
        <f t="shared" si="27"/>
        <v>33</v>
      </c>
      <c r="BP39" s="106" t="str">
        <f>IFERROR(IF(BO39=0,"",ROUND((BO39/SUM(SETTINGS!$L$14:$L$17))*SETTINGS!$L$18,0)),"")</f>
        <v/>
      </c>
      <c r="BQ39" s="105">
        <v>46</v>
      </c>
      <c r="BR39" s="106" t="str">
        <f>IFERROR(IF(ISBLANK(BQ39),"",ROUND((BQ39/SETTINGS!$L$19)*SETTINGS!$L$20,0)),"")</f>
        <v/>
      </c>
      <c r="BS39" s="106" t="str">
        <f t="shared" si="28"/>
        <v/>
      </c>
      <c r="BT39" s="103" t="str">
        <f t="shared" si="29"/>
        <v/>
      </c>
      <c r="BU39" s="107" t="str">
        <f t="shared" si="30"/>
        <v/>
      </c>
      <c r="BV39" s="130"/>
      <c r="BW39" s="105">
        <v>8</v>
      </c>
      <c r="BX39" s="105">
        <v>6</v>
      </c>
      <c r="BY39" s="105">
        <v>11</v>
      </c>
      <c r="BZ39" s="105">
        <v>10</v>
      </c>
      <c r="CA39" s="97">
        <f t="shared" si="31"/>
        <v>35</v>
      </c>
      <c r="CB39" s="106" t="str">
        <f>IFERROR(IF(CA39=0,"",ROUND((CA39/SUM(SETTINGS!$L$14:$L$17))*SETTINGS!$L$18,0)),"")</f>
        <v/>
      </c>
      <c r="CC39" s="105">
        <v>52</v>
      </c>
      <c r="CD39" s="106" t="str">
        <f>IFERROR(IF(ISBLANK(CC39),"",ROUND((CC39/SETTINGS!$L$19)*SETTINGS!$L$20,0)),"")</f>
        <v/>
      </c>
      <c r="CE39" s="106" t="str">
        <f t="shared" si="32"/>
        <v/>
      </c>
      <c r="CF39" s="103" t="str">
        <f t="shared" si="33"/>
        <v/>
      </c>
      <c r="CG39" s="107" t="str">
        <f t="shared" si="34"/>
        <v/>
      </c>
      <c r="CH39" s="130"/>
      <c r="CI39" s="105">
        <v>8</v>
      </c>
      <c r="CJ39" s="105">
        <v>13</v>
      </c>
      <c r="CK39" s="105">
        <v>10</v>
      </c>
      <c r="CL39" s="105">
        <v>12</v>
      </c>
      <c r="CM39" s="97">
        <f t="shared" si="35"/>
        <v>43</v>
      </c>
      <c r="CN39" s="106" t="str">
        <f>IFERROR(IF(CM39=0,"",ROUND((CM39/SUM(SETTINGS!$L$14:$L$17))*SETTINGS!$L$18,0)),"")</f>
        <v/>
      </c>
      <c r="CO39" s="105">
        <v>31</v>
      </c>
      <c r="CP39" s="106" t="str">
        <f>IFERROR(IF(ISBLANK(CO39),"",ROUND((CO39/SETTINGS!$L$19)*SETTINGS!$L$20,0)),"")</f>
        <v/>
      </c>
      <c r="CQ39" s="106" t="str">
        <f t="shared" si="36"/>
        <v/>
      </c>
      <c r="CR39" s="103" t="str">
        <f t="shared" si="37"/>
        <v/>
      </c>
      <c r="CS39" s="107" t="str">
        <f t="shared" si="38"/>
        <v/>
      </c>
      <c r="CT39" s="130"/>
      <c r="CU39" s="105">
        <v>10</v>
      </c>
      <c r="CV39" s="105">
        <v>9</v>
      </c>
      <c r="CW39" s="105">
        <v>7</v>
      </c>
      <c r="CX39" s="105">
        <v>8</v>
      </c>
      <c r="CY39" s="97">
        <f t="shared" si="39"/>
        <v>34</v>
      </c>
      <c r="CZ39" s="106" t="str">
        <f>IFERROR(IF(CY39=0,"",ROUND((CY39/SUM(SETTINGS!$L$14:$L$17))*SETTINGS!$L$18,0)),"")</f>
        <v/>
      </c>
      <c r="DA39" s="105">
        <v>22</v>
      </c>
      <c r="DB39" s="106" t="str">
        <f>IFERROR(IF(ISBLANK(DA39),"",ROUND((DA39/SETTINGS!$L$19)*SETTINGS!$L$20,0)),"")</f>
        <v/>
      </c>
      <c r="DC39" s="106" t="str">
        <f t="shared" si="40"/>
        <v/>
      </c>
      <c r="DD39" s="103" t="str">
        <f t="shared" si="41"/>
        <v/>
      </c>
      <c r="DE39" s="107" t="str">
        <f t="shared" si="42"/>
        <v/>
      </c>
      <c r="DF39" s="103" t="str">
        <f t="shared" si="12"/>
        <v/>
      </c>
      <c r="DG39" s="103" t="str">
        <f>IFERROR(IF(AND(K39,W39,AI39,AU39,BG39,BS39,CE39,CQ39,DC39)="","",SUM(K39,W39,AI39,AU39,LARGE((BG39,BS39,CE39,CQ39,DC39),{1,2}))),"")</f>
        <v/>
      </c>
      <c r="DH39" s="103" t="str">
        <f>IFERROR(IF(AND(M39,Y39,AK39,AW39,,BI39,BU39,CG39,CS39,DE39)="","",SUM(M39,Y39,AK39,AW39,SMALL((BI39,BU39,CG39,CS39,DE39),{1,2}))),"")</f>
        <v/>
      </c>
      <c r="DI39" s="109" t="str">
        <f>IFERROR(pos&amp;IF(AND(MOD(ABS(18),100)&gt;10,MOD(ABS(pos),100)&lt;14),"th", CHOOSE(MOD(ABS(pos),10)+1,"th","st","nd","rd","th","th","th","th","th","th")),"")</f>
        <v/>
      </c>
      <c r="DJ39" s="62">
        <f>ROWS($B$12:$B39)</f>
        <v>28</v>
      </c>
      <c r="DK39" s="62" t="str">
        <f>IF($B39=REPORT_CARD!$M$12,$DJ39,"")</f>
        <v/>
      </c>
      <c r="DM39" s="65"/>
    </row>
    <row r="40" spans="1:117" ht="19.5" customHeight="1">
      <c r="A40" s="140" t="str">
        <f>IFERROR(IF(ISBLANK(#REF!),"",#REF!),"")</f>
        <v/>
      </c>
      <c r="B40" s="140" t="str">
        <f>IFERROR(IF(ISBLANK(#REF!),"",#REF!),"")</f>
        <v/>
      </c>
      <c r="C40" s="105">
        <v>14</v>
      </c>
      <c r="D40" s="105">
        <v>3</v>
      </c>
      <c r="E40" s="105">
        <v>14</v>
      </c>
      <c r="F40" s="105">
        <v>15</v>
      </c>
      <c r="G40" s="97">
        <f t="shared" si="43"/>
        <v>46</v>
      </c>
      <c r="H40" s="106" t="str">
        <f>IFERROR(IF(G40=0,"",ROUND((G40/SUM(SETTINGS!$L$14:$L$17))*SETTINGS!$L$18,0)),"")</f>
        <v/>
      </c>
      <c r="I40" s="105">
        <v>33</v>
      </c>
      <c r="J40" s="106" t="str">
        <f>IFERROR(IF(ISBLANK(I40),"",ROUND((I40/SETTINGS!$L$19)*SETTINGS!$L$20,0)),"")</f>
        <v/>
      </c>
      <c r="K40" s="106" t="str">
        <f t="shared" si="13"/>
        <v/>
      </c>
      <c r="L40" s="103" t="str">
        <f t="shared" si="0"/>
        <v/>
      </c>
      <c r="M40" s="107" t="str">
        <f t="shared" si="14"/>
        <v/>
      </c>
      <c r="N40" s="136"/>
      <c r="O40" s="105">
        <v>10</v>
      </c>
      <c r="P40" s="105">
        <v>13</v>
      </c>
      <c r="Q40" s="105">
        <v>5</v>
      </c>
      <c r="R40" s="105">
        <v>14</v>
      </c>
      <c r="S40" s="97">
        <f t="shared" si="1"/>
        <v>42</v>
      </c>
      <c r="T40" s="106" t="str">
        <f>IFERROR(IF(S40=0,"",ROUND((S40/SUM(SETTINGS!$L$14:$L$17))*SETTINGS!$L$18,0)),"")</f>
        <v/>
      </c>
      <c r="U40" s="105">
        <v>24</v>
      </c>
      <c r="V40" s="106" t="str">
        <f>IFERROR(IF(ISBLANK(U40),"",ROUND((U40/SETTINGS!$L$19)*SETTINGS!$L$20,0)),"")</f>
        <v/>
      </c>
      <c r="W40" s="106" t="str">
        <f t="shared" si="2"/>
        <v/>
      </c>
      <c r="X40" s="103" t="str">
        <f t="shared" si="3"/>
        <v/>
      </c>
      <c r="Y40" s="107" t="str">
        <f t="shared" si="4"/>
        <v/>
      </c>
      <c r="Z40" s="130"/>
      <c r="AA40" s="105">
        <v>14</v>
      </c>
      <c r="AB40" s="105">
        <v>10</v>
      </c>
      <c r="AC40" s="105">
        <v>12</v>
      </c>
      <c r="AD40" s="105">
        <v>6</v>
      </c>
      <c r="AE40" s="97">
        <f t="shared" si="15"/>
        <v>42</v>
      </c>
      <c r="AF40" s="106" t="str">
        <f>IFERROR(IF(AE40=0,"",ROUND((AE40/SUM(SETTINGS!$L$14:$L$17))*SETTINGS!$L$18,0)),"")</f>
        <v/>
      </c>
      <c r="AG40" s="105">
        <v>41</v>
      </c>
      <c r="AH40" s="106" t="str">
        <f>IFERROR(IF(ISBLANK(AG40),"",ROUND((AG40/SETTINGS!$L$19)*SETTINGS!$L$20,0)),"")</f>
        <v/>
      </c>
      <c r="AI40" s="106" t="str">
        <f t="shared" si="16"/>
        <v/>
      </c>
      <c r="AJ40" s="103" t="str">
        <f t="shared" si="17"/>
        <v/>
      </c>
      <c r="AK40" s="108" t="str">
        <f t="shared" si="18"/>
        <v/>
      </c>
      <c r="AL40" s="130"/>
      <c r="AM40" s="105">
        <v>12</v>
      </c>
      <c r="AN40" s="105">
        <v>11</v>
      </c>
      <c r="AO40" s="105">
        <v>6</v>
      </c>
      <c r="AP40" s="105">
        <v>15</v>
      </c>
      <c r="AQ40" s="97">
        <f t="shared" si="19"/>
        <v>44</v>
      </c>
      <c r="AR40" s="106" t="str">
        <f>IFERROR(IF(AQ40=0,"",ROUND((AQ40/SUM(SETTINGS!$L$14:$L$17))*SETTINGS!$L$18,0)),"")</f>
        <v/>
      </c>
      <c r="AS40" s="105">
        <v>33</v>
      </c>
      <c r="AT40" s="106" t="str">
        <f>IFERROR(IF(ISBLANK(AS40),"",ROUND((AS40/SETTINGS!$L$19)*SETTINGS!$L$20,0)),"")</f>
        <v/>
      </c>
      <c r="AU40" s="106" t="str">
        <f t="shared" si="20"/>
        <v/>
      </c>
      <c r="AV40" s="103" t="str">
        <f t="shared" si="21"/>
        <v/>
      </c>
      <c r="AW40" s="107" t="str">
        <f t="shared" si="22"/>
        <v/>
      </c>
      <c r="AX40" s="130"/>
      <c r="AY40" s="105">
        <v>11</v>
      </c>
      <c r="AZ40" s="105">
        <v>12</v>
      </c>
      <c r="BA40" s="105">
        <v>15</v>
      </c>
      <c r="BB40" s="105">
        <v>10</v>
      </c>
      <c r="BC40" s="97">
        <f t="shared" si="23"/>
        <v>48</v>
      </c>
      <c r="BD40" s="106" t="str">
        <f>IFERROR(IF(BC40=0,"",ROUND((BC40/SUM(SETTINGS!$L$14:$L$17))*SETTINGS!$L$18,0)),"")</f>
        <v/>
      </c>
      <c r="BE40" s="105">
        <v>41</v>
      </c>
      <c r="BF40" s="106" t="str">
        <f>IFERROR(IF(ISBLANK(BE40),"",ROUND((BE40/SETTINGS!$L$19)*SETTINGS!$L$20,0)),"")</f>
        <v/>
      </c>
      <c r="BG40" s="106" t="str">
        <f t="shared" si="24"/>
        <v/>
      </c>
      <c r="BH40" s="103" t="str">
        <f t="shared" si="25"/>
        <v/>
      </c>
      <c r="BI40" s="108" t="str">
        <f t="shared" si="26"/>
        <v/>
      </c>
      <c r="BJ40" s="130"/>
      <c r="BK40" s="105">
        <v>11</v>
      </c>
      <c r="BL40" s="105">
        <v>8</v>
      </c>
      <c r="BM40" s="105">
        <v>1</v>
      </c>
      <c r="BN40" s="105">
        <v>15</v>
      </c>
      <c r="BO40" s="97">
        <f t="shared" si="27"/>
        <v>35</v>
      </c>
      <c r="BP40" s="106" t="str">
        <f>IFERROR(IF(BO40=0,"",ROUND((BO40/SUM(SETTINGS!$L$14:$L$17))*SETTINGS!$L$18,0)),"")</f>
        <v/>
      </c>
      <c r="BQ40" s="105">
        <v>23</v>
      </c>
      <c r="BR40" s="106" t="str">
        <f>IFERROR(IF(ISBLANK(BQ40),"",ROUND((BQ40/SETTINGS!$L$19)*SETTINGS!$L$20,0)),"")</f>
        <v/>
      </c>
      <c r="BS40" s="106" t="str">
        <f t="shared" si="28"/>
        <v/>
      </c>
      <c r="BT40" s="103" t="str">
        <f t="shared" si="29"/>
        <v/>
      </c>
      <c r="BU40" s="107" t="str">
        <f t="shared" si="30"/>
        <v/>
      </c>
      <c r="BV40" s="130"/>
      <c r="BW40" s="105">
        <v>8</v>
      </c>
      <c r="BX40" s="105">
        <v>11</v>
      </c>
      <c r="BY40" s="105">
        <v>14</v>
      </c>
      <c r="BZ40" s="105">
        <v>15</v>
      </c>
      <c r="CA40" s="97">
        <f t="shared" si="31"/>
        <v>48</v>
      </c>
      <c r="CB40" s="106" t="str">
        <f>IFERROR(IF(CA40=0,"",ROUND((CA40/SUM(SETTINGS!$L$14:$L$17))*SETTINGS!$L$18,0)),"")</f>
        <v/>
      </c>
      <c r="CC40" s="105">
        <v>25</v>
      </c>
      <c r="CD40" s="106" t="str">
        <f>IFERROR(IF(ISBLANK(CC40),"",ROUND((CC40/SETTINGS!$L$19)*SETTINGS!$L$20,0)),"")</f>
        <v/>
      </c>
      <c r="CE40" s="106" t="str">
        <f t="shared" si="32"/>
        <v/>
      </c>
      <c r="CF40" s="103" t="str">
        <f t="shared" si="33"/>
        <v/>
      </c>
      <c r="CG40" s="107" t="str">
        <f t="shared" si="34"/>
        <v/>
      </c>
      <c r="CH40" s="130"/>
      <c r="CI40" s="105">
        <v>8</v>
      </c>
      <c r="CJ40" s="105">
        <v>15</v>
      </c>
      <c r="CK40" s="105">
        <v>11</v>
      </c>
      <c r="CL40" s="105">
        <v>15</v>
      </c>
      <c r="CM40" s="97">
        <f t="shared" si="35"/>
        <v>49</v>
      </c>
      <c r="CN40" s="106" t="str">
        <f>IFERROR(IF(CM40=0,"",ROUND((CM40/SUM(SETTINGS!$L$14:$L$17))*SETTINGS!$L$18,0)),"")</f>
        <v/>
      </c>
      <c r="CO40" s="105">
        <v>24</v>
      </c>
      <c r="CP40" s="106" t="str">
        <f>IFERROR(IF(ISBLANK(CO40),"",ROUND((CO40/SETTINGS!$L$19)*SETTINGS!$L$20,0)),"")</f>
        <v/>
      </c>
      <c r="CQ40" s="106" t="str">
        <f t="shared" si="36"/>
        <v/>
      </c>
      <c r="CR40" s="103" t="str">
        <f t="shared" si="37"/>
        <v/>
      </c>
      <c r="CS40" s="107" t="str">
        <f t="shared" si="38"/>
        <v/>
      </c>
      <c r="CT40" s="130"/>
      <c r="CU40" s="105">
        <v>12</v>
      </c>
      <c r="CV40" s="105">
        <v>6</v>
      </c>
      <c r="CW40" s="105">
        <v>14</v>
      </c>
      <c r="CX40" s="105">
        <v>10</v>
      </c>
      <c r="CY40" s="97">
        <f t="shared" si="39"/>
        <v>42</v>
      </c>
      <c r="CZ40" s="106" t="str">
        <f>IFERROR(IF(CY40=0,"",ROUND((CY40/SUM(SETTINGS!$L$14:$L$17))*SETTINGS!$L$18,0)),"")</f>
        <v/>
      </c>
      <c r="DA40" s="105">
        <v>33</v>
      </c>
      <c r="DB40" s="106" t="str">
        <f>IFERROR(IF(ISBLANK(DA40),"",ROUND((DA40/SETTINGS!$L$19)*SETTINGS!$L$20,0)),"")</f>
        <v/>
      </c>
      <c r="DC40" s="106" t="str">
        <f t="shared" si="40"/>
        <v/>
      </c>
      <c r="DD40" s="103" t="str">
        <f t="shared" si="41"/>
        <v/>
      </c>
      <c r="DE40" s="107" t="str">
        <f t="shared" si="42"/>
        <v/>
      </c>
      <c r="DF40" s="103" t="str">
        <f t="shared" si="12"/>
        <v/>
      </c>
      <c r="DG40" s="103" t="str">
        <f>IFERROR(IF(AND(K40,W40,AI40,AU40,BG40,BS40,CE40,CQ40,DC40)="","",SUM(K40,W40,AI40,AU40,LARGE((BG40,BS40,CE40,CQ40,DC40),{1,2}))),"")</f>
        <v/>
      </c>
      <c r="DH40" s="103" t="str">
        <f>IFERROR(IF(AND(M40,Y40,AK40,AW40,,BI40,BU40,CG40,CS40,DE40)="","",SUM(M40,Y40,AK40,AW40,SMALL((BI40,BU40,CG40,CS40,DE40),{1,2}))),"")</f>
        <v/>
      </c>
      <c r="DI40" s="109" t="str">
        <f>IFERROR(pos&amp;IF(AND(MOD(ABS(18),100)&gt;10,MOD(ABS(pos),100)&lt;14),"th", CHOOSE(MOD(ABS(pos),10)+1,"th","st","nd","rd","th","th","th","th","th","th")),"")</f>
        <v/>
      </c>
      <c r="DJ40" s="62">
        <f>ROWS($B$12:$B40)</f>
        <v>29</v>
      </c>
      <c r="DK40" s="62" t="str">
        <f>IF($B40=REPORT_CARD!$M$12,$DJ40,"")</f>
        <v/>
      </c>
      <c r="DM40" s="65"/>
    </row>
    <row r="41" spans="1:117" ht="19.5" customHeight="1">
      <c r="A41" s="140" t="str">
        <f>IFERROR(IF(ISBLANK(#REF!),"",#REF!),"")</f>
        <v/>
      </c>
      <c r="B41" s="140" t="str">
        <f>IFERROR(IF(ISBLANK(#REF!),"",#REF!),"")</f>
        <v/>
      </c>
      <c r="C41" s="105">
        <v>9</v>
      </c>
      <c r="D41" s="105">
        <v>9</v>
      </c>
      <c r="E41" s="105">
        <v>9</v>
      </c>
      <c r="F41" s="105">
        <v>15</v>
      </c>
      <c r="G41" s="97">
        <f t="shared" si="43"/>
        <v>42</v>
      </c>
      <c r="H41" s="106" t="str">
        <f>IFERROR(IF(G41=0,"",ROUND((G41/SUM(SETTINGS!$L$14:$L$17))*SETTINGS!$L$18,0)),"")</f>
        <v/>
      </c>
      <c r="I41" s="105">
        <v>19</v>
      </c>
      <c r="J41" s="106" t="str">
        <f>IFERROR(IF(ISBLANK(I41),"",ROUND((I41/SETTINGS!$L$19)*SETTINGS!$L$20,0)),"")</f>
        <v/>
      </c>
      <c r="K41" s="106" t="str">
        <f t="shared" si="13"/>
        <v/>
      </c>
      <c r="L41" s="103" t="str">
        <f t="shared" si="0"/>
        <v/>
      </c>
      <c r="M41" s="107" t="str">
        <f t="shared" si="14"/>
        <v/>
      </c>
      <c r="N41" s="136"/>
      <c r="O41" s="105">
        <v>13</v>
      </c>
      <c r="P41" s="105">
        <v>14</v>
      </c>
      <c r="Q41" s="105">
        <v>5</v>
      </c>
      <c r="R41" s="105">
        <v>13</v>
      </c>
      <c r="S41" s="97">
        <f t="shared" si="1"/>
        <v>45</v>
      </c>
      <c r="T41" s="106" t="str">
        <f>IFERROR(IF(S41=0,"",ROUND((S41/SUM(SETTINGS!$L$14:$L$17))*SETTINGS!$L$18,0)),"")</f>
        <v/>
      </c>
      <c r="U41" s="105">
        <v>25</v>
      </c>
      <c r="V41" s="106" t="str">
        <f>IFERROR(IF(ISBLANK(U41),"",ROUND((U41/SETTINGS!$L$19)*SETTINGS!$L$20,0)),"")</f>
        <v/>
      </c>
      <c r="W41" s="106" t="str">
        <f t="shared" si="2"/>
        <v/>
      </c>
      <c r="X41" s="103" t="str">
        <f t="shared" si="3"/>
        <v/>
      </c>
      <c r="Y41" s="107" t="str">
        <f t="shared" si="4"/>
        <v/>
      </c>
      <c r="Z41" s="130"/>
      <c r="AA41" s="105">
        <v>5</v>
      </c>
      <c r="AB41" s="105">
        <v>10</v>
      </c>
      <c r="AC41" s="105">
        <v>12</v>
      </c>
      <c r="AD41" s="105">
        <v>9</v>
      </c>
      <c r="AE41" s="97">
        <f t="shared" si="15"/>
        <v>36</v>
      </c>
      <c r="AF41" s="106" t="str">
        <f>IFERROR(IF(AE41=0,"",ROUND((AE41/SUM(SETTINGS!$L$14:$L$17))*SETTINGS!$L$18,0)),"")</f>
        <v/>
      </c>
      <c r="AG41" s="105">
        <v>34</v>
      </c>
      <c r="AH41" s="106" t="str">
        <f>IFERROR(IF(ISBLANK(AG41),"",ROUND((AG41/SETTINGS!$L$19)*SETTINGS!$L$20,0)),"")</f>
        <v/>
      </c>
      <c r="AI41" s="106" t="str">
        <f t="shared" si="16"/>
        <v/>
      </c>
      <c r="AJ41" s="103" t="str">
        <f t="shared" si="17"/>
        <v/>
      </c>
      <c r="AK41" s="108" t="str">
        <f t="shared" si="18"/>
        <v/>
      </c>
      <c r="AL41" s="130"/>
      <c r="AM41" s="105">
        <v>15</v>
      </c>
      <c r="AN41" s="105">
        <v>7</v>
      </c>
      <c r="AO41" s="105">
        <v>10</v>
      </c>
      <c r="AP41" s="105">
        <v>14</v>
      </c>
      <c r="AQ41" s="97">
        <f t="shared" si="19"/>
        <v>46</v>
      </c>
      <c r="AR41" s="106" t="str">
        <f>IFERROR(IF(AQ41=0,"",ROUND((AQ41/SUM(SETTINGS!$L$14:$L$17))*SETTINGS!$L$18,0)),"")</f>
        <v/>
      </c>
      <c r="AS41" s="105">
        <v>22</v>
      </c>
      <c r="AT41" s="106" t="str">
        <f>IFERROR(IF(ISBLANK(AS41),"",ROUND((AS41/SETTINGS!$L$19)*SETTINGS!$L$20,0)),"")</f>
        <v/>
      </c>
      <c r="AU41" s="106" t="str">
        <f t="shared" si="20"/>
        <v/>
      </c>
      <c r="AV41" s="103" t="str">
        <f t="shared" si="21"/>
        <v/>
      </c>
      <c r="AW41" s="107" t="str">
        <f t="shared" si="22"/>
        <v/>
      </c>
      <c r="AX41" s="130"/>
      <c r="AY41" s="105">
        <v>12</v>
      </c>
      <c r="AZ41" s="105">
        <v>10</v>
      </c>
      <c r="BA41" s="105">
        <v>13</v>
      </c>
      <c r="BB41" s="105">
        <v>11</v>
      </c>
      <c r="BC41" s="97">
        <f t="shared" si="23"/>
        <v>46</v>
      </c>
      <c r="BD41" s="106" t="str">
        <f>IFERROR(IF(BC41=0,"",ROUND((BC41/SUM(SETTINGS!$L$14:$L$17))*SETTINGS!$L$18,0)),"")</f>
        <v/>
      </c>
      <c r="BE41" s="105">
        <v>49</v>
      </c>
      <c r="BF41" s="106" t="str">
        <f>IFERROR(IF(ISBLANK(BE41),"",ROUND((BE41/SETTINGS!$L$19)*SETTINGS!$L$20,0)),"")</f>
        <v/>
      </c>
      <c r="BG41" s="106" t="str">
        <f t="shared" si="24"/>
        <v/>
      </c>
      <c r="BH41" s="103" t="str">
        <f t="shared" si="25"/>
        <v/>
      </c>
      <c r="BI41" s="108" t="str">
        <f t="shared" si="26"/>
        <v/>
      </c>
      <c r="BJ41" s="130"/>
      <c r="BK41" s="105">
        <v>15</v>
      </c>
      <c r="BL41" s="105">
        <v>5</v>
      </c>
      <c r="BM41" s="105">
        <v>2</v>
      </c>
      <c r="BN41" s="105">
        <v>13</v>
      </c>
      <c r="BO41" s="97">
        <f t="shared" si="27"/>
        <v>35</v>
      </c>
      <c r="BP41" s="106" t="str">
        <f>IFERROR(IF(BO41=0,"",ROUND((BO41/SUM(SETTINGS!$L$14:$L$17))*SETTINGS!$L$18,0)),"")</f>
        <v/>
      </c>
      <c r="BQ41" s="105">
        <v>30</v>
      </c>
      <c r="BR41" s="106" t="str">
        <f>IFERROR(IF(ISBLANK(BQ41),"",ROUND((BQ41/SETTINGS!$L$19)*SETTINGS!$L$20,0)),"")</f>
        <v/>
      </c>
      <c r="BS41" s="106" t="str">
        <f t="shared" si="28"/>
        <v/>
      </c>
      <c r="BT41" s="103" t="str">
        <f t="shared" si="29"/>
        <v/>
      </c>
      <c r="BU41" s="107" t="str">
        <f t="shared" si="30"/>
        <v/>
      </c>
      <c r="BV41" s="130"/>
      <c r="BW41" s="105">
        <v>14</v>
      </c>
      <c r="BX41" s="105">
        <v>3</v>
      </c>
      <c r="BY41" s="105">
        <v>12</v>
      </c>
      <c r="BZ41" s="105">
        <v>15</v>
      </c>
      <c r="CA41" s="97">
        <f t="shared" si="31"/>
        <v>44</v>
      </c>
      <c r="CB41" s="106" t="str">
        <f>IFERROR(IF(CA41=0,"",ROUND((CA41/SUM(SETTINGS!$L$14:$L$17))*SETTINGS!$L$18,0)),"")</f>
        <v/>
      </c>
      <c r="CC41" s="105">
        <v>27</v>
      </c>
      <c r="CD41" s="106" t="str">
        <f>IFERROR(IF(ISBLANK(CC41),"",ROUND((CC41/SETTINGS!$L$19)*SETTINGS!$L$20,0)),"")</f>
        <v/>
      </c>
      <c r="CE41" s="106" t="str">
        <f t="shared" si="32"/>
        <v/>
      </c>
      <c r="CF41" s="103" t="str">
        <f t="shared" si="33"/>
        <v/>
      </c>
      <c r="CG41" s="107" t="str">
        <f t="shared" si="34"/>
        <v/>
      </c>
      <c r="CH41" s="130"/>
      <c r="CI41" s="105">
        <v>10</v>
      </c>
      <c r="CJ41" s="105">
        <v>13</v>
      </c>
      <c r="CK41" s="105">
        <v>11</v>
      </c>
      <c r="CL41" s="105">
        <v>13</v>
      </c>
      <c r="CM41" s="97">
        <f t="shared" si="35"/>
        <v>47</v>
      </c>
      <c r="CN41" s="106" t="str">
        <f>IFERROR(IF(CM41=0,"",ROUND((CM41/SUM(SETTINGS!$L$14:$L$17))*SETTINGS!$L$18,0)),"")</f>
        <v/>
      </c>
      <c r="CO41" s="105">
        <v>24</v>
      </c>
      <c r="CP41" s="106" t="str">
        <f>IFERROR(IF(ISBLANK(CO41),"",ROUND((CO41/SETTINGS!$L$19)*SETTINGS!$L$20,0)),"")</f>
        <v/>
      </c>
      <c r="CQ41" s="106" t="str">
        <f t="shared" si="36"/>
        <v/>
      </c>
      <c r="CR41" s="103" t="str">
        <f t="shared" si="37"/>
        <v/>
      </c>
      <c r="CS41" s="107" t="str">
        <f t="shared" si="38"/>
        <v/>
      </c>
      <c r="CT41" s="130"/>
      <c r="CU41" s="105">
        <v>10</v>
      </c>
      <c r="CV41" s="105">
        <v>6</v>
      </c>
      <c r="CW41" s="105">
        <v>12</v>
      </c>
      <c r="CX41" s="105">
        <v>8</v>
      </c>
      <c r="CY41" s="97">
        <f t="shared" si="39"/>
        <v>36</v>
      </c>
      <c r="CZ41" s="106" t="str">
        <f>IFERROR(IF(CY41=0,"",ROUND((CY41/SUM(SETTINGS!$L$14:$L$17))*SETTINGS!$L$18,0)),"")</f>
        <v/>
      </c>
      <c r="DA41" s="105">
        <v>38</v>
      </c>
      <c r="DB41" s="106" t="str">
        <f>IFERROR(IF(ISBLANK(DA41),"",ROUND((DA41/SETTINGS!$L$19)*SETTINGS!$L$20,0)),"")</f>
        <v/>
      </c>
      <c r="DC41" s="106" t="str">
        <f t="shared" si="40"/>
        <v/>
      </c>
      <c r="DD41" s="103" t="str">
        <f t="shared" si="41"/>
        <v/>
      </c>
      <c r="DE41" s="107" t="str">
        <f t="shared" si="42"/>
        <v/>
      </c>
      <c r="DF41" s="103" t="str">
        <f t="shared" si="12"/>
        <v/>
      </c>
      <c r="DG41" s="103" t="str">
        <f>IFERROR(IF(AND(K41,W41,AI41,AU41,BG41,BS41,CE41,CQ41,DC41)="","",SUM(K41,W41,AI41,AU41,LARGE((BG41,BS41,CE41,CQ41,DC41),{1,2}))),"")</f>
        <v/>
      </c>
      <c r="DH41" s="103" t="str">
        <f>IFERROR(IF(AND(M41,Y41,AK41,AW41,,BI41,BU41,CG41,CS41,DE41)="","",SUM(M41,Y41,AK41,AW41,SMALL((BI41,BU41,CG41,CS41,DE41),{1,2}))),"")</f>
        <v/>
      </c>
      <c r="DI41" s="109" t="str">
        <f>IFERROR(pos&amp;IF(AND(MOD(ABS(18),100)&gt;10,MOD(ABS(pos),100)&lt;14),"th", CHOOSE(MOD(ABS(pos),10)+1,"th","st","nd","rd","th","th","th","th","th","th")),"")</f>
        <v/>
      </c>
      <c r="DJ41" s="62">
        <f>ROWS($B$12:$B41)</f>
        <v>30</v>
      </c>
      <c r="DK41" s="62" t="str">
        <f>IF($B41=REPORT_CARD!$M$12,$DJ41,"")</f>
        <v/>
      </c>
      <c r="DM41" s="65"/>
    </row>
    <row r="42" spans="1:117" ht="19.5" customHeight="1">
      <c r="A42" s="140" t="str">
        <f>IFERROR(IF(ISBLANK(#REF!),"",#REF!),"")</f>
        <v/>
      </c>
      <c r="B42" s="140" t="str">
        <f>IFERROR(IF(ISBLANK(#REF!),"",#REF!),"")</f>
        <v/>
      </c>
      <c r="C42" s="105">
        <v>15</v>
      </c>
      <c r="D42" s="105">
        <v>15</v>
      </c>
      <c r="E42" s="105">
        <v>14</v>
      </c>
      <c r="F42" s="105">
        <v>12</v>
      </c>
      <c r="G42" s="97">
        <f t="shared" si="43"/>
        <v>56</v>
      </c>
      <c r="H42" s="106" t="str">
        <f>IFERROR(IF(G42=0,"",ROUND((G42/SUM(SETTINGS!$L$14:$L$17))*SETTINGS!$L$18,0)),"")</f>
        <v/>
      </c>
      <c r="I42" s="105">
        <v>49</v>
      </c>
      <c r="J42" s="106" t="str">
        <f>IFERROR(IF(ISBLANK(I42),"",ROUND((I42/SETTINGS!$L$19)*SETTINGS!$L$20,0)),"")</f>
        <v/>
      </c>
      <c r="K42" s="106" t="str">
        <f t="shared" si="13"/>
        <v/>
      </c>
      <c r="L42" s="103" t="str">
        <f t="shared" si="0"/>
        <v/>
      </c>
      <c r="M42" s="107" t="str">
        <f t="shared" si="14"/>
        <v/>
      </c>
      <c r="N42" s="136"/>
      <c r="O42" s="105">
        <v>5</v>
      </c>
      <c r="P42" s="105">
        <v>10</v>
      </c>
      <c r="Q42" s="105">
        <v>15</v>
      </c>
      <c r="R42" s="105">
        <v>11</v>
      </c>
      <c r="S42" s="97">
        <f t="shared" si="1"/>
        <v>41</v>
      </c>
      <c r="T42" s="106" t="str">
        <f>IFERROR(IF(S42=0,"",ROUND((S42/SUM(SETTINGS!$L$14:$L$17))*SETTINGS!$L$18,0)),"")</f>
        <v/>
      </c>
      <c r="U42" s="105">
        <v>47</v>
      </c>
      <c r="V42" s="106" t="str">
        <f>IFERROR(IF(ISBLANK(U42),"",ROUND((U42/SETTINGS!$L$19)*SETTINGS!$L$20,0)),"")</f>
        <v/>
      </c>
      <c r="W42" s="106" t="str">
        <f t="shared" si="2"/>
        <v/>
      </c>
      <c r="X42" s="103" t="str">
        <f t="shared" si="3"/>
        <v/>
      </c>
      <c r="Y42" s="107" t="str">
        <f t="shared" si="4"/>
        <v/>
      </c>
      <c r="Z42" s="130"/>
      <c r="AA42" s="105">
        <v>6</v>
      </c>
      <c r="AB42" s="105">
        <v>10</v>
      </c>
      <c r="AC42" s="105">
        <v>12</v>
      </c>
      <c r="AD42" s="105">
        <v>12</v>
      </c>
      <c r="AE42" s="97">
        <f t="shared" si="15"/>
        <v>40</v>
      </c>
      <c r="AF42" s="106" t="str">
        <f>IFERROR(IF(AE42=0,"",ROUND((AE42/SUM(SETTINGS!$L$14:$L$17))*SETTINGS!$L$18,0)),"")</f>
        <v/>
      </c>
      <c r="AG42" s="105">
        <v>44</v>
      </c>
      <c r="AH42" s="106" t="str">
        <f>IFERROR(IF(ISBLANK(AG42),"",ROUND((AG42/SETTINGS!$L$19)*SETTINGS!$L$20,0)),"")</f>
        <v/>
      </c>
      <c r="AI42" s="106" t="str">
        <f t="shared" si="16"/>
        <v/>
      </c>
      <c r="AJ42" s="103" t="str">
        <f t="shared" si="17"/>
        <v/>
      </c>
      <c r="AK42" s="108" t="str">
        <f t="shared" si="18"/>
        <v/>
      </c>
      <c r="AL42" s="130"/>
      <c r="AM42" s="105">
        <v>15</v>
      </c>
      <c r="AN42" s="105">
        <v>9</v>
      </c>
      <c r="AO42" s="105">
        <v>6</v>
      </c>
      <c r="AP42" s="105">
        <v>14</v>
      </c>
      <c r="AQ42" s="97">
        <f t="shared" si="19"/>
        <v>44</v>
      </c>
      <c r="AR42" s="106" t="str">
        <f>IFERROR(IF(AQ42=0,"",ROUND((AQ42/SUM(SETTINGS!$L$14:$L$17))*SETTINGS!$L$18,0)),"")</f>
        <v/>
      </c>
      <c r="AS42" s="105">
        <v>26</v>
      </c>
      <c r="AT42" s="106" t="str">
        <f>IFERROR(IF(ISBLANK(AS42),"",ROUND((AS42/SETTINGS!$L$19)*SETTINGS!$L$20,0)),"")</f>
        <v/>
      </c>
      <c r="AU42" s="106" t="str">
        <f t="shared" si="20"/>
        <v/>
      </c>
      <c r="AV42" s="103" t="str">
        <f t="shared" si="21"/>
        <v/>
      </c>
      <c r="AW42" s="107" t="str">
        <f t="shared" si="22"/>
        <v/>
      </c>
      <c r="AX42" s="130"/>
      <c r="AY42" s="105">
        <v>10</v>
      </c>
      <c r="AZ42" s="105">
        <v>10</v>
      </c>
      <c r="BA42" s="105">
        <v>6</v>
      </c>
      <c r="BB42" s="105">
        <v>15</v>
      </c>
      <c r="BC42" s="97">
        <f t="shared" si="23"/>
        <v>41</v>
      </c>
      <c r="BD42" s="106" t="str">
        <f>IFERROR(IF(BC42=0,"",ROUND((BC42/SUM(SETTINGS!$L$14:$L$17))*SETTINGS!$L$18,0)),"")</f>
        <v/>
      </c>
      <c r="BE42" s="105">
        <v>49</v>
      </c>
      <c r="BF42" s="106" t="str">
        <f>IFERROR(IF(ISBLANK(BE42),"",ROUND((BE42/SETTINGS!$L$19)*SETTINGS!$L$20,0)),"")</f>
        <v/>
      </c>
      <c r="BG42" s="106" t="str">
        <f t="shared" si="24"/>
        <v/>
      </c>
      <c r="BH42" s="103" t="str">
        <f t="shared" si="25"/>
        <v/>
      </c>
      <c r="BI42" s="108" t="str">
        <f t="shared" si="26"/>
        <v/>
      </c>
      <c r="BJ42" s="130"/>
      <c r="BK42" s="105">
        <v>13</v>
      </c>
      <c r="BL42" s="105">
        <v>7</v>
      </c>
      <c r="BM42" s="105">
        <v>1</v>
      </c>
      <c r="BN42" s="105">
        <v>15</v>
      </c>
      <c r="BO42" s="97">
        <f t="shared" si="27"/>
        <v>36</v>
      </c>
      <c r="BP42" s="106" t="str">
        <f>IFERROR(IF(BO42=0,"",ROUND((BO42/SUM(SETTINGS!$L$14:$L$17))*SETTINGS!$L$18,0)),"")</f>
        <v/>
      </c>
      <c r="BQ42" s="105">
        <v>55</v>
      </c>
      <c r="BR42" s="106" t="str">
        <f>IFERROR(IF(ISBLANK(BQ42),"",ROUND((BQ42/SETTINGS!$L$19)*SETTINGS!$L$20,0)),"")</f>
        <v/>
      </c>
      <c r="BS42" s="106" t="str">
        <f t="shared" si="28"/>
        <v/>
      </c>
      <c r="BT42" s="103" t="str">
        <f t="shared" si="29"/>
        <v/>
      </c>
      <c r="BU42" s="107" t="str">
        <f t="shared" si="30"/>
        <v/>
      </c>
      <c r="BV42" s="130"/>
      <c r="BW42" s="105">
        <v>5</v>
      </c>
      <c r="BX42" s="105">
        <v>12</v>
      </c>
      <c r="BY42" s="105">
        <v>15</v>
      </c>
      <c r="BZ42" s="105">
        <v>15</v>
      </c>
      <c r="CA42" s="97">
        <f t="shared" si="31"/>
        <v>47</v>
      </c>
      <c r="CB42" s="106" t="str">
        <f>IFERROR(IF(CA42=0,"",ROUND((CA42/SUM(SETTINGS!$L$14:$L$17))*SETTINGS!$L$18,0)),"")</f>
        <v/>
      </c>
      <c r="CC42" s="105">
        <v>63</v>
      </c>
      <c r="CD42" s="106" t="str">
        <f>IFERROR(IF(ISBLANK(CC42),"",ROUND((CC42/SETTINGS!$L$19)*SETTINGS!$L$20,0)),"")</f>
        <v/>
      </c>
      <c r="CE42" s="106" t="str">
        <f t="shared" si="32"/>
        <v/>
      </c>
      <c r="CF42" s="103" t="str">
        <f t="shared" si="33"/>
        <v/>
      </c>
      <c r="CG42" s="107" t="str">
        <f t="shared" si="34"/>
        <v/>
      </c>
      <c r="CH42" s="130"/>
      <c r="CI42" s="105">
        <v>14</v>
      </c>
      <c r="CJ42" s="105">
        <v>15</v>
      </c>
      <c r="CK42" s="105">
        <v>14</v>
      </c>
      <c r="CL42" s="105">
        <v>15</v>
      </c>
      <c r="CM42" s="97">
        <f t="shared" si="35"/>
        <v>58</v>
      </c>
      <c r="CN42" s="106" t="str">
        <f>IFERROR(IF(CM42=0,"",ROUND((CM42/SUM(SETTINGS!$L$14:$L$17))*SETTINGS!$L$18,0)),"")</f>
        <v/>
      </c>
      <c r="CO42" s="105">
        <v>35</v>
      </c>
      <c r="CP42" s="106" t="str">
        <f>IFERROR(IF(ISBLANK(CO42),"",ROUND((CO42/SETTINGS!$L$19)*SETTINGS!$L$20,0)),"")</f>
        <v/>
      </c>
      <c r="CQ42" s="106" t="str">
        <f t="shared" si="36"/>
        <v/>
      </c>
      <c r="CR42" s="103" t="str">
        <f t="shared" si="37"/>
        <v/>
      </c>
      <c r="CS42" s="107" t="str">
        <f t="shared" si="38"/>
        <v/>
      </c>
      <c r="CT42" s="130"/>
      <c r="CU42" s="105">
        <v>10</v>
      </c>
      <c r="CV42" s="105">
        <v>5</v>
      </c>
      <c r="CW42" s="105">
        <v>10</v>
      </c>
      <c r="CX42" s="105">
        <v>7</v>
      </c>
      <c r="CY42" s="97">
        <f t="shared" si="39"/>
        <v>32</v>
      </c>
      <c r="CZ42" s="106" t="str">
        <f>IFERROR(IF(CY42=0,"",ROUND((CY42/SUM(SETTINGS!$L$14:$L$17))*SETTINGS!$L$18,0)),"")</f>
        <v/>
      </c>
      <c r="DA42" s="105">
        <v>37</v>
      </c>
      <c r="DB42" s="106" t="str">
        <f>IFERROR(IF(ISBLANK(DA42),"",ROUND((DA42/SETTINGS!$L$19)*SETTINGS!$L$20,0)),"")</f>
        <v/>
      </c>
      <c r="DC42" s="106" t="str">
        <f t="shared" si="40"/>
        <v/>
      </c>
      <c r="DD42" s="103" t="str">
        <f t="shared" si="41"/>
        <v/>
      </c>
      <c r="DE42" s="107" t="str">
        <f t="shared" si="42"/>
        <v/>
      </c>
      <c r="DF42" s="103" t="str">
        <f t="shared" si="12"/>
        <v/>
      </c>
      <c r="DG42" s="103" t="str">
        <f>IFERROR(IF(AND(K42,W42,AI42,AU42,BG42,BS42,CE42,CQ42,DC42)="","",SUM(K42,W42,AI42,AU42,LARGE((BG42,BS42,CE42,CQ42,DC42),{1,2}))),"")</f>
        <v/>
      </c>
      <c r="DH42" s="103" t="str">
        <f>IFERROR(IF(AND(M42,Y42,AK42,AW42,,BI42,BU42,CG42,CS42,DE42)="","",SUM(M42,Y42,AK42,AW42,SMALL((BI42,BU42,CG42,CS42,DE42),{1,2}))),"")</f>
        <v/>
      </c>
      <c r="DI42" s="109" t="str">
        <f>IFERROR(pos&amp;IF(AND(MOD(ABS(18),100)&gt;10,MOD(ABS(pos),100)&lt;14),"th", CHOOSE(MOD(ABS(pos),10)+1,"th","st","nd","rd","th","th","th","th","th","th")),"")</f>
        <v/>
      </c>
      <c r="DJ42" s="62">
        <f>ROWS($B$12:$B42)</f>
        <v>31</v>
      </c>
      <c r="DK42" s="62" t="str">
        <f>IF($B42=REPORT_CARD!$M$12,$DJ42,"")</f>
        <v/>
      </c>
      <c r="DM42" s="65"/>
    </row>
    <row r="43" spans="1:117" ht="19.5" customHeight="1">
      <c r="A43" s="140" t="str">
        <f>IFERROR(IF(ISBLANK(#REF!),"",#REF!),"")</f>
        <v/>
      </c>
      <c r="B43" s="140" t="str">
        <f>IFERROR(IF(ISBLANK(#REF!),"",#REF!),"")</f>
        <v/>
      </c>
      <c r="C43" s="105">
        <v>9</v>
      </c>
      <c r="D43" s="105">
        <v>3</v>
      </c>
      <c r="E43" s="105">
        <v>14</v>
      </c>
      <c r="F43" s="105">
        <v>15</v>
      </c>
      <c r="G43" s="97">
        <f t="shared" si="43"/>
        <v>41</v>
      </c>
      <c r="H43" s="106" t="str">
        <f>IFERROR(IF(G43=0,"",ROUND((G43/SUM(SETTINGS!$L$14:$L$17))*SETTINGS!$L$18,0)),"")</f>
        <v/>
      </c>
      <c r="I43" s="105">
        <v>27</v>
      </c>
      <c r="J43" s="106" t="str">
        <f>IFERROR(IF(ISBLANK(I43),"",ROUND((I43/SETTINGS!$L$19)*SETTINGS!$L$20,0)),"")</f>
        <v/>
      </c>
      <c r="K43" s="106" t="str">
        <f t="shared" si="13"/>
        <v/>
      </c>
      <c r="L43" s="103" t="str">
        <f t="shared" si="0"/>
        <v/>
      </c>
      <c r="M43" s="107" t="str">
        <f t="shared" si="14"/>
        <v/>
      </c>
      <c r="N43" s="136"/>
      <c r="O43" s="105">
        <v>6</v>
      </c>
      <c r="P43" s="105">
        <v>12</v>
      </c>
      <c r="Q43" s="105">
        <v>6</v>
      </c>
      <c r="R43" s="105">
        <v>10</v>
      </c>
      <c r="S43" s="97">
        <f t="shared" si="1"/>
        <v>34</v>
      </c>
      <c r="T43" s="106" t="str">
        <f>IFERROR(IF(S43=0,"",ROUND((S43/SUM(SETTINGS!$L$14:$L$17))*SETTINGS!$L$18,0)),"")</f>
        <v/>
      </c>
      <c r="U43" s="105">
        <v>22</v>
      </c>
      <c r="V43" s="106" t="str">
        <f>IFERROR(IF(ISBLANK(U43),"",ROUND((U43/SETTINGS!$L$19)*SETTINGS!$L$20,0)),"")</f>
        <v/>
      </c>
      <c r="W43" s="106" t="str">
        <f t="shared" si="2"/>
        <v/>
      </c>
      <c r="X43" s="103" t="str">
        <f t="shared" si="3"/>
        <v/>
      </c>
      <c r="Y43" s="107" t="str">
        <f t="shared" si="4"/>
        <v/>
      </c>
      <c r="Z43" s="130"/>
      <c r="AA43" s="105">
        <v>10</v>
      </c>
      <c r="AB43" s="105">
        <v>10</v>
      </c>
      <c r="AC43" s="105">
        <v>6</v>
      </c>
      <c r="AD43" s="105">
        <v>10</v>
      </c>
      <c r="AE43" s="97">
        <f t="shared" si="15"/>
        <v>36</v>
      </c>
      <c r="AF43" s="106" t="str">
        <f>IFERROR(IF(AE43=0,"",ROUND((AE43/SUM(SETTINGS!$L$14:$L$17))*SETTINGS!$L$18,0)),"")</f>
        <v/>
      </c>
      <c r="AG43" s="105">
        <v>26</v>
      </c>
      <c r="AH43" s="106" t="str">
        <f>IFERROR(IF(ISBLANK(AG43),"",ROUND((AG43/SETTINGS!$L$19)*SETTINGS!$L$20,0)),"")</f>
        <v/>
      </c>
      <c r="AI43" s="106" t="str">
        <f t="shared" si="16"/>
        <v/>
      </c>
      <c r="AJ43" s="103" t="str">
        <f t="shared" si="17"/>
        <v/>
      </c>
      <c r="AK43" s="108" t="str">
        <f t="shared" si="18"/>
        <v/>
      </c>
      <c r="AL43" s="130"/>
      <c r="AM43" s="105">
        <v>13</v>
      </c>
      <c r="AN43" s="105">
        <v>10</v>
      </c>
      <c r="AO43" s="105">
        <v>6</v>
      </c>
      <c r="AP43" s="105">
        <v>14</v>
      </c>
      <c r="AQ43" s="97">
        <f t="shared" si="19"/>
        <v>43</v>
      </c>
      <c r="AR43" s="106" t="str">
        <f>IFERROR(IF(AQ43=0,"",ROUND((AQ43/SUM(SETTINGS!$L$14:$L$17))*SETTINGS!$L$18,0)),"")</f>
        <v/>
      </c>
      <c r="AS43" s="105">
        <v>27</v>
      </c>
      <c r="AT43" s="106" t="str">
        <f>IFERROR(IF(ISBLANK(AS43),"",ROUND((AS43/SETTINGS!$L$19)*SETTINGS!$L$20,0)),"")</f>
        <v/>
      </c>
      <c r="AU43" s="106" t="str">
        <f t="shared" si="20"/>
        <v/>
      </c>
      <c r="AV43" s="103" t="str">
        <f t="shared" si="21"/>
        <v/>
      </c>
      <c r="AW43" s="107" t="str">
        <f t="shared" si="22"/>
        <v/>
      </c>
      <c r="AX43" s="130"/>
      <c r="AY43" s="105">
        <v>10</v>
      </c>
      <c r="AZ43" s="105">
        <v>13</v>
      </c>
      <c r="BA43" s="105">
        <v>10</v>
      </c>
      <c r="BB43" s="105">
        <v>8</v>
      </c>
      <c r="BC43" s="97">
        <f t="shared" si="23"/>
        <v>41</v>
      </c>
      <c r="BD43" s="106" t="str">
        <f>IFERROR(IF(BC43=0,"",ROUND((BC43/SUM(SETTINGS!$L$14:$L$17))*SETTINGS!$L$18,0)),"")</f>
        <v/>
      </c>
      <c r="BE43" s="105">
        <v>32</v>
      </c>
      <c r="BF43" s="106" t="str">
        <f>IFERROR(IF(ISBLANK(BE43),"",ROUND((BE43/SETTINGS!$L$19)*SETTINGS!$L$20,0)),"")</f>
        <v/>
      </c>
      <c r="BG43" s="106" t="str">
        <f t="shared" si="24"/>
        <v/>
      </c>
      <c r="BH43" s="103" t="str">
        <f t="shared" si="25"/>
        <v/>
      </c>
      <c r="BI43" s="108" t="str">
        <f t="shared" si="26"/>
        <v/>
      </c>
      <c r="BJ43" s="130"/>
      <c r="BK43" s="105">
        <v>9</v>
      </c>
      <c r="BL43" s="105">
        <v>2</v>
      </c>
      <c r="BM43" s="105">
        <v>1</v>
      </c>
      <c r="BN43" s="105">
        <v>15</v>
      </c>
      <c r="BO43" s="97">
        <f t="shared" si="27"/>
        <v>27</v>
      </c>
      <c r="BP43" s="106" t="str">
        <f>IFERROR(IF(BO43=0,"",ROUND((BO43/SUM(SETTINGS!$L$14:$L$17))*SETTINGS!$L$18,0)),"")</f>
        <v/>
      </c>
      <c r="BQ43" s="105">
        <v>51</v>
      </c>
      <c r="BR43" s="106" t="str">
        <f>IFERROR(IF(ISBLANK(BQ43),"",ROUND((BQ43/SETTINGS!$L$19)*SETTINGS!$L$20,0)),"")</f>
        <v/>
      </c>
      <c r="BS43" s="106" t="str">
        <f t="shared" si="28"/>
        <v/>
      </c>
      <c r="BT43" s="103" t="str">
        <f t="shared" si="29"/>
        <v/>
      </c>
      <c r="BU43" s="107" t="str">
        <f t="shared" si="30"/>
        <v/>
      </c>
      <c r="BV43" s="130"/>
      <c r="BW43" s="105">
        <v>12</v>
      </c>
      <c r="BX43" s="105">
        <v>4</v>
      </c>
      <c r="BY43" s="105">
        <v>12</v>
      </c>
      <c r="BZ43" s="105">
        <v>6</v>
      </c>
      <c r="CA43" s="97">
        <f t="shared" si="31"/>
        <v>34</v>
      </c>
      <c r="CB43" s="106" t="str">
        <f>IFERROR(IF(CA43=0,"",ROUND((CA43/SUM(SETTINGS!$L$14:$L$17))*SETTINGS!$L$18,0)),"")</f>
        <v/>
      </c>
      <c r="CC43" s="105">
        <v>41</v>
      </c>
      <c r="CD43" s="106" t="str">
        <f>IFERROR(IF(ISBLANK(CC43),"",ROUND((CC43/SETTINGS!$L$19)*SETTINGS!$L$20,0)),"")</f>
        <v/>
      </c>
      <c r="CE43" s="106" t="str">
        <f t="shared" si="32"/>
        <v/>
      </c>
      <c r="CF43" s="103" t="str">
        <f t="shared" si="33"/>
        <v/>
      </c>
      <c r="CG43" s="107" t="str">
        <f t="shared" si="34"/>
        <v/>
      </c>
      <c r="CH43" s="130"/>
      <c r="CI43" s="105">
        <v>9</v>
      </c>
      <c r="CJ43" s="105">
        <v>15</v>
      </c>
      <c r="CK43" s="105">
        <v>10</v>
      </c>
      <c r="CL43" s="105">
        <v>13</v>
      </c>
      <c r="CM43" s="97">
        <f t="shared" si="35"/>
        <v>47</v>
      </c>
      <c r="CN43" s="106" t="str">
        <f>IFERROR(IF(CM43=0,"",ROUND((CM43/SUM(SETTINGS!$L$14:$L$17))*SETTINGS!$L$18,0)),"")</f>
        <v/>
      </c>
      <c r="CO43" s="105">
        <v>12</v>
      </c>
      <c r="CP43" s="106" t="str">
        <f>IFERROR(IF(ISBLANK(CO43),"",ROUND((CO43/SETTINGS!$L$19)*SETTINGS!$L$20,0)),"")</f>
        <v/>
      </c>
      <c r="CQ43" s="106" t="str">
        <f t="shared" si="36"/>
        <v/>
      </c>
      <c r="CR43" s="103" t="str">
        <f t="shared" si="37"/>
        <v/>
      </c>
      <c r="CS43" s="107" t="str">
        <f t="shared" si="38"/>
        <v/>
      </c>
      <c r="CT43" s="130"/>
      <c r="CU43" s="105">
        <v>11</v>
      </c>
      <c r="CV43" s="105">
        <v>2</v>
      </c>
      <c r="CW43" s="105">
        <v>12</v>
      </c>
      <c r="CX43" s="105">
        <v>8</v>
      </c>
      <c r="CY43" s="97">
        <f t="shared" si="39"/>
        <v>33</v>
      </c>
      <c r="CZ43" s="106" t="str">
        <f>IFERROR(IF(CY43=0,"",ROUND((CY43/SUM(SETTINGS!$L$14:$L$17))*SETTINGS!$L$18,0)),"")</f>
        <v/>
      </c>
      <c r="DA43" s="105">
        <v>24</v>
      </c>
      <c r="DB43" s="106" t="str">
        <f>IFERROR(IF(ISBLANK(DA43),"",ROUND((DA43/SETTINGS!$L$19)*SETTINGS!$L$20,0)),"")</f>
        <v/>
      </c>
      <c r="DC43" s="106" t="str">
        <f t="shared" si="40"/>
        <v/>
      </c>
      <c r="DD43" s="103" t="str">
        <f t="shared" si="41"/>
        <v/>
      </c>
      <c r="DE43" s="107" t="str">
        <f t="shared" si="42"/>
        <v/>
      </c>
      <c r="DF43" s="103" t="str">
        <f t="shared" si="12"/>
        <v/>
      </c>
      <c r="DG43" s="103" t="str">
        <f>IFERROR(IF(AND(K43,W43,AI43,AU43,BG43,BS43,CE43,CQ43,DC43)="","",SUM(K43,W43,AI43,AU43,LARGE((BG43,BS43,CE43,CQ43,DC43),{1,2}))),"")</f>
        <v/>
      </c>
      <c r="DH43" s="103" t="str">
        <f>IFERROR(IF(AND(M43,Y43,AK43,AW43,,BI43,BU43,CG43,CS43,DE43)="","",SUM(M43,Y43,AK43,AW43,SMALL((BI43,BU43,CG43,CS43,DE43),{1,2}))),"")</f>
        <v/>
      </c>
      <c r="DI43" s="109" t="str">
        <f>IFERROR(pos&amp;IF(AND(MOD(ABS(18),100)&gt;10,MOD(ABS(pos),100)&lt;14),"th", CHOOSE(MOD(ABS(pos),10)+1,"th","st","nd","rd","th","th","th","th","th","th")),"")</f>
        <v/>
      </c>
      <c r="DJ43" s="62">
        <f>ROWS($B$12:$B43)</f>
        <v>32</v>
      </c>
      <c r="DK43" s="62" t="str">
        <f>IF($B43=REPORT_CARD!$M$12,$DJ43,"")</f>
        <v/>
      </c>
      <c r="DM43" s="65"/>
    </row>
    <row r="44" spans="1:117" ht="19.5" customHeight="1">
      <c r="A44" s="140" t="str">
        <f>IFERROR(IF(ISBLANK(#REF!),"",#REF!),"")</f>
        <v/>
      </c>
      <c r="B44" s="140" t="str">
        <f>IFERROR(IF(ISBLANK(#REF!),"",#REF!),"")</f>
        <v/>
      </c>
      <c r="C44" s="105">
        <v>15</v>
      </c>
      <c r="D44" s="105">
        <v>14</v>
      </c>
      <c r="E44" s="105">
        <v>15</v>
      </c>
      <c r="F44" s="105">
        <v>12</v>
      </c>
      <c r="G44" s="97">
        <f t="shared" ref="G44:G75" si="44">IFERROR(IF(AND(C44:F44)="","",SUM(C44:F44)),"")</f>
        <v>56</v>
      </c>
      <c r="H44" s="106" t="str">
        <f>IFERROR(IF(G44=0,"",ROUND((G44/SUM(SETTINGS!$L$14:$L$17))*SETTINGS!$L$18,0)),"")</f>
        <v/>
      </c>
      <c r="I44" s="105">
        <v>40</v>
      </c>
      <c r="J44" s="106" t="str">
        <f>IFERROR(IF(ISBLANK(I44),"",ROUND((I44/SETTINGS!$L$19)*SETTINGS!$L$20,0)),"")</f>
        <v/>
      </c>
      <c r="K44" s="106" t="str">
        <f t="shared" ref="K44:K75" si="45">IFERROR(IF(AND(H44,J44)="","",SUM(H44,J44)),"")</f>
        <v/>
      </c>
      <c r="L44" s="103" t="str">
        <f t="shared" ref="L44:L75" si="46">IFERROR(IF(K44="","",RANK(K44,K$12:K$76)),"")</f>
        <v/>
      </c>
      <c r="M44" s="107" t="str">
        <f t="shared" ref="M44:M76" si="47">IFERROR(IF(K44="","",IF(K44&gt;=75,VALUE(1),IF(K44&gt;=70,VALUE(2),IF(K44&gt;=65,VALUE(3),IF(K44&gt;=60,VALUE(4),IF(K44&gt;=55,VALUE(5),IF(K44&gt;=50,VALUE(6),IF(K44&gt;=45,VALUE(7),IF(K44&gt;=40,VALUE(8),VALUE(9)))))))))),"")</f>
        <v/>
      </c>
      <c r="N44" s="136"/>
      <c r="O44" s="105">
        <v>8</v>
      </c>
      <c r="P44" s="105">
        <v>13</v>
      </c>
      <c r="Q44" s="105">
        <v>14</v>
      </c>
      <c r="R44" s="105">
        <v>12</v>
      </c>
      <c r="S44" s="97">
        <f t="shared" ref="S44:S75" si="48">IFERROR(IF(AND(O44:R44)="","",SUM(O44:R44)),"")</f>
        <v>47</v>
      </c>
      <c r="T44" s="106" t="str">
        <f>IFERROR(IF(S44=0,"",ROUND((S44/SUM(SETTINGS!$L$14:$L$17))*SETTINGS!$L$18,0)),"")</f>
        <v/>
      </c>
      <c r="U44" s="105">
        <v>60</v>
      </c>
      <c r="V44" s="106" t="str">
        <f>IFERROR(IF(ISBLANK(U44),"",ROUND((U44/SETTINGS!$L$19)*SETTINGS!$L$20,0)),"")</f>
        <v/>
      </c>
      <c r="W44" s="106" t="str">
        <f t="shared" ref="W44:W75" si="49">IFERROR(IF(AND(T44,V44)="","",SUM(T44,V44)),"")</f>
        <v/>
      </c>
      <c r="X44" s="103" t="str">
        <f t="shared" ref="X44:X75" si="50">IFERROR(IF(W44="","",RANK(W44,W$12:W$76)),"")</f>
        <v/>
      </c>
      <c r="Y44" s="107" t="str">
        <f t="shared" ref="Y44:Y76" si="51">IFERROR(IF(W44="","",IF(W44&gt;=75,VALUE(1),IF(W44&gt;=70,VALUE(2),IF(W44&gt;=65,VALUE(3),IF(W44&gt;=60,VALUE(4),IF(W44&gt;=55,VALUE(5),IF(W44&gt;=50,VALUE(6),IF(W44&gt;=45,VALUE(7),IF(W44&gt;=40,VALUE(8),VALUE(9)))))))))),"")</f>
        <v/>
      </c>
      <c r="Z44" s="130"/>
      <c r="AA44" s="105">
        <v>13</v>
      </c>
      <c r="AB44" s="105">
        <v>12</v>
      </c>
      <c r="AC44" s="105">
        <v>10</v>
      </c>
      <c r="AD44" s="105">
        <v>15</v>
      </c>
      <c r="AE44" s="97">
        <f t="shared" ref="AE44:AE75" si="52">IFERROR(IF(AND(AA44:AD44)="","",SUM(AA44:AD44)),"")</f>
        <v>50</v>
      </c>
      <c r="AF44" s="106" t="str">
        <f>IFERROR(IF(AE44=0,"",ROUND((AE44/SUM(SETTINGS!$L$14:$L$17))*SETTINGS!$L$18,0)),"")</f>
        <v/>
      </c>
      <c r="AG44" s="105">
        <v>56</v>
      </c>
      <c r="AH44" s="106" t="str">
        <f>IFERROR(IF(ISBLANK(AG44),"",ROUND((AG44/SETTINGS!$L$19)*SETTINGS!$L$20,0)),"")</f>
        <v/>
      </c>
      <c r="AI44" s="106" t="str">
        <f t="shared" ref="AI44:AI75" si="53">IFERROR(IF(AND(AF44,AH44)="","",SUM(AF44,AH44)),"")</f>
        <v/>
      </c>
      <c r="AJ44" s="103" t="str">
        <f t="shared" ref="AJ44:AJ75" si="54">IFERROR(IF(AI44="","",RANK(AI44,AI$12:AI$76)),"")</f>
        <v/>
      </c>
      <c r="AK44" s="108" t="str">
        <f t="shared" ref="AK44:AK76" si="55">IFERROR(IF(AI44="","",IF(AI44&gt;=75,VALUE(1),IF(AI44&gt;=70,VALUE(2),IF(AI44&gt;=65,VALUE(3),IF(AI44&gt;=60,VALUE(4),IF(AI44&gt;=55,VALUE(5),IF(AI44&gt;=50,VALUE(6),IF(AI44&gt;=45,VALUE(7),IF(AI44&gt;=40,VALUE(8),VALUE(9)))))))))),"")</f>
        <v/>
      </c>
      <c r="AL44" s="130"/>
      <c r="AM44" s="105">
        <v>10</v>
      </c>
      <c r="AN44" s="105">
        <v>9</v>
      </c>
      <c r="AO44" s="105">
        <v>11</v>
      </c>
      <c r="AP44" s="105">
        <v>14</v>
      </c>
      <c r="AQ44" s="97">
        <f t="shared" ref="AQ44:AQ75" si="56">IFERROR(IF(AND(AM44:AP44)="","",SUM(AM44:AP44)),"")</f>
        <v>44</v>
      </c>
      <c r="AR44" s="106" t="str">
        <f>IFERROR(IF(AQ44=0,"",ROUND((AQ44/SUM(SETTINGS!$L$14:$L$17))*SETTINGS!$L$18,0)),"")</f>
        <v/>
      </c>
      <c r="AS44" s="105">
        <v>50</v>
      </c>
      <c r="AT44" s="106" t="str">
        <f>IFERROR(IF(ISBLANK(AS44),"",ROUND((AS44/SETTINGS!$L$19)*SETTINGS!$L$20,0)),"")</f>
        <v/>
      </c>
      <c r="AU44" s="106" t="str">
        <f t="shared" ref="AU44:AU75" si="57">IFERROR(IF(AND(AR44,AT44)="","",SUM(AR44,AT44)),"")</f>
        <v/>
      </c>
      <c r="AV44" s="103" t="str">
        <f t="shared" ref="AV44:AV75" si="58">IFERROR(IF(AU44="","",RANK(AU44,AU$12:AU$76)),"")</f>
        <v/>
      </c>
      <c r="AW44" s="107" t="str">
        <f t="shared" ref="AW44:AW76" si="59">IFERROR(IF(AU44="","",IF(AU44&gt;=75,VALUE(1),IF(AU44&gt;=70,VALUE(2),IF(AU44&gt;=65,VALUE(3),IF(AU44&gt;=60,VALUE(4),IF(AU44&gt;=55,VALUE(5),IF(AU44&gt;=50,VALUE(6),IF(AU44&gt;=45,VALUE(7),IF(AU44&gt;=40,VALUE(8),VALUE(9)))))))))),"")</f>
        <v/>
      </c>
      <c r="AX44" s="130"/>
      <c r="AY44" s="105">
        <v>15</v>
      </c>
      <c r="AZ44" s="105">
        <v>12</v>
      </c>
      <c r="BA44" s="105">
        <v>12</v>
      </c>
      <c r="BB44" s="105">
        <v>9</v>
      </c>
      <c r="BC44" s="97">
        <f t="shared" ref="BC44:BC75" si="60">IFERROR(IF(AND(AY44:BB44)="","",SUM(AY44:BB44)),"")</f>
        <v>48</v>
      </c>
      <c r="BD44" s="106" t="str">
        <f>IFERROR(IF(BC44=0,"",ROUND((BC44/SUM(SETTINGS!$L$14:$L$17))*SETTINGS!$L$18,0)),"")</f>
        <v/>
      </c>
      <c r="BE44" s="105">
        <v>56</v>
      </c>
      <c r="BF44" s="106" t="str">
        <f>IFERROR(IF(ISBLANK(BE44),"",ROUND((BE44/SETTINGS!$L$19)*SETTINGS!$L$20,0)),"")</f>
        <v/>
      </c>
      <c r="BG44" s="106" t="str">
        <f t="shared" ref="BG44:BG75" si="61">IFERROR(IF(AND(BD44,BF44)="","",SUM(BD44,BF44)),"")</f>
        <v/>
      </c>
      <c r="BH44" s="103" t="str">
        <f t="shared" ref="BH44:BH75" si="62">IFERROR(IF(BG44="","",RANK(BG44,BG$12:BG$76)),"")</f>
        <v/>
      </c>
      <c r="BI44" s="108" t="str">
        <f t="shared" ref="BI44:BI76" si="63">IFERROR(IF(BG44="","",IF(BG44&gt;=75,VALUE(1),IF(BG44&gt;=70,VALUE(2),IF(BG44&gt;=65,VALUE(3),IF(BG44&gt;=60,VALUE(4),IF(BG44&gt;=55,VALUE(5),IF(BG44&gt;=50,VALUE(6),IF(BG44&gt;=45,VALUE(7),IF(BG44&gt;=40,VALUE(8),VALUE(9)))))))))),"")</f>
        <v/>
      </c>
      <c r="BJ44" s="130"/>
      <c r="BK44" s="105">
        <v>15</v>
      </c>
      <c r="BL44" s="105">
        <v>10</v>
      </c>
      <c r="BM44" s="105">
        <v>5</v>
      </c>
      <c r="BN44" s="105">
        <v>15</v>
      </c>
      <c r="BO44" s="97">
        <f t="shared" ref="BO44:BO75" si="64">IFERROR(IF(AND(BK44:BN44)="","",SUM(BK44:BN44)),"")</f>
        <v>45</v>
      </c>
      <c r="BP44" s="106" t="str">
        <f>IFERROR(IF(BO44=0,"",ROUND((BO44/SUM(SETTINGS!$L$14:$L$17))*SETTINGS!$L$18,0)),"")</f>
        <v/>
      </c>
      <c r="BQ44" s="105">
        <v>59</v>
      </c>
      <c r="BR44" s="106" t="str">
        <f>IFERROR(IF(ISBLANK(BQ44),"",ROUND((BQ44/SETTINGS!$L$19)*SETTINGS!$L$20,0)),"")</f>
        <v/>
      </c>
      <c r="BS44" s="106" t="str">
        <f t="shared" ref="BS44:BS75" si="65">IFERROR(IF(AND(BP44,BR44)="","",SUM(BP44,BR44)),"")</f>
        <v/>
      </c>
      <c r="BT44" s="103" t="str">
        <f t="shared" ref="BT44:BT75" si="66">IFERROR(IF(BS44="","",RANK(BS44,BS$12:BS$76)),"")</f>
        <v/>
      </c>
      <c r="BU44" s="107" t="str">
        <f t="shared" ref="BU44:BU76" si="67">IFERROR(IF(BS44="","",IF(BS44&gt;=75,VALUE(1),IF(BS44&gt;=70,VALUE(2),IF(BS44&gt;=65,VALUE(3),IF(BS44&gt;=60,VALUE(4),IF(BS44&gt;=55,VALUE(5),IF(BS44&gt;=50,VALUE(6),IF(BS44&gt;=45,VALUE(7),IF(BS44&gt;=40,VALUE(8),VALUE(9)))))))))),"")</f>
        <v/>
      </c>
      <c r="BV44" s="130"/>
      <c r="BW44" s="105">
        <v>14</v>
      </c>
      <c r="BX44" s="105">
        <v>13</v>
      </c>
      <c r="BY44" s="105">
        <v>15</v>
      </c>
      <c r="BZ44" s="105">
        <v>15</v>
      </c>
      <c r="CA44" s="97">
        <f t="shared" ref="CA44:CA75" si="68">IFERROR(IF(AND(BW44:BZ44)="","",SUM(BW44:BZ44)),"")</f>
        <v>57</v>
      </c>
      <c r="CB44" s="106" t="str">
        <f>IFERROR(IF(CA44=0,"",ROUND((CA44/SUM(SETTINGS!$L$14:$L$17))*SETTINGS!$L$18,0)),"")</f>
        <v/>
      </c>
      <c r="CC44" s="105">
        <v>60</v>
      </c>
      <c r="CD44" s="106" t="str">
        <f>IFERROR(IF(ISBLANK(CC44),"",ROUND((CC44/SETTINGS!$L$19)*SETTINGS!$L$20,0)),"")</f>
        <v/>
      </c>
      <c r="CE44" s="106" t="str">
        <f t="shared" ref="CE44:CE75" si="69">IFERROR(IF(AND(CB44,CD44)="","",SUM(CB44,CD44)),"")</f>
        <v/>
      </c>
      <c r="CF44" s="103" t="str">
        <f t="shared" ref="CF44:CF75" si="70">IFERROR(IF(CE44="","",RANK(CE44,CE$12:CE$76)),"")</f>
        <v/>
      </c>
      <c r="CG44" s="107" t="str">
        <f t="shared" ref="CG44:CG76" si="71">IFERROR(IF(CE44="","",IF(CE44&gt;=75,VALUE(1),IF(CE44&gt;=70,VALUE(2),IF(CE44&gt;=65,VALUE(3),IF(CE44&gt;=60,VALUE(4),IF(CE44&gt;=55,VALUE(5),IF(CE44&gt;=50,VALUE(6),IF(CE44&gt;=45,VALUE(7),IF(CE44&gt;=40,VALUE(8),VALUE(9)))))))))),"")</f>
        <v/>
      </c>
      <c r="CH44" s="130"/>
      <c r="CI44" s="105">
        <v>15</v>
      </c>
      <c r="CJ44" s="105">
        <v>15</v>
      </c>
      <c r="CK44" s="105">
        <v>12</v>
      </c>
      <c r="CL44" s="105">
        <v>15</v>
      </c>
      <c r="CM44" s="97">
        <f t="shared" ref="CM44:CM75" si="72">IFERROR(IF(AND(CI44:CL44)="","",SUM(CI44:CL44)),"")</f>
        <v>57</v>
      </c>
      <c r="CN44" s="106" t="str">
        <f>IFERROR(IF(CM44=0,"",ROUND((CM44/SUM(SETTINGS!$L$14:$L$17))*SETTINGS!$L$18,0)),"")</f>
        <v/>
      </c>
      <c r="CO44" s="105">
        <v>46</v>
      </c>
      <c r="CP44" s="106" t="str">
        <f>IFERROR(IF(ISBLANK(CO44),"",ROUND((CO44/SETTINGS!$L$19)*SETTINGS!$L$20,0)),"")</f>
        <v/>
      </c>
      <c r="CQ44" s="106" t="str">
        <f t="shared" ref="CQ44:CQ75" si="73">IFERROR(IF(AND(CN44,CP44)="","",SUM(CN44,CP44)),"")</f>
        <v/>
      </c>
      <c r="CR44" s="103" t="str">
        <f t="shared" ref="CR44:CR75" si="74">IFERROR(IF(CQ44="","",RANK(CQ44,CQ$12:CQ$76)),"")</f>
        <v/>
      </c>
      <c r="CS44" s="107" t="str">
        <f t="shared" ref="CS44:CS76" si="75">IFERROR(IF(CQ44="","",IF(CQ44&gt;=75,VALUE(1),IF(CQ44&gt;=70,VALUE(2),IF(CQ44&gt;=65,VALUE(3),IF(CQ44&gt;=60,VALUE(4),IF(CQ44&gt;=55,VALUE(5),IF(CQ44&gt;=50,VALUE(6),IF(CQ44&gt;=45,VALUE(7),IF(CQ44&gt;=40,VALUE(8),VALUE(9)))))))))),"")</f>
        <v/>
      </c>
      <c r="CT44" s="130"/>
      <c r="CU44" s="105">
        <v>12</v>
      </c>
      <c r="CV44" s="105">
        <v>9</v>
      </c>
      <c r="CW44" s="105">
        <v>14</v>
      </c>
      <c r="CX44" s="105">
        <v>9</v>
      </c>
      <c r="CY44" s="97">
        <f t="shared" ref="CY44:CY75" si="76">IFERROR(IF(AND(CU44:CX44)="","",SUM(CU44:CX44)),"")</f>
        <v>44</v>
      </c>
      <c r="CZ44" s="106" t="str">
        <f>IFERROR(IF(CY44=0,"",ROUND((CY44/SUM(SETTINGS!$L$14:$L$17))*SETTINGS!$L$18,0)),"")</f>
        <v/>
      </c>
      <c r="DA44" s="105">
        <v>58</v>
      </c>
      <c r="DB44" s="106" t="str">
        <f>IFERROR(IF(ISBLANK(DA44),"",ROUND((DA44/SETTINGS!$L$19)*SETTINGS!$L$20,0)),"")</f>
        <v/>
      </c>
      <c r="DC44" s="106" t="str">
        <f t="shared" ref="DC44:DC75" si="77">IFERROR(IF(AND(CZ44,DB44)="","",SUM(CZ44,DB44)),"")</f>
        <v/>
      </c>
      <c r="DD44" s="103" t="str">
        <f t="shared" ref="DD44:DD75" si="78">IFERROR(IF(DC44="","",RANK(DC44,DC$12:DC$76)),"")</f>
        <v/>
      </c>
      <c r="DE44" s="107" t="str">
        <f t="shared" ref="DE44:DE76" si="79">IFERROR(IF(DC44="","",IF(DC44&gt;=75,VALUE(1),IF(DC44&gt;=70,VALUE(2),IF(DC44&gt;=65,VALUE(3),IF(DC44&gt;=60,VALUE(4),IF(DC44&gt;=55,VALUE(5),IF(DC44&gt;=50,VALUE(6),IF(DC44&gt;=45,VALUE(7),IF(DC44&gt;=40,VALUE(8),VALUE(9)))))))))),"")</f>
        <v/>
      </c>
      <c r="DF44" s="103" t="str">
        <f t="shared" ref="DF44:DF76" si="80">IFERROR(IF(AND(K44,W44,AI44,AU44,BG44,BS44,CE44,CQ44,DC44)="","",SUM(K44,W44,AI44,AU44,BG44,BS44,CE44,CQ44,DC44)),"")</f>
        <v/>
      </c>
      <c r="DG44" s="103" t="str">
        <f>IFERROR(IF(AND(K44,W44,AI44,AU44,BG44,BS44,CE44,CQ44,DC44)="","",SUM(K44,W44,AI44,AU44,LARGE((BG44,BS44,CE44,CQ44,DC44),{1,2}))),"")</f>
        <v/>
      </c>
      <c r="DH44" s="103" t="str">
        <f>IFERROR(IF(AND(M44,Y44,AK44,AW44,,BI44,BU44,CG44,CS44,DE44)="","",SUM(M44,Y44,AK44,AW44,SMALL((BI44,BU44,CG44,CS44,DE44),{1,2}))),"")</f>
        <v/>
      </c>
      <c r="DI44" s="109" t="str">
        <f>IFERROR(pos&amp;IF(AND(MOD(ABS(18),100)&gt;10,MOD(ABS(pos),100)&lt;14),"th", CHOOSE(MOD(ABS(pos),10)+1,"th","st","nd","rd","th","th","th","th","th","th")),"")</f>
        <v/>
      </c>
      <c r="DJ44" s="62">
        <f>ROWS($B$12:$B44)</f>
        <v>33</v>
      </c>
      <c r="DK44" s="62" t="str">
        <f>IF($B44=REPORT_CARD!$M$12,$DJ44,"")</f>
        <v/>
      </c>
      <c r="DM44" s="65"/>
    </row>
    <row r="45" spans="1:117" ht="19.5" customHeight="1">
      <c r="A45" s="140" t="str">
        <f>IFERROR(IF(ISBLANK(#REF!),"",#REF!),"")</f>
        <v/>
      </c>
      <c r="B45" s="140" t="str">
        <f>IFERROR(IF(ISBLANK(#REF!),"",#REF!),"")</f>
        <v/>
      </c>
      <c r="C45" s="105">
        <v>14</v>
      </c>
      <c r="D45" s="105">
        <v>14</v>
      </c>
      <c r="E45" s="105">
        <v>15</v>
      </c>
      <c r="F45" s="105">
        <v>11</v>
      </c>
      <c r="G45" s="97">
        <f t="shared" si="44"/>
        <v>54</v>
      </c>
      <c r="H45" s="106" t="str">
        <f>IFERROR(IF(G45=0,"",ROUND((G45/SUM(SETTINGS!$L$14:$L$17))*SETTINGS!$L$18,0)),"")</f>
        <v/>
      </c>
      <c r="I45" s="105">
        <v>47</v>
      </c>
      <c r="J45" s="106" t="str">
        <f>IFERROR(IF(ISBLANK(I45),"",ROUND((I45/SETTINGS!$L$19)*SETTINGS!$L$20,0)),"")</f>
        <v/>
      </c>
      <c r="K45" s="106" t="str">
        <f t="shared" si="45"/>
        <v/>
      </c>
      <c r="L45" s="103" t="str">
        <f t="shared" si="46"/>
        <v/>
      </c>
      <c r="M45" s="107" t="str">
        <f t="shared" si="47"/>
        <v/>
      </c>
      <c r="N45" s="136"/>
      <c r="O45" s="105">
        <v>15</v>
      </c>
      <c r="P45" s="105">
        <v>10</v>
      </c>
      <c r="Q45" s="105">
        <v>14</v>
      </c>
      <c r="R45" s="105">
        <v>12</v>
      </c>
      <c r="S45" s="97">
        <f t="shared" si="48"/>
        <v>51</v>
      </c>
      <c r="T45" s="106" t="str">
        <f>IFERROR(IF(S45=0,"",ROUND((S45/SUM(SETTINGS!$L$14:$L$17))*SETTINGS!$L$18,0)),"")</f>
        <v/>
      </c>
      <c r="U45" s="105">
        <v>50</v>
      </c>
      <c r="V45" s="106" t="str">
        <f>IFERROR(IF(ISBLANK(U45),"",ROUND((U45/SETTINGS!$L$19)*SETTINGS!$L$20,0)),"")</f>
        <v/>
      </c>
      <c r="W45" s="106" t="str">
        <f t="shared" si="49"/>
        <v/>
      </c>
      <c r="X45" s="103" t="str">
        <f t="shared" si="50"/>
        <v/>
      </c>
      <c r="Y45" s="107" t="str">
        <f t="shared" si="51"/>
        <v/>
      </c>
      <c r="Z45" s="130"/>
      <c r="AA45" s="105">
        <v>12</v>
      </c>
      <c r="AB45" s="105">
        <v>10</v>
      </c>
      <c r="AC45" s="105">
        <v>12</v>
      </c>
      <c r="AD45" s="105">
        <v>14</v>
      </c>
      <c r="AE45" s="97">
        <f t="shared" si="52"/>
        <v>48</v>
      </c>
      <c r="AF45" s="106" t="str">
        <f>IFERROR(IF(AE45=0,"",ROUND((AE45/SUM(SETTINGS!$L$14:$L$17))*SETTINGS!$L$18,0)),"")</f>
        <v/>
      </c>
      <c r="AG45" s="105">
        <v>63</v>
      </c>
      <c r="AH45" s="106" t="str">
        <f>IFERROR(IF(ISBLANK(AG45),"",ROUND((AG45/SETTINGS!$L$19)*SETTINGS!$L$20,0)),"")</f>
        <v/>
      </c>
      <c r="AI45" s="106" t="str">
        <f t="shared" si="53"/>
        <v/>
      </c>
      <c r="AJ45" s="103" t="str">
        <f t="shared" si="54"/>
        <v/>
      </c>
      <c r="AK45" s="108" t="str">
        <f t="shared" si="55"/>
        <v/>
      </c>
      <c r="AL45" s="130"/>
      <c r="AM45" s="105">
        <v>9</v>
      </c>
      <c r="AN45" s="105">
        <v>12</v>
      </c>
      <c r="AO45" s="105">
        <v>10</v>
      </c>
      <c r="AP45" s="105">
        <v>15</v>
      </c>
      <c r="AQ45" s="97">
        <f t="shared" si="56"/>
        <v>46</v>
      </c>
      <c r="AR45" s="106" t="str">
        <f>IFERROR(IF(AQ45=0,"",ROUND((AQ45/SUM(SETTINGS!$L$14:$L$17))*SETTINGS!$L$18,0)),"")</f>
        <v/>
      </c>
      <c r="AS45" s="105">
        <v>58</v>
      </c>
      <c r="AT45" s="106" t="str">
        <f>IFERROR(IF(ISBLANK(AS45),"",ROUND((AS45/SETTINGS!$L$19)*SETTINGS!$L$20,0)),"")</f>
        <v/>
      </c>
      <c r="AU45" s="106" t="str">
        <f t="shared" si="57"/>
        <v/>
      </c>
      <c r="AV45" s="103" t="str">
        <f t="shared" si="58"/>
        <v/>
      </c>
      <c r="AW45" s="107" t="str">
        <f t="shared" si="59"/>
        <v/>
      </c>
      <c r="AX45" s="130"/>
      <c r="AY45" s="105">
        <v>15</v>
      </c>
      <c r="AZ45" s="105">
        <v>13</v>
      </c>
      <c r="BA45" s="105">
        <v>11</v>
      </c>
      <c r="BB45" s="105">
        <v>15</v>
      </c>
      <c r="BC45" s="97">
        <f t="shared" si="60"/>
        <v>54</v>
      </c>
      <c r="BD45" s="106" t="str">
        <f>IFERROR(IF(BC45=0,"",ROUND((BC45/SUM(SETTINGS!$L$14:$L$17))*SETTINGS!$L$18,0)),"")</f>
        <v/>
      </c>
      <c r="BE45" s="105">
        <v>81</v>
      </c>
      <c r="BF45" s="106" t="str">
        <f>IFERROR(IF(ISBLANK(BE45),"",ROUND((BE45/SETTINGS!$L$19)*SETTINGS!$L$20,0)),"")</f>
        <v/>
      </c>
      <c r="BG45" s="106" t="str">
        <f t="shared" si="61"/>
        <v/>
      </c>
      <c r="BH45" s="103" t="str">
        <f t="shared" si="62"/>
        <v/>
      </c>
      <c r="BI45" s="108" t="str">
        <f t="shared" si="63"/>
        <v/>
      </c>
      <c r="BJ45" s="130"/>
      <c r="BK45" s="105">
        <v>15</v>
      </c>
      <c r="BL45" s="105">
        <v>9</v>
      </c>
      <c r="BM45" s="105">
        <v>6</v>
      </c>
      <c r="BN45" s="105">
        <v>15</v>
      </c>
      <c r="BO45" s="97">
        <f t="shared" si="64"/>
        <v>45</v>
      </c>
      <c r="BP45" s="106" t="str">
        <f>IFERROR(IF(BO45=0,"",ROUND((BO45/SUM(SETTINGS!$L$14:$L$17))*SETTINGS!$L$18,0)),"")</f>
        <v/>
      </c>
      <c r="BQ45" s="105">
        <v>63</v>
      </c>
      <c r="BR45" s="106" t="str">
        <f>IFERROR(IF(ISBLANK(BQ45),"",ROUND((BQ45/SETTINGS!$L$19)*SETTINGS!$L$20,0)),"")</f>
        <v/>
      </c>
      <c r="BS45" s="106" t="str">
        <f t="shared" si="65"/>
        <v/>
      </c>
      <c r="BT45" s="103" t="str">
        <f t="shared" si="66"/>
        <v/>
      </c>
      <c r="BU45" s="107" t="str">
        <f t="shared" si="67"/>
        <v/>
      </c>
      <c r="BV45" s="130"/>
      <c r="BW45" s="105">
        <v>15</v>
      </c>
      <c r="BX45" s="105">
        <v>13</v>
      </c>
      <c r="BY45" s="105">
        <v>12</v>
      </c>
      <c r="BZ45" s="105">
        <v>15</v>
      </c>
      <c r="CA45" s="97">
        <f t="shared" si="68"/>
        <v>55</v>
      </c>
      <c r="CB45" s="106" t="str">
        <f>IFERROR(IF(CA45=0,"",ROUND((CA45/SUM(SETTINGS!$L$14:$L$17))*SETTINGS!$L$18,0)),"")</f>
        <v/>
      </c>
      <c r="CC45" s="105">
        <v>69</v>
      </c>
      <c r="CD45" s="106" t="str">
        <f>IFERROR(IF(ISBLANK(CC45),"",ROUND((CC45/SETTINGS!$L$19)*SETTINGS!$L$20,0)),"")</f>
        <v/>
      </c>
      <c r="CE45" s="106" t="str">
        <f t="shared" si="69"/>
        <v/>
      </c>
      <c r="CF45" s="103" t="str">
        <f t="shared" si="70"/>
        <v/>
      </c>
      <c r="CG45" s="107" t="str">
        <f t="shared" si="71"/>
        <v/>
      </c>
      <c r="CH45" s="130"/>
      <c r="CI45" s="105">
        <v>15</v>
      </c>
      <c r="CJ45" s="105">
        <v>15</v>
      </c>
      <c r="CK45" s="105">
        <v>14</v>
      </c>
      <c r="CL45" s="105">
        <v>13</v>
      </c>
      <c r="CM45" s="97">
        <f t="shared" si="72"/>
        <v>57</v>
      </c>
      <c r="CN45" s="106" t="str">
        <f>IFERROR(IF(CM45=0,"",ROUND((CM45/SUM(SETTINGS!$L$14:$L$17))*SETTINGS!$L$18,0)),"")</f>
        <v/>
      </c>
      <c r="CO45" s="105">
        <v>40</v>
      </c>
      <c r="CP45" s="106" t="str">
        <f>IFERROR(IF(ISBLANK(CO45),"",ROUND((CO45/SETTINGS!$L$19)*SETTINGS!$L$20,0)),"")</f>
        <v/>
      </c>
      <c r="CQ45" s="106" t="str">
        <f t="shared" si="73"/>
        <v/>
      </c>
      <c r="CR45" s="103" t="str">
        <f t="shared" si="74"/>
        <v/>
      </c>
      <c r="CS45" s="107" t="str">
        <f t="shared" si="75"/>
        <v/>
      </c>
      <c r="CT45" s="130"/>
      <c r="CU45" s="105">
        <v>13</v>
      </c>
      <c r="CV45" s="105">
        <v>9</v>
      </c>
      <c r="CW45" s="105">
        <v>8</v>
      </c>
      <c r="CX45" s="105">
        <v>9</v>
      </c>
      <c r="CY45" s="97">
        <f t="shared" si="76"/>
        <v>39</v>
      </c>
      <c r="CZ45" s="106" t="str">
        <f>IFERROR(IF(CY45=0,"",ROUND((CY45/SUM(SETTINGS!$L$14:$L$17))*SETTINGS!$L$18,0)),"")</f>
        <v/>
      </c>
      <c r="DA45" s="105">
        <v>43</v>
      </c>
      <c r="DB45" s="106" t="str">
        <f>IFERROR(IF(ISBLANK(DA45),"",ROUND((DA45/SETTINGS!$L$19)*SETTINGS!$L$20,0)),"")</f>
        <v/>
      </c>
      <c r="DC45" s="106" t="str">
        <f t="shared" si="77"/>
        <v/>
      </c>
      <c r="DD45" s="103" t="str">
        <f t="shared" si="78"/>
        <v/>
      </c>
      <c r="DE45" s="107" t="str">
        <f t="shared" si="79"/>
        <v/>
      </c>
      <c r="DF45" s="103" t="str">
        <f t="shared" si="80"/>
        <v/>
      </c>
      <c r="DG45" s="103" t="str">
        <f>IFERROR(IF(AND(K45,W45,AI45,AU45,BG45,BS45,CE45,CQ45,DC45)="","",SUM(K45,W45,AI45,AU45,LARGE((BG45,BS45,CE45,CQ45,DC45),{1,2}))),"")</f>
        <v/>
      </c>
      <c r="DH45" s="103" t="str">
        <f>IFERROR(IF(AND(M45,Y45,AK45,AW45,,BI45,BU45,CG45,CS45,DE45)="","",SUM(M45,Y45,AK45,AW45,SMALL((BI45,BU45,CG45,CS45,DE45),{1,2}))),"")</f>
        <v/>
      </c>
      <c r="DI45" s="109" t="str">
        <f>IFERROR(pos&amp;IF(AND(MOD(ABS(18),100)&gt;10,MOD(ABS(pos),100)&lt;14),"th", CHOOSE(MOD(ABS(pos),10)+1,"th","st","nd","rd","th","th","th","th","th","th")),"")</f>
        <v/>
      </c>
      <c r="DJ45" s="62">
        <f>ROWS($B$12:$B45)</f>
        <v>34</v>
      </c>
      <c r="DK45" s="62" t="str">
        <f>IF($B45=REPORT_CARD!$M$12,$DJ45,"")</f>
        <v/>
      </c>
      <c r="DM45" s="65"/>
    </row>
    <row r="46" spans="1:117" ht="19.5" customHeight="1">
      <c r="A46" s="140" t="str">
        <f>IFERROR(IF(ISBLANK(#REF!),"",#REF!),"")</f>
        <v/>
      </c>
      <c r="B46" s="140" t="str">
        <f>IFERROR(IF(ISBLANK(#REF!),"",#REF!),"")</f>
        <v/>
      </c>
      <c r="C46" s="105">
        <v>12</v>
      </c>
      <c r="D46" s="105">
        <v>15</v>
      </c>
      <c r="E46" s="105">
        <v>15</v>
      </c>
      <c r="F46" s="105">
        <v>10</v>
      </c>
      <c r="G46" s="97">
        <f t="shared" si="44"/>
        <v>52</v>
      </c>
      <c r="H46" s="106" t="str">
        <f>IFERROR(IF(G46=0,"",ROUND((G46/SUM(SETTINGS!$L$14:$L$17))*SETTINGS!$L$18,0)),"")</f>
        <v/>
      </c>
      <c r="I46" s="105">
        <v>44</v>
      </c>
      <c r="J46" s="106" t="str">
        <f>IFERROR(IF(ISBLANK(I46),"",ROUND((I46/SETTINGS!$L$19)*SETTINGS!$L$20,0)),"")</f>
        <v/>
      </c>
      <c r="K46" s="106" t="str">
        <f t="shared" si="45"/>
        <v/>
      </c>
      <c r="L46" s="103" t="str">
        <f t="shared" si="46"/>
        <v/>
      </c>
      <c r="M46" s="107" t="str">
        <f t="shared" si="47"/>
        <v/>
      </c>
      <c r="N46" s="136"/>
      <c r="O46" s="105">
        <v>15</v>
      </c>
      <c r="P46" s="105">
        <v>13</v>
      </c>
      <c r="Q46" s="105">
        <v>13</v>
      </c>
      <c r="R46" s="105">
        <v>13</v>
      </c>
      <c r="S46" s="97">
        <f t="shared" si="48"/>
        <v>54</v>
      </c>
      <c r="T46" s="106" t="str">
        <f>IFERROR(IF(S46=0,"",ROUND((S46/SUM(SETTINGS!$L$14:$L$17))*SETTINGS!$L$18,0)),"")</f>
        <v/>
      </c>
      <c r="U46" s="105">
        <v>62</v>
      </c>
      <c r="V46" s="106" t="str">
        <f>IFERROR(IF(ISBLANK(U46),"",ROUND((U46/SETTINGS!$L$19)*SETTINGS!$L$20,0)),"")</f>
        <v/>
      </c>
      <c r="W46" s="106" t="str">
        <f t="shared" si="49"/>
        <v/>
      </c>
      <c r="X46" s="103" t="str">
        <f t="shared" si="50"/>
        <v/>
      </c>
      <c r="Y46" s="107" t="str">
        <f t="shared" si="51"/>
        <v/>
      </c>
      <c r="Z46" s="130"/>
      <c r="AA46" s="105">
        <v>15</v>
      </c>
      <c r="AB46" s="105">
        <v>10</v>
      </c>
      <c r="AC46" s="105">
        <v>10</v>
      </c>
      <c r="AD46" s="105">
        <v>12</v>
      </c>
      <c r="AE46" s="97">
        <f t="shared" si="52"/>
        <v>47</v>
      </c>
      <c r="AF46" s="106" t="str">
        <f>IFERROR(IF(AE46=0,"",ROUND((AE46/SUM(SETTINGS!$L$14:$L$17))*SETTINGS!$L$18,0)),"")</f>
        <v/>
      </c>
      <c r="AG46" s="105">
        <v>73</v>
      </c>
      <c r="AH46" s="106" t="str">
        <f>IFERROR(IF(ISBLANK(AG46),"",ROUND((AG46/SETTINGS!$L$19)*SETTINGS!$L$20,0)),"")</f>
        <v/>
      </c>
      <c r="AI46" s="106" t="str">
        <f t="shared" si="53"/>
        <v/>
      </c>
      <c r="AJ46" s="103" t="str">
        <f t="shared" si="54"/>
        <v/>
      </c>
      <c r="AK46" s="108" t="str">
        <f t="shared" si="55"/>
        <v/>
      </c>
      <c r="AL46" s="130"/>
      <c r="AM46" s="105">
        <v>10</v>
      </c>
      <c r="AN46" s="105">
        <v>11</v>
      </c>
      <c r="AO46" s="105">
        <v>9</v>
      </c>
      <c r="AP46" s="105">
        <v>15</v>
      </c>
      <c r="AQ46" s="97">
        <f t="shared" si="56"/>
        <v>45</v>
      </c>
      <c r="AR46" s="106" t="str">
        <f>IFERROR(IF(AQ46=0,"",ROUND((AQ46/SUM(SETTINGS!$L$14:$L$17))*SETTINGS!$L$18,0)),"")</f>
        <v/>
      </c>
      <c r="AS46" s="105">
        <v>47</v>
      </c>
      <c r="AT46" s="106" t="str">
        <f>IFERROR(IF(ISBLANK(AS46),"",ROUND((AS46/SETTINGS!$L$19)*SETTINGS!$L$20,0)),"")</f>
        <v/>
      </c>
      <c r="AU46" s="106" t="str">
        <f t="shared" si="57"/>
        <v/>
      </c>
      <c r="AV46" s="103" t="str">
        <f t="shared" si="58"/>
        <v/>
      </c>
      <c r="AW46" s="107" t="str">
        <f t="shared" si="59"/>
        <v/>
      </c>
      <c r="AX46" s="130"/>
      <c r="AY46" s="105">
        <v>15</v>
      </c>
      <c r="AZ46" s="105">
        <v>11</v>
      </c>
      <c r="BA46" s="105">
        <v>10</v>
      </c>
      <c r="BB46" s="105">
        <v>10</v>
      </c>
      <c r="BC46" s="97">
        <f t="shared" si="60"/>
        <v>46</v>
      </c>
      <c r="BD46" s="106" t="str">
        <f>IFERROR(IF(BC46=0,"",ROUND((BC46/SUM(SETTINGS!$L$14:$L$17))*SETTINGS!$L$18,0)),"")</f>
        <v/>
      </c>
      <c r="BE46" s="105">
        <v>85</v>
      </c>
      <c r="BF46" s="106" t="str">
        <f>IFERROR(IF(ISBLANK(BE46),"",ROUND((BE46/SETTINGS!$L$19)*SETTINGS!$L$20,0)),"")</f>
        <v/>
      </c>
      <c r="BG46" s="106" t="str">
        <f t="shared" si="61"/>
        <v/>
      </c>
      <c r="BH46" s="103" t="str">
        <f t="shared" si="62"/>
        <v/>
      </c>
      <c r="BI46" s="108" t="str">
        <f t="shared" si="63"/>
        <v/>
      </c>
      <c r="BJ46" s="130"/>
      <c r="BK46" s="105">
        <v>15</v>
      </c>
      <c r="BL46" s="105">
        <v>15</v>
      </c>
      <c r="BM46" s="105">
        <v>5</v>
      </c>
      <c r="BN46" s="105">
        <v>15</v>
      </c>
      <c r="BO46" s="97">
        <f t="shared" si="64"/>
        <v>50</v>
      </c>
      <c r="BP46" s="106" t="str">
        <f>IFERROR(IF(BO46=0,"",ROUND((BO46/SUM(SETTINGS!$L$14:$L$17))*SETTINGS!$L$18,0)),"")</f>
        <v/>
      </c>
      <c r="BQ46" s="105">
        <v>51</v>
      </c>
      <c r="BR46" s="106" t="str">
        <f>IFERROR(IF(ISBLANK(BQ46),"",ROUND((BQ46/SETTINGS!$L$19)*SETTINGS!$L$20,0)),"")</f>
        <v/>
      </c>
      <c r="BS46" s="106" t="str">
        <f t="shared" si="65"/>
        <v/>
      </c>
      <c r="BT46" s="103" t="str">
        <f t="shared" si="66"/>
        <v/>
      </c>
      <c r="BU46" s="107" t="str">
        <f t="shared" si="67"/>
        <v/>
      </c>
      <c r="BV46" s="130"/>
      <c r="BW46" s="105">
        <v>13</v>
      </c>
      <c r="BX46" s="105">
        <v>13</v>
      </c>
      <c r="BY46" s="105">
        <v>14</v>
      </c>
      <c r="BZ46" s="105">
        <v>15</v>
      </c>
      <c r="CA46" s="97">
        <f t="shared" si="68"/>
        <v>55</v>
      </c>
      <c r="CB46" s="106" t="str">
        <f>IFERROR(IF(CA46=0,"",ROUND((CA46/SUM(SETTINGS!$L$14:$L$17))*SETTINGS!$L$18,0)),"")</f>
        <v/>
      </c>
      <c r="CC46" s="105">
        <v>71</v>
      </c>
      <c r="CD46" s="106" t="str">
        <f>IFERROR(IF(ISBLANK(CC46),"",ROUND((CC46/SETTINGS!$L$19)*SETTINGS!$L$20,0)),"")</f>
        <v/>
      </c>
      <c r="CE46" s="106" t="str">
        <f t="shared" si="69"/>
        <v/>
      </c>
      <c r="CF46" s="103" t="str">
        <f t="shared" si="70"/>
        <v/>
      </c>
      <c r="CG46" s="107" t="str">
        <f t="shared" si="71"/>
        <v/>
      </c>
      <c r="CH46" s="130"/>
      <c r="CI46" s="105">
        <v>14</v>
      </c>
      <c r="CJ46" s="105">
        <v>13</v>
      </c>
      <c r="CK46" s="105">
        <v>15</v>
      </c>
      <c r="CL46" s="105">
        <v>14</v>
      </c>
      <c r="CM46" s="97">
        <f t="shared" si="72"/>
        <v>56</v>
      </c>
      <c r="CN46" s="106" t="str">
        <f>IFERROR(IF(CM46=0,"",ROUND((CM46/SUM(SETTINGS!$L$14:$L$17))*SETTINGS!$L$18,0)),"")</f>
        <v/>
      </c>
      <c r="CO46" s="105">
        <v>63</v>
      </c>
      <c r="CP46" s="106" t="str">
        <f>IFERROR(IF(ISBLANK(CO46),"",ROUND((CO46/SETTINGS!$L$19)*SETTINGS!$L$20,0)),"")</f>
        <v/>
      </c>
      <c r="CQ46" s="106" t="str">
        <f t="shared" si="73"/>
        <v/>
      </c>
      <c r="CR46" s="103" t="str">
        <f t="shared" si="74"/>
        <v/>
      </c>
      <c r="CS46" s="107" t="str">
        <f t="shared" si="75"/>
        <v/>
      </c>
      <c r="CT46" s="130"/>
      <c r="CU46" s="105">
        <v>12</v>
      </c>
      <c r="CV46" s="105">
        <v>6</v>
      </c>
      <c r="CW46" s="105">
        <v>14</v>
      </c>
      <c r="CX46" s="105">
        <v>6</v>
      </c>
      <c r="CY46" s="97">
        <f t="shared" si="76"/>
        <v>38</v>
      </c>
      <c r="CZ46" s="106" t="str">
        <f>IFERROR(IF(CY46=0,"",ROUND((CY46/SUM(SETTINGS!$L$14:$L$17))*SETTINGS!$L$18,0)),"")</f>
        <v/>
      </c>
      <c r="DA46" s="105">
        <v>52</v>
      </c>
      <c r="DB46" s="106" t="str">
        <f>IFERROR(IF(ISBLANK(DA46),"",ROUND((DA46/SETTINGS!$L$19)*SETTINGS!$L$20,0)),"")</f>
        <v/>
      </c>
      <c r="DC46" s="106" t="str">
        <f t="shared" si="77"/>
        <v/>
      </c>
      <c r="DD46" s="103" t="str">
        <f t="shared" si="78"/>
        <v/>
      </c>
      <c r="DE46" s="107" t="str">
        <f t="shared" si="79"/>
        <v/>
      </c>
      <c r="DF46" s="103" t="str">
        <f t="shared" si="80"/>
        <v/>
      </c>
      <c r="DG46" s="103" t="str">
        <f>IFERROR(IF(AND(K46,W46,AI46,AU46,BG46,BS46,CE46,CQ46,DC46)="","",SUM(K46,W46,AI46,AU46,LARGE((BG46,BS46,CE46,CQ46,DC46),{1,2}))),"")</f>
        <v/>
      </c>
      <c r="DH46" s="103" t="str">
        <f>IFERROR(IF(AND(M46,Y46,AK46,AW46,,BI46,BU46,CG46,CS46,DE46)="","",SUM(M46,Y46,AK46,AW46,SMALL((BI46,BU46,CG46,CS46,DE46),{1,2}))),"")</f>
        <v/>
      </c>
      <c r="DI46" s="109" t="str">
        <f>IFERROR(pos&amp;IF(AND(MOD(ABS(18),100)&gt;10,MOD(ABS(pos),100)&lt;14),"th", CHOOSE(MOD(ABS(pos),10)+1,"th","st","nd","rd","th","th","th","th","th","th")),"")</f>
        <v/>
      </c>
      <c r="DJ46" s="62">
        <f>ROWS($B$12:$B46)</f>
        <v>35</v>
      </c>
      <c r="DK46" s="62" t="str">
        <f>IF($B46=REPORT_CARD!$M$12,$DJ46,"")</f>
        <v/>
      </c>
      <c r="DM46" s="65"/>
    </row>
    <row r="47" spans="1:117" ht="19.5" customHeight="1">
      <c r="A47" s="140" t="str">
        <f>IFERROR(IF(ISBLANK(#REF!),"",#REF!),"")</f>
        <v/>
      </c>
      <c r="B47" s="140" t="str">
        <f>IFERROR(IF(ISBLANK(#REF!),"",#REF!),"")</f>
        <v/>
      </c>
      <c r="C47" s="105">
        <v>12</v>
      </c>
      <c r="D47" s="105">
        <v>14</v>
      </c>
      <c r="E47" s="105">
        <v>10</v>
      </c>
      <c r="F47" s="105">
        <v>12</v>
      </c>
      <c r="G47" s="97">
        <f t="shared" si="44"/>
        <v>48</v>
      </c>
      <c r="H47" s="106" t="str">
        <f>IFERROR(IF(G47=0,"",ROUND((G47/SUM(SETTINGS!$L$14:$L$17))*SETTINGS!$L$18,0)),"")</f>
        <v/>
      </c>
      <c r="I47" s="105">
        <v>28</v>
      </c>
      <c r="J47" s="106" t="str">
        <f>IFERROR(IF(ISBLANK(I47),"",ROUND((I47/SETTINGS!$L$19)*SETTINGS!$L$20,0)),"")</f>
        <v/>
      </c>
      <c r="K47" s="106" t="str">
        <f t="shared" si="45"/>
        <v/>
      </c>
      <c r="L47" s="103" t="str">
        <f t="shared" si="46"/>
        <v/>
      </c>
      <c r="M47" s="107" t="str">
        <f t="shared" si="47"/>
        <v/>
      </c>
      <c r="N47" s="136"/>
      <c r="O47" s="105">
        <v>5</v>
      </c>
      <c r="P47" s="105">
        <v>13</v>
      </c>
      <c r="Q47" s="105">
        <v>5</v>
      </c>
      <c r="R47" s="105">
        <v>5</v>
      </c>
      <c r="S47" s="97">
        <f t="shared" si="48"/>
        <v>28</v>
      </c>
      <c r="T47" s="106" t="str">
        <f>IFERROR(IF(S47=0,"",ROUND((S47/SUM(SETTINGS!$L$14:$L$17))*SETTINGS!$L$18,0)),"")</f>
        <v/>
      </c>
      <c r="U47" s="105">
        <v>29</v>
      </c>
      <c r="V47" s="106" t="str">
        <f>IFERROR(IF(ISBLANK(U47),"",ROUND((U47/SETTINGS!$L$19)*SETTINGS!$L$20,0)),"")</f>
        <v/>
      </c>
      <c r="W47" s="106" t="str">
        <f t="shared" si="49"/>
        <v/>
      </c>
      <c r="X47" s="103" t="str">
        <f t="shared" si="50"/>
        <v/>
      </c>
      <c r="Y47" s="107" t="str">
        <f t="shared" si="51"/>
        <v/>
      </c>
      <c r="Z47" s="130"/>
      <c r="AA47" s="105">
        <v>6</v>
      </c>
      <c r="AB47" s="105">
        <v>10</v>
      </c>
      <c r="AC47" s="105">
        <v>10</v>
      </c>
      <c r="AD47" s="105">
        <v>14</v>
      </c>
      <c r="AE47" s="97">
        <f t="shared" si="52"/>
        <v>40</v>
      </c>
      <c r="AF47" s="106" t="str">
        <f>IFERROR(IF(AE47=0,"",ROUND((AE47/SUM(SETTINGS!$L$14:$L$17))*SETTINGS!$L$18,0)),"")</f>
        <v/>
      </c>
      <c r="AG47" s="105">
        <v>39</v>
      </c>
      <c r="AH47" s="106" t="str">
        <f>IFERROR(IF(ISBLANK(AG47),"",ROUND((AG47/SETTINGS!$L$19)*SETTINGS!$L$20,0)),"")</f>
        <v/>
      </c>
      <c r="AI47" s="106" t="str">
        <f t="shared" si="53"/>
        <v/>
      </c>
      <c r="AJ47" s="103" t="str">
        <f t="shared" si="54"/>
        <v/>
      </c>
      <c r="AK47" s="108" t="str">
        <f t="shared" si="55"/>
        <v/>
      </c>
      <c r="AL47" s="130"/>
      <c r="AM47" s="105">
        <v>10</v>
      </c>
      <c r="AN47" s="105">
        <v>6</v>
      </c>
      <c r="AO47" s="105">
        <v>7</v>
      </c>
      <c r="AP47" s="105">
        <v>14</v>
      </c>
      <c r="AQ47" s="97">
        <f t="shared" si="56"/>
        <v>37</v>
      </c>
      <c r="AR47" s="106" t="str">
        <f>IFERROR(IF(AQ47=0,"",ROUND((AQ47/SUM(SETTINGS!$L$14:$L$17))*SETTINGS!$L$18,0)),"")</f>
        <v/>
      </c>
      <c r="AS47" s="105">
        <v>25</v>
      </c>
      <c r="AT47" s="106" t="str">
        <f>IFERROR(IF(ISBLANK(AS47),"",ROUND((AS47/SETTINGS!$L$19)*SETTINGS!$L$20,0)),"")</f>
        <v/>
      </c>
      <c r="AU47" s="106" t="str">
        <f t="shared" si="57"/>
        <v/>
      </c>
      <c r="AV47" s="103" t="str">
        <f t="shared" si="58"/>
        <v/>
      </c>
      <c r="AW47" s="107" t="str">
        <f t="shared" si="59"/>
        <v/>
      </c>
      <c r="AX47" s="130"/>
      <c r="AY47" s="105">
        <v>10</v>
      </c>
      <c r="AZ47" s="105">
        <v>10</v>
      </c>
      <c r="BA47" s="105">
        <v>12</v>
      </c>
      <c r="BB47" s="105">
        <v>12</v>
      </c>
      <c r="BC47" s="97">
        <f t="shared" si="60"/>
        <v>44</v>
      </c>
      <c r="BD47" s="106" t="str">
        <f>IFERROR(IF(BC47=0,"",ROUND((BC47/SUM(SETTINGS!$L$14:$L$17))*SETTINGS!$L$18,0)),"")</f>
        <v/>
      </c>
      <c r="BE47" s="105">
        <v>30</v>
      </c>
      <c r="BF47" s="106" t="str">
        <f>IFERROR(IF(ISBLANK(BE47),"",ROUND((BE47/SETTINGS!$L$19)*SETTINGS!$L$20,0)),"")</f>
        <v/>
      </c>
      <c r="BG47" s="106" t="str">
        <f t="shared" si="61"/>
        <v/>
      </c>
      <c r="BH47" s="103" t="str">
        <f t="shared" si="62"/>
        <v/>
      </c>
      <c r="BI47" s="108" t="str">
        <f t="shared" si="63"/>
        <v/>
      </c>
      <c r="BJ47" s="130"/>
      <c r="BK47" s="105">
        <v>15</v>
      </c>
      <c r="BL47" s="105">
        <v>8</v>
      </c>
      <c r="BM47" s="105">
        <v>2</v>
      </c>
      <c r="BN47" s="105">
        <v>15</v>
      </c>
      <c r="BO47" s="97">
        <f t="shared" si="64"/>
        <v>40</v>
      </c>
      <c r="BP47" s="106" t="str">
        <f>IFERROR(IF(BO47=0,"",ROUND((BO47/SUM(SETTINGS!$L$14:$L$17))*SETTINGS!$L$18,0)),"")</f>
        <v/>
      </c>
      <c r="BQ47" s="105">
        <v>27</v>
      </c>
      <c r="BR47" s="106" t="str">
        <f>IFERROR(IF(ISBLANK(BQ47),"",ROUND((BQ47/SETTINGS!$L$19)*SETTINGS!$L$20,0)),"")</f>
        <v/>
      </c>
      <c r="BS47" s="106" t="str">
        <f t="shared" si="65"/>
        <v/>
      </c>
      <c r="BT47" s="103" t="str">
        <f t="shared" si="66"/>
        <v/>
      </c>
      <c r="BU47" s="107" t="str">
        <f t="shared" si="67"/>
        <v/>
      </c>
      <c r="BV47" s="130"/>
      <c r="BW47" s="105">
        <v>13</v>
      </c>
      <c r="BX47" s="105">
        <v>9</v>
      </c>
      <c r="BY47" s="105">
        <v>13</v>
      </c>
      <c r="BZ47" s="105">
        <v>6</v>
      </c>
      <c r="CA47" s="97">
        <f t="shared" si="68"/>
        <v>41</v>
      </c>
      <c r="CB47" s="106" t="str">
        <f>IFERROR(IF(CA47=0,"",ROUND((CA47/SUM(SETTINGS!$L$14:$L$17))*SETTINGS!$L$18,0)),"")</f>
        <v/>
      </c>
      <c r="CC47" s="105">
        <v>26</v>
      </c>
      <c r="CD47" s="106" t="str">
        <f>IFERROR(IF(ISBLANK(CC47),"",ROUND((CC47/SETTINGS!$L$19)*SETTINGS!$L$20,0)),"")</f>
        <v/>
      </c>
      <c r="CE47" s="106" t="str">
        <f t="shared" si="69"/>
        <v/>
      </c>
      <c r="CF47" s="103" t="str">
        <f t="shared" si="70"/>
        <v/>
      </c>
      <c r="CG47" s="107" t="str">
        <f t="shared" si="71"/>
        <v/>
      </c>
      <c r="CH47" s="130"/>
      <c r="CI47" s="105">
        <v>8</v>
      </c>
      <c r="CJ47" s="105">
        <v>13</v>
      </c>
      <c r="CK47" s="105">
        <v>8</v>
      </c>
      <c r="CL47" s="105">
        <v>10</v>
      </c>
      <c r="CM47" s="97">
        <f t="shared" si="72"/>
        <v>39</v>
      </c>
      <c r="CN47" s="106" t="str">
        <f>IFERROR(IF(CM47=0,"",ROUND((CM47/SUM(SETTINGS!$L$14:$L$17))*SETTINGS!$L$18,0)),"")</f>
        <v/>
      </c>
      <c r="CO47" s="105">
        <v>17</v>
      </c>
      <c r="CP47" s="106" t="str">
        <f>IFERROR(IF(ISBLANK(CO47),"",ROUND((CO47/SETTINGS!$L$19)*SETTINGS!$L$20,0)),"")</f>
        <v/>
      </c>
      <c r="CQ47" s="106" t="str">
        <f t="shared" si="73"/>
        <v/>
      </c>
      <c r="CR47" s="103" t="str">
        <f t="shared" si="74"/>
        <v/>
      </c>
      <c r="CS47" s="107" t="str">
        <f t="shared" si="75"/>
        <v/>
      </c>
      <c r="CT47" s="130"/>
      <c r="CU47" s="105">
        <v>11</v>
      </c>
      <c r="CV47" s="105">
        <v>7</v>
      </c>
      <c r="CW47" s="105">
        <v>12</v>
      </c>
      <c r="CX47" s="105">
        <v>8</v>
      </c>
      <c r="CY47" s="97">
        <f t="shared" si="76"/>
        <v>38</v>
      </c>
      <c r="CZ47" s="106" t="str">
        <f>IFERROR(IF(CY47=0,"",ROUND((CY47/SUM(SETTINGS!$L$14:$L$17))*SETTINGS!$L$18,0)),"")</f>
        <v/>
      </c>
      <c r="DA47" s="105">
        <v>26</v>
      </c>
      <c r="DB47" s="106" t="str">
        <f>IFERROR(IF(ISBLANK(DA47),"",ROUND((DA47/SETTINGS!$L$19)*SETTINGS!$L$20,0)),"")</f>
        <v/>
      </c>
      <c r="DC47" s="106" t="str">
        <f t="shared" si="77"/>
        <v/>
      </c>
      <c r="DD47" s="103" t="str">
        <f t="shared" si="78"/>
        <v/>
      </c>
      <c r="DE47" s="107" t="str">
        <f t="shared" si="79"/>
        <v/>
      </c>
      <c r="DF47" s="103" t="str">
        <f t="shared" si="80"/>
        <v/>
      </c>
      <c r="DG47" s="103" t="str">
        <f>IFERROR(IF(AND(K47,W47,AI47,AU47,BG47,BS47,CE47,CQ47,DC47)="","",SUM(K47,W47,AI47,AU47,LARGE((BG47,BS47,CE47,CQ47,DC47),{1,2}))),"")</f>
        <v/>
      </c>
      <c r="DH47" s="103" t="str">
        <f>IFERROR(IF(AND(M47,Y47,AK47,AW47,,BI47,BU47,CG47,CS47,DE47)="","",SUM(M47,Y47,AK47,AW47,SMALL((BI47,BU47,CG47,CS47,DE47),{1,2}))),"")</f>
        <v/>
      </c>
      <c r="DI47" s="109" t="str">
        <f>IFERROR(pos&amp;IF(AND(MOD(ABS(18),100)&gt;10,MOD(ABS(pos),100)&lt;14),"th", CHOOSE(MOD(ABS(pos),10)+1,"th","st","nd","rd","th","th","th","th","th","th")),"")</f>
        <v/>
      </c>
      <c r="DJ47" s="62">
        <f>ROWS($B$12:$B47)</f>
        <v>36</v>
      </c>
      <c r="DK47" s="62" t="str">
        <f>IF($B47=REPORT_CARD!$M$12,$DJ47,"")</f>
        <v/>
      </c>
      <c r="DM47" s="65"/>
    </row>
    <row r="48" spans="1:117" ht="19.5" customHeight="1">
      <c r="A48" s="140" t="str">
        <f>IFERROR(IF(ISBLANK(#REF!),"",#REF!),"")</f>
        <v/>
      </c>
      <c r="B48" s="140" t="str">
        <f>IFERROR(IF(ISBLANK(#REF!),"",#REF!),"")</f>
        <v/>
      </c>
      <c r="C48" s="105">
        <v>15</v>
      </c>
      <c r="D48" s="105">
        <v>14</v>
      </c>
      <c r="E48" s="105">
        <v>10</v>
      </c>
      <c r="F48" s="105">
        <v>10</v>
      </c>
      <c r="G48" s="97">
        <f t="shared" si="44"/>
        <v>49</v>
      </c>
      <c r="H48" s="106" t="str">
        <f>IFERROR(IF(G48=0,"",ROUND((G48/SUM(SETTINGS!$L$14:$L$17))*SETTINGS!$L$18,0)),"")</f>
        <v/>
      </c>
      <c r="I48" s="105">
        <v>35</v>
      </c>
      <c r="J48" s="106" t="str">
        <f>IFERROR(IF(ISBLANK(I48),"",ROUND((I48/SETTINGS!$L$19)*SETTINGS!$L$20,0)),"")</f>
        <v/>
      </c>
      <c r="K48" s="106" t="str">
        <f t="shared" si="45"/>
        <v/>
      </c>
      <c r="L48" s="103" t="str">
        <f t="shared" si="46"/>
        <v/>
      </c>
      <c r="M48" s="107" t="str">
        <f t="shared" si="47"/>
        <v/>
      </c>
      <c r="N48" s="136"/>
      <c r="O48" s="105">
        <v>11</v>
      </c>
      <c r="P48" s="105">
        <v>13</v>
      </c>
      <c r="Q48" s="105">
        <v>5</v>
      </c>
      <c r="R48" s="105">
        <v>8</v>
      </c>
      <c r="S48" s="97">
        <f t="shared" si="48"/>
        <v>37</v>
      </c>
      <c r="T48" s="106" t="str">
        <f>IFERROR(IF(S48=0,"",ROUND((S48/SUM(SETTINGS!$L$14:$L$17))*SETTINGS!$L$18,0)),"")</f>
        <v/>
      </c>
      <c r="U48" s="105">
        <v>48</v>
      </c>
      <c r="V48" s="106" t="str">
        <f>IFERROR(IF(ISBLANK(U48),"",ROUND((U48/SETTINGS!$L$19)*SETTINGS!$L$20,0)),"")</f>
        <v/>
      </c>
      <c r="W48" s="106" t="str">
        <f t="shared" si="49"/>
        <v/>
      </c>
      <c r="X48" s="103" t="str">
        <f t="shared" si="50"/>
        <v/>
      </c>
      <c r="Y48" s="107" t="str">
        <f t="shared" si="51"/>
        <v/>
      </c>
      <c r="Z48" s="130"/>
      <c r="AA48" s="105">
        <v>6</v>
      </c>
      <c r="AB48" s="105">
        <v>10</v>
      </c>
      <c r="AC48" s="105">
        <v>12</v>
      </c>
      <c r="AD48" s="105">
        <v>9</v>
      </c>
      <c r="AE48" s="97">
        <f t="shared" si="52"/>
        <v>37</v>
      </c>
      <c r="AF48" s="106" t="str">
        <f>IFERROR(IF(AE48=0,"",ROUND((AE48/SUM(SETTINGS!$L$14:$L$17))*SETTINGS!$L$18,0)),"")</f>
        <v/>
      </c>
      <c r="AG48" s="105">
        <v>31</v>
      </c>
      <c r="AH48" s="106" t="str">
        <f>IFERROR(IF(ISBLANK(AG48),"",ROUND((AG48/SETTINGS!$L$19)*SETTINGS!$L$20,0)),"")</f>
        <v/>
      </c>
      <c r="AI48" s="106" t="str">
        <f t="shared" si="53"/>
        <v/>
      </c>
      <c r="AJ48" s="103" t="str">
        <f t="shared" si="54"/>
        <v/>
      </c>
      <c r="AK48" s="108" t="str">
        <f t="shared" si="55"/>
        <v/>
      </c>
      <c r="AL48" s="130"/>
      <c r="AM48" s="105">
        <v>7</v>
      </c>
      <c r="AN48" s="105">
        <v>9</v>
      </c>
      <c r="AO48" s="105">
        <v>14</v>
      </c>
      <c r="AP48" s="105">
        <v>14</v>
      </c>
      <c r="AQ48" s="97">
        <f t="shared" si="56"/>
        <v>44</v>
      </c>
      <c r="AR48" s="106" t="str">
        <f>IFERROR(IF(AQ48=0,"",ROUND((AQ48/SUM(SETTINGS!$L$14:$L$17))*SETTINGS!$L$18,0)),"")</f>
        <v/>
      </c>
      <c r="AS48" s="105">
        <v>30</v>
      </c>
      <c r="AT48" s="106" t="str">
        <f>IFERROR(IF(ISBLANK(AS48),"",ROUND((AS48/SETTINGS!$L$19)*SETTINGS!$L$20,0)),"")</f>
        <v/>
      </c>
      <c r="AU48" s="106" t="str">
        <f t="shared" si="57"/>
        <v/>
      </c>
      <c r="AV48" s="103" t="str">
        <f t="shared" si="58"/>
        <v/>
      </c>
      <c r="AW48" s="107" t="str">
        <f t="shared" si="59"/>
        <v/>
      </c>
      <c r="AX48" s="130"/>
      <c r="AY48" s="110">
        <v>11</v>
      </c>
      <c r="AZ48" s="110">
        <v>11</v>
      </c>
      <c r="BA48" s="110">
        <v>10</v>
      </c>
      <c r="BB48" s="110">
        <v>12</v>
      </c>
      <c r="BC48" s="97">
        <f t="shared" si="60"/>
        <v>44</v>
      </c>
      <c r="BD48" s="106" t="str">
        <f>IFERROR(IF(BC48=0,"",ROUND((BC48/SUM(SETTINGS!$L$14:$L$17))*SETTINGS!$L$18,0)),"")</f>
        <v/>
      </c>
      <c r="BE48" s="110">
        <v>59</v>
      </c>
      <c r="BF48" s="106" t="str">
        <f>IFERROR(IF(ISBLANK(BE48),"",ROUND((BE48/SETTINGS!$L$19)*SETTINGS!$L$20,0)),"")</f>
        <v/>
      </c>
      <c r="BG48" s="106" t="str">
        <f t="shared" si="61"/>
        <v/>
      </c>
      <c r="BH48" s="103" t="str">
        <f t="shared" si="62"/>
        <v/>
      </c>
      <c r="BI48" s="108" t="str">
        <f t="shared" si="63"/>
        <v/>
      </c>
      <c r="BJ48" s="130"/>
      <c r="BK48" s="105">
        <v>1</v>
      </c>
      <c r="BL48" s="105">
        <v>15</v>
      </c>
      <c r="BM48" s="105">
        <v>3</v>
      </c>
      <c r="BN48" s="105">
        <v>15</v>
      </c>
      <c r="BO48" s="97">
        <f t="shared" si="64"/>
        <v>34</v>
      </c>
      <c r="BP48" s="106" t="str">
        <f>IFERROR(IF(BO48=0,"",ROUND((BO48/SUM(SETTINGS!$L$14:$L$17))*SETTINGS!$L$18,0)),"")</f>
        <v/>
      </c>
      <c r="BQ48" s="105">
        <v>26</v>
      </c>
      <c r="BR48" s="106" t="str">
        <f>IFERROR(IF(ISBLANK(BQ48),"",ROUND((BQ48/SETTINGS!$L$19)*SETTINGS!$L$20,0)),"")</f>
        <v/>
      </c>
      <c r="BS48" s="106" t="str">
        <f t="shared" si="65"/>
        <v/>
      </c>
      <c r="BT48" s="103" t="str">
        <f t="shared" si="66"/>
        <v/>
      </c>
      <c r="BU48" s="107" t="str">
        <f t="shared" si="67"/>
        <v/>
      </c>
      <c r="BV48" s="130"/>
      <c r="BW48" s="105">
        <v>11</v>
      </c>
      <c r="BX48" s="105">
        <v>10</v>
      </c>
      <c r="BY48" s="105">
        <v>13</v>
      </c>
      <c r="BZ48" s="105">
        <v>10</v>
      </c>
      <c r="CA48" s="97">
        <f t="shared" si="68"/>
        <v>44</v>
      </c>
      <c r="CB48" s="106" t="str">
        <f>IFERROR(IF(CA48=0,"",ROUND((CA48/SUM(SETTINGS!$L$14:$L$17))*SETTINGS!$L$18,0)),"")</f>
        <v/>
      </c>
      <c r="CC48" s="105">
        <v>54</v>
      </c>
      <c r="CD48" s="106" t="str">
        <f>IFERROR(IF(ISBLANK(CC48),"",ROUND((CC48/SETTINGS!$L$19)*SETTINGS!$L$20,0)),"")</f>
        <v/>
      </c>
      <c r="CE48" s="106" t="str">
        <f t="shared" si="69"/>
        <v/>
      </c>
      <c r="CF48" s="103" t="str">
        <f t="shared" si="70"/>
        <v/>
      </c>
      <c r="CG48" s="107" t="str">
        <f t="shared" si="71"/>
        <v/>
      </c>
      <c r="CH48" s="130"/>
      <c r="CI48" s="105">
        <v>15</v>
      </c>
      <c r="CJ48" s="105">
        <v>13</v>
      </c>
      <c r="CK48" s="105">
        <v>7</v>
      </c>
      <c r="CL48" s="105">
        <v>13</v>
      </c>
      <c r="CM48" s="97">
        <f t="shared" si="72"/>
        <v>48</v>
      </c>
      <c r="CN48" s="106" t="str">
        <f>IFERROR(IF(CM48=0,"",ROUND((CM48/SUM(SETTINGS!$L$14:$L$17))*SETTINGS!$L$18,0)),"")</f>
        <v/>
      </c>
      <c r="CO48" s="105">
        <v>40</v>
      </c>
      <c r="CP48" s="106" t="str">
        <f>IFERROR(IF(ISBLANK(CO48),"",ROUND((CO48/SETTINGS!$L$19)*SETTINGS!$L$20,0)),"")</f>
        <v/>
      </c>
      <c r="CQ48" s="106" t="str">
        <f t="shared" si="73"/>
        <v/>
      </c>
      <c r="CR48" s="103" t="str">
        <f t="shared" si="74"/>
        <v/>
      </c>
      <c r="CS48" s="107" t="str">
        <f t="shared" si="75"/>
        <v/>
      </c>
      <c r="CT48" s="130"/>
      <c r="CU48" s="105">
        <v>9</v>
      </c>
      <c r="CV48" s="105">
        <v>15</v>
      </c>
      <c r="CW48" s="105">
        <v>9</v>
      </c>
      <c r="CX48" s="105">
        <v>11</v>
      </c>
      <c r="CY48" s="97">
        <f t="shared" si="76"/>
        <v>44</v>
      </c>
      <c r="CZ48" s="106" t="str">
        <f>IFERROR(IF(CY48=0,"",ROUND((CY48/SUM(SETTINGS!$L$14:$L$17))*SETTINGS!$L$18,0)),"")</f>
        <v/>
      </c>
      <c r="DA48" s="105">
        <v>27</v>
      </c>
      <c r="DB48" s="106" t="str">
        <f>IFERROR(IF(ISBLANK(DA48),"",ROUND((DA48/SETTINGS!$L$19)*SETTINGS!$L$20,0)),"")</f>
        <v/>
      </c>
      <c r="DC48" s="106" t="str">
        <f t="shared" si="77"/>
        <v/>
      </c>
      <c r="DD48" s="103" t="str">
        <f t="shared" si="78"/>
        <v/>
      </c>
      <c r="DE48" s="107" t="str">
        <f t="shared" si="79"/>
        <v/>
      </c>
      <c r="DF48" s="103" t="str">
        <f t="shared" si="80"/>
        <v/>
      </c>
      <c r="DG48" s="103" t="str">
        <f>IFERROR(IF(AND(K48,W48,AI48,AU48,BG48,BS48,CE48,CQ48,DC48)="","",SUM(K48,W48,AI48,AU48,LARGE((BG48,BS48,CE48,CQ48,DC48),{1,2}))),"")</f>
        <v/>
      </c>
      <c r="DH48" s="103" t="str">
        <f>IFERROR(IF(AND(M48,Y48,AK48,AW48,,BI48,BU48,CG48,CS48,DE48)="","",SUM(M48,Y48,AK48,AW48,SMALL((BI48,BU48,CG48,CS48,DE48),{1,2}))),"")</f>
        <v/>
      </c>
      <c r="DI48" s="109" t="str">
        <f>IFERROR(pos&amp;IF(AND(MOD(ABS(18),100)&gt;10,MOD(ABS(pos),100)&lt;14),"th", CHOOSE(MOD(ABS(pos),10)+1,"th","st","nd","rd","th","th","th","th","th","th")),"")</f>
        <v/>
      </c>
      <c r="DJ48" s="62">
        <f>ROWS($B$12:$B48)</f>
        <v>37</v>
      </c>
      <c r="DK48" s="62" t="str">
        <f>IF($B48=REPORT_CARD!$M$12,$DJ48,"")</f>
        <v/>
      </c>
      <c r="DM48" s="65"/>
    </row>
    <row r="49" spans="1:117" ht="19.5" customHeight="1">
      <c r="A49" s="140" t="str">
        <f>IFERROR(IF(ISBLANK(#REF!),"",#REF!),"")</f>
        <v/>
      </c>
      <c r="B49" s="140" t="str">
        <f>IFERROR(IF(ISBLANK(#REF!),"",#REF!),"")</f>
        <v/>
      </c>
      <c r="C49" s="105">
        <v>5</v>
      </c>
      <c r="D49" s="105">
        <v>5</v>
      </c>
      <c r="E49" s="105">
        <v>5</v>
      </c>
      <c r="F49" s="105">
        <v>5</v>
      </c>
      <c r="G49" s="97">
        <f t="shared" si="44"/>
        <v>20</v>
      </c>
      <c r="H49" s="106" t="str">
        <f>IFERROR(IF(G49=0,"",ROUND((G49/SUM(SETTINGS!$L$14:$L$17))*SETTINGS!$L$18,0)),"")</f>
        <v/>
      </c>
      <c r="I49" s="105">
        <v>54</v>
      </c>
      <c r="J49" s="106" t="str">
        <f>IFERROR(IF(ISBLANK(I49),"",ROUND((I49/SETTINGS!$L$19)*SETTINGS!$L$20,0)),"")</f>
        <v/>
      </c>
      <c r="K49" s="106" t="str">
        <f t="shared" si="45"/>
        <v/>
      </c>
      <c r="L49" s="103" t="str">
        <f t="shared" si="46"/>
        <v/>
      </c>
      <c r="M49" s="107" t="str">
        <f t="shared" si="47"/>
        <v/>
      </c>
      <c r="N49" s="136"/>
      <c r="O49" s="105">
        <v>9</v>
      </c>
      <c r="P49" s="105">
        <v>13</v>
      </c>
      <c r="Q49" s="105">
        <v>11</v>
      </c>
      <c r="R49" s="105">
        <v>10</v>
      </c>
      <c r="S49" s="97">
        <f t="shared" si="48"/>
        <v>43</v>
      </c>
      <c r="T49" s="106" t="str">
        <f>IFERROR(IF(S49=0,"",ROUND((S49/SUM(SETTINGS!$L$14:$L$17))*SETTINGS!$L$18,0)),"")</f>
        <v/>
      </c>
      <c r="U49" s="105">
        <v>36</v>
      </c>
      <c r="V49" s="106" t="str">
        <f>IFERROR(IF(ISBLANK(U49),"",ROUND((U49/SETTINGS!$L$19)*SETTINGS!$L$20,0)),"")</f>
        <v/>
      </c>
      <c r="W49" s="106" t="str">
        <f t="shared" si="49"/>
        <v/>
      </c>
      <c r="X49" s="103" t="str">
        <f t="shared" si="50"/>
        <v/>
      </c>
      <c r="Y49" s="107" t="str">
        <f t="shared" si="51"/>
        <v/>
      </c>
      <c r="Z49" s="130"/>
      <c r="AA49" s="105">
        <v>6</v>
      </c>
      <c r="AB49" s="105">
        <v>10</v>
      </c>
      <c r="AC49" s="105">
        <v>8</v>
      </c>
      <c r="AD49" s="105">
        <v>12</v>
      </c>
      <c r="AE49" s="97">
        <f t="shared" si="52"/>
        <v>36</v>
      </c>
      <c r="AF49" s="106" t="str">
        <f>IFERROR(IF(AE49=0,"",ROUND((AE49/SUM(SETTINGS!$L$14:$L$17))*SETTINGS!$L$18,0)),"")</f>
        <v/>
      </c>
      <c r="AG49" s="105">
        <v>57</v>
      </c>
      <c r="AH49" s="106" t="str">
        <f>IFERROR(IF(ISBLANK(AG49),"",ROUND((AG49/SETTINGS!$L$19)*SETTINGS!$L$20,0)),"")</f>
        <v/>
      </c>
      <c r="AI49" s="106" t="str">
        <f t="shared" si="53"/>
        <v/>
      </c>
      <c r="AJ49" s="103" t="str">
        <f t="shared" si="54"/>
        <v/>
      </c>
      <c r="AK49" s="108" t="str">
        <f t="shared" si="55"/>
        <v/>
      </c>
      <c r="AL49" s="130"/>
      <c r="AM49" s="105">
        <v>6</v>
      </c>
      <c r="AN49" s="105">
        <v>8</v>
      </c>
      <c r="AO49" s="105">
        <v>9</v>
      </c>
      <c r="AP49" s="105">
        <v>15</v>
      </c>
      <c r="AQ49" s="97">
        <f t="shared" si="56"/>
        <v>38</v>
      </c>
      <c r="AR49" s="106" t="str">
        <f>IFERROR(IF(AQ49=0,"",ROUND((AQ49/SUM(SETTINGS!$L$14:$L$17))*SETTINGS!$L$18,0)),"")</f>
        <v/>
      </c>
      <c r="AS49" s="105">
        <v>45</v>
      </c>
      <c r="AT49" s="106" t="str">
        <f>IFERROR(IF(ISBLANK(AS49),"",ROUND((AS49/SETTINGS!$L$19)*SETTINGS!$L$20,0)),"")</f>
        <v/>
      </c>
      <c r="AU49" s="106" t="str">
        <f t="shared" si="57"/>
        <v/>
      </c>
      <c r="AV49" s="103" t="str">
        <f t="shared" si="58"/>
        <v/>
      </c>
      <c r="AW49" s="107" t="str">
        <f t="shared" si="59"/>
        <v/>
      </c>
      <c r="AX49" s="130"/>
      <c r="AY49" s="105">
        <v>12</v>
      </c>
      <c r="AZ49" s="105">
        <v>10</v>
      </c>
      <c r="BA49" s="105">
        <v>12</v>
      </c>
      <c r="BB49" s="105">
        <v>15</v>
      </c>
      <c r="BC49" s="97">
        <f t="shared" si="60"/>
        <v>49</v>
      </c>
      <c r="BD49" s="106" t="str">
        <f>IFERROR(IF(BC49=0,"",ROUND((BC49/SUM(SETTINGS!$L$14:$L$17))*SETTINGS!$L$18,0)),"")</f>
        <v/>
      </c>
      <c r="BE49" s="105">
        <v>75</v>
      </c>
      <c r="BF49" s="106" t="str">
        <f>IFERROR(IF(ISBLANK(BE49),"",ROUND((BE49/SETTINGS!$L$19)*SETTINGS!$L$20,0)),"")</f>
        <v/>
      </c>
      <c r="BG49" s="106" t="str">
        <f t="shared" si="61"/>
        <v/>
      </c>
      <c r="BH49" s="103" t="str">
        <f t="shared" si="62"/>
        <v/>
      </c>
      <c r="BI49" s="108" t="str">
        <f t="shared" si="63"/>
        <v/>
      </c>
      <c r="BJ49" s="130"/>
      <c r="BK49" s="105">
        <v>14</v>
      </c>
      <c r="BL49" s="105">
        <v>6</v>
      </c>
      <c r="BM49" s="105">
        <v>7</v>
      </c>
      <c r="BN49" s="105">
        <v>15</v>
      </c>
      <c r="BO49" s="97">
        <f t="shared" si="64"/>
        <v>42</v>
      </c>
      <c r="BP49" s="106" t="str">
        <f>IFERROR(IF(BO49=0,"",ROUND((BO49/SUM(SETTINGS!$L$14:$L$17))*SETTINGS!$L$18,0)),"")</f>
        <v/>
      </c>
      <c r="BQ49" s="105">
        <v>45</v>
      </c>
      <c r="BR49" s="106" t="str">
        <f>IFERROR(IF(ISBLANK(BQ49),"",ROUND((BQ49/SETTINGS!$L$19)*SETTINGS!$L$20,0)),"")</f>
        <v/>
      </c>
      <c r="BS49" s="106" t="str">
        <f t="shared" si="65"/>
        <v/>
      </c>
      <c r="BT49" s="103" t="str">
        <f t="shared" si="66"/>
        <v/>
      </c>
      <c r="BU49" s="107" t="str">
        <f t="shared" si="67"/>
        <v/>
      </c>
      <c r="BV49" s="130"/>
      <c r="BW49" s="105">
        <v>14</v>
      </c>
      <c r="BX49" s="105">
        <v>12</v>
      </c>
      <c r="BY49" s="105">
        <v>13</v>
      </c>
      <c r="BZ49" s="105">
        <v>12</v>
      </c>
      <c r="CA49" s="97">
        <f t="shared" si="68"/>
        <v>51</v>
      </c>
      <c r="CB49" s="106" t="str">
        <f>IFERROR(IF(CA49=0,"",ROUND((CA49/SUM(SETTINGS!$L$14:$L$17))*SETTINGS!$L$18,0)),"")</f>
        <v/>
      </c>
      <c r="CC49" s="105">
        <v>75</v>
      </c>
      <c r="CD49" s="106" t="str">
        <f>IFERROR(IF(ISBLANK(CC49),"",ROUND((CC49/SETTINGS!$L$19)*SETTINGS!$L$20,0)),"")</f>
        <v/>
      </c>
      <c r="CE49" s="106" t="str">
        <f t="shared" si="69"/>
        <v/>
      </c>
      <c r="CF49" s="103" t="str">
        <f t="shared" si="70"/>
        <v/>
      </c>
      <c r="CG49" s="107" t="str">
        <f t="shared" si="71"/>
        <v/>
      </c>
      <c r="CH49" s="130"/>
      <c r="CI49" s="105">
        <v>14</v>
      </c>
      <c r="CJ49" s="105">
        <v>13</v>
      </c>
      <c r="CK49" s="105">
        <v>13</v>
      </c>
      <c r="CL49" s="105">
        <v>15</v>
      </c>
      <c r="CM49" s="97">
        <f t="shared" si="72"/>
        <v>55</v>
      </c>
      <c r="CN49" s="106" t="str">
        <f>IFERROR(IF(CM49=0,"",ROUND((CM49/SUM(SETTINGS!$L$14:$L$17))*SETTINGS!$L$18,0)),"")</f>
        <v/>
      </c>
      <c r="CO49" s="105">
        <v>39</v>
      </c>
      <c r="CP49" s="106" t="str">
        <f>IFERROR(IF(ISBLANK(CO49),"",ROUND((CO49/SETTINGS!$L$19)*SETTINGS!$L$20,0)),"")</f>
        <v/>
      </c>
      <c r="CQ49" s="106" t="str">
        <f t="shared" si="73"/>
        <v/>
      </c>
      <c r="CR49" s="103" t="str">
        <f t="shared" si="74"/>
        <v/>
      </c>
      <c r="CS49" s="107" t="str">
        <f t="shared" si="75"/>
        <v/>
      </c>
      <c r="CT49" s="130"/>
      <c r="CU49" s="105">
        <v>12</v>
      </c>
      <c r="CV49" s="105">
        <v>10</v>
      </c>
      <c r="CW49" s="105">
        <v>15</v>
      </c>
      <c r="CX49" s="105">
        <v>8</v>
      </c>
      <c r="CY49" s="97">
        <f t="shared" si="76"/>
        <v>45</v>
      </c>
      <c r="CZ49" s="106" t="str">
        <f>IFERROR(IF(CY49=0,"",ROUND((CY49/SUM(SETTINGS!$L$14:$L$17))*SETTINGS!$L$18,0)),"")</f>
        <v/>
      </c>
      <c r="DA49" s="105">
        <v>47</v>
      </c>
      <c r="DB49" s="106" t="str">
        <f>IFERROR(IF(ISBLANK(DA49),"",ROUND((DA49/SETTINGS!$L$19)*SETTINGS!$L$20,0)),"")</f>
        <v/>
      </c>
      <c r="DC49" s="106" t="str">
        <f t="shared" si="77"/>
        <v/>
      </c>
      <c r="DD49" s="103" t="str">
        <f t="shared" si="78"/>
        <v/>
      </c>
      <c r="DE49" s="107" t="str">
        <f t="shared" si="79"/>
        <v/>
      </c>
      <c r="DF49" s="103" t="str">
        <f t="shared" si="80"/>
        <v/>
      </c>
      <c r="DG49" s="103" t="str">
        <f>IFERROR(IF(AND(K49,W49,AI49,AU49,BG49,BS49,CE49,CQ49,DC49)="","",SUM(K49,W49,AI49,AU49,LARGE((BG49,BS49,CE49,CQ49,DC49),{1,2}))),"")</f>
        <v/>
      </c>
      <c r="DH49" s="103" t="str">
        <f>IFERROR(IF(AND(M49,Y49,AK49,AW49,,BI49,BU49,CG49,CS49,DE49)="","",SUM(M49,Y49,AK49,AW49,SMALL((BI49,BU49,CG49,CS49,DE49),{1,2}))),"")</f>
        <v/>
      </c>
      <c r="DI49" s="109" t="str">
        <f>IFERROR(pos&amp;IF(AND(MOD(ABS(18),100)&gt;10,MOD(ABS(pos),100)&lt;14),"th", CHOOSE(MOD(ABS(pos),10)+1,"th","st","nd","rd","th","th","th","th","th","th")),"")</f>
        <v/>
      </c>
      <c r="DJ49" s="62">
        <f>ROWS($B$12:$B49)</f>
        <v>38</v>
      </c>
      <c r="DK49" s="62" t="str">
        <f>IF($B49=REPORT_CARD!$M$12,$DJ49,"")</f>
        <v/>
      </c>
      <c r="DM49" s="65"/>
    </row>
    <row r="50" spans="1:117" ht="19.5" customHeight="1">
      <c r="A50" s="140" t="str">
        <f>IFERROR(IF(ISBLANK(#REF!),"",#REF!),"")</f>
        <v/>
      </c>
      <c r="B50" s="140" t="str">
        <f>IFERROR(IF(ISBLANK(#REF!),"",#REF!),"")</f>
        <v/>
      </c>
      <c r="C50" s="105">
        <v>15</v>
      </c>
      <c r="D50" s="105">
        <v>15</v>
      </c>
      <c r="E50" s="105">
        <v>9</v>
      </c>
      <c r="F50" s="105">
        <v>10</v>
      </c>
      <c r="G50" s="97">
        <f t="shared" si="44"/>
        <v>49</v>
      </c>
      <c r="H50" s="106" t="str">
        <f>IFERROR(IF(G50=0,"",ROUND((G50/SUM(SETTINGS!$L$14:$L$17))*SETTINGS!$L$18,0)),"")</f>
        <v/>
      </c>
      <c r="I50" s="105">
        <v>36</v>
      </c>
      <c r="J50" s="106" t="str">
        <f>IFERROR(IF(ISBLANK(I50),"",ROUND((I50/SETTINGS!$L$19)*SETTINGS!$L$20,0)),"")</f>
        <v/>
      </c>
      <c r="K50" s="106" t="str">
        <f t="shared" si="45"/>
        <v/>
      </c>
      <c r="L50" s="103" t="str">
        <f t="shared" si="46"/>
        <v/>
      </c>
      <c r="M50" s="107" t="str">
        <f t="shared" si="47"/>
        <v/>
      </c>
      <c r="N50" s="136"/>
      <c r="O50" s="105">
        <v>5</v>
      </c>
      <c r="P50" s="105">
        <v>13</v>
      </c>
      <c r="Q50" s="105">
        <v>8</v>
      </c>
      <c r="R50" s="105">
        <v>11</v>
      </c>
      <c r="S50" s="97">
        <f t="shared" si="48"/>
        <v>37</v>
      </c>
      <c r="T50" s="106" t="str">
        <f>IFERROR(IF(S50=0,"",ROUND((S50/SUM(SETTINGS!$L$14:$L$17))*SETTINGS!$L$18,0)),"")</f>
        <v/>
      </c>
      <c r="U50" s="105">
        <v>42</v>
      </c>
      <c r="V50" s="106" t="str">
        <f>IFERROR(IF(ISBLANK(U50),"",ROUND((U50/SETTINGS!$L$19)*SETTINGS!$L$20,0)),"")</f>
        <v/>
      </c>
      <c r="W50" s="106" t="str">
        <f t="shared" si="49"/>
        <v/>
      </c>
      <c r="X50" s="103" t="str">
        <f t="shared" si="50"/>
        <v/>
      </c>
      <c r="Y50" s="107" t="str">
        <f t="shared" si="51"/>
        <v/>
      </c>
      <c r="Z50" s="130"/>
      <c r="AA50" s="105">
        <v>12</v>
      </c>
      <c r="AB50" s="105">
        <v>10</v>
      </c>
      <c r="AC50" s="105">
        <v>6</v>
      </c>
      <c r="AD50" s="105">
        <v>10</v>
      </c>
      <c r="AE50" s="97">
        <f t="shared" si="52"/>
        <v>38</v>
      </c>
      <c r="AF50" s="106" t="str">
        <f>IFERROR(IF(AE50=0,"",ROUND((AE50/SUM(SETTINGS!$L$14:$L$17))*SETTINGS!$L$18,0)),"")</f>
        <v/>
      </c>
      <c r="AG50" s="105">
        <v>47</v>
      </c>
      <c r="AH50" s="106" t="str">
        <f>IFERROR(IF(ISBLANK(AG50),"",ROUND((AG50/SETTINGS!$L$19)*SETTINGS!$L$20,0)),"")</f>
        <v/>
      </c>
      <c r="AI50" s="106" t="str">
        <f t="shared" si="53"/>
        <v/>
      </c>
      <c r="AJ50" s="103" t="str">
        <f t="shared" si="54"/>
        <v/>
      </c>
      <c r="AK50" s="108" t="str">
        <f t="shared" si="55"/>
        <v/>
      </c>
      <c r="AL50" s="130"/>
      <c r="AM50" s="105">
        <v>7</v>
      </c>
      <c r="AN50" s="105">
        <v>7</v>
      </c>
      <c r="AO50" s="105">
        <v>15</v>
      </c>
      <c r="AP50" s="105">
        <v>15</v>
      </c>
      <c r="AQ50" s="97">
        <f t="shared" si="56"/>
        <v>44</v>
      </c>
      <c r="AR50" s="106" t="str">
        <f>IFERROR(IF(AQ50=0,"",ROUND((AQ50/SUM(SETTINGS!$L$14:$L$17))*SETTINGS!$L$18,0)),"")</f>
        <v/>
      </c>
      <c r="AS50" s="105">
        <v>41</v>
      </c>
      <c r="AT50" s="106" t="str">
        <f>IFERROR(IF(ISBLANK(AS50),"",ROUND((AS50/SETTINGS!$L$19)*SETTINGS!$L$20,0)),"")</f>
        <v/>
      </c>
      <c r="AU50" s="106" t="str">
        <f t="shared" si="57"/>
        <v/>
      </c>
      <c r="AV50" s="103" t="str">
        <f t="shared" si="58"/>
        <v/>
      </c>
      <c r="AW50" s="107" t="str">
        <f t="shared" si="59"/>
        <v/>
      </c>
      <c r="AX50" s="130"/>
      <c r="AY50" s="105">
        <v>10</v>
      </c>
      <c r="AZ50" s="105">
        <v>14</v>
      </c>
      <c r="BA50" s="105">
        <v>10</v>
      </c>
      <c r="BB50" s="105">
        <v>12</v>
      </c>
      <c r="BC50" s="97">
        <f t="shared" si="60"/>
        <v>46</v>
      </c>
      <c r="BD50" s="106" t="str">
        <f>IFERROR(IF(BC50=0,"",ROUND((BC50/SUM(SETTINGS!$L$14:$L$17))*SETTINGS!$L$18,0)),"")</f>
        <v/>
      </c>
      <c r="BE50" s="105">
        <v>69</v>
      </c>
      <c r="BF50" s="106" t="str">
        <f>IFERROR(IF(ISBLANK(BE50),"",ROUND((BE50/SETTINGS!$L$19)*SETTINGS!$L$20,0)),"")</f>
        <v/>
      </c>
      <c r="BG50" s="106" t="str">
        <f t="shared" si="61"/>
        <v/>
      </c>
      <c r="BH50" s="103" t="str">
        <f t="shared" si="62"/>
        <v/>
      </c>
      <c r="BI50" s="108" t="str">
        <f t="shared" si="63"/>
        <v/>
      </c>
      <c r="BJ50" s="130"/>
      <c r="BK50" s="105">
        <v>15</v>
      </c>
      <c r="BL50" s="105">
        <v>8</v>
      </c>
      <c r="BM50" s="105">
        <v>2</v>
      </c>
      <c r="BN50" s="105">
        <v>15</v>
      </c>
      <c r="BO50" s="97">
        <f t="shared" si="64"/>
        <v>40</v>
      </c>
      <c r="BP50" s="106" t="str">
        <f>IFERROR(IF(BO50=0,"",ROUND((BO50/SUM(SETTINGS!$L$14:$L$17))*SETTINGS!$L$18,0)),"")</f>
        <v/>
      </c>
      <c r="BQ50" s="105">
        <v>39</v>
      </c>
      <c r="BR50" s="106" t="str">
        <f>IFERROR(IF(ISBLANK(BQ50),"",ROUND((BQ50/SETTINGS!$L$19)*SETTINGS!$L$20,0)),"")</f>
        <v/>
      </c>
      <c r="BS50" s="106" t="str">
        <f t="shared" si="65"/>
        <v/>
      </c>
      <c r="BT50" s="103" t="str">
        <f t="shared" si="66"/>
        <v/>
      </c>
      <c r="BU50" s="107" t="str">
        <f t="shared" si="67"/>
        <v/>
      </c>
      <c r="BV50" s="130"/>
      <c r="BW50" s="105">
        <v>7</v>
      </c>
      <c r="BX50" s="105">
        <v>10</v>
      </c>
      <c r="BY50" s="105">
        <v>11</v>
      </c>
      <c r="BZ50" s="105">
        <v>12</v>
      </c>
      <c r="CA50" s="97">
        <f t="shared" si="68"/>
        <v>40</v>
      </c>
      <c r="CB50" s="106" t="str">
        <f>IFERROR(IF(CA50=0,"",ROUND((CA50/SUM(SETTINGS!$L$14:$L$17))*SETTINGS!$L$18,0)),"")</f>
        <v/>
      </c>
      <c r="CC50" s="105">
        <v>59</v>
      </c>
      <c r="CD50" s="106" t="str">
        <f>IFERROR(IF(ISBLANK(CC50),"",ROUND((CC50/SETTINGS!$L$19)*SETTINGS!$L$20,0)),"")</f>
        <v/>
      </c>
      <c r="CE50" s="106" t="str">
        <f t="shared" si="69"/>
        <v/>
      </c>
      <c r="CF50" s="103" t="str">
        <f t="shared" si="70"/>
        <v/>
      </c>
      <c r="CG50" s="107" t="str">
        <f t="shared" si="71"/>
        <v/>
      </c>
      <c r="CH50" s="130"/>
      <c r="CI50" s="105">
        <v>15</v>
      </c>
      <c r="CJ50" s="105">
        <v>15</v>
      </c>
      <c r="CK50" s="105">
        <v>12</v>
      </c>
      <c r="CL50" s="105">
        <v>13</v>
      </c>
      <c r="CM50" s="97">
        <f t="shared" si="72"/>
        <v>55</v>
      </c>
      <c r="CN50" s="106" t="str">
        <f>IFERROR(IF(CM50=0,"",ROUND((CM50/SUM(SETTINGS!$L$14:$L$17))*SETTINGS!$L$18,0)),"")</f>
        <v/>
      </c>
      <c r="CO50" s="105">
        <v>45</v>
      </c>
      <c r="CP50" s="106" t="str">
        <f>IFERROR(IF(ISBLANK(CO50),"",ROUND((CO50/SETTINGS!$L$19)*SETTINGS!$L$20,0)),"")</f>
        <v/>
      </c>
      <c r="CQ50" s="106" t="str">
        <f t="shared" si="73"/>
        <v/>
      </c>
      <c r="CR50" s="103" t="str">
        <f t="shared" si="74"/>
        <v/>
      </c>
      <c r="CS50" s="107" t="str">
        <f t="shared" si="75"/>
        <v/>
      </c>
      <c r="CT50" s="130"/>
      <c r="CU50" s="105">
        <v>8</v>
      </c>
      <c r="CV50" s="105">
        <v>11</v>
      </c>
      <c r="CW50" s="105">
        <v>12</v>
      </c>
      <c r="CX50" s="105">
        <v>7</v>
      </c>
      <c r="CY50" s="97">
        <f t="shared" si="76"/>
        <v>38</v>
      </c>
      <c r="CZ50" s="106" t="str">
        <f>IFERROR(IF(CY50=0,"",ROUND((CY50/SUM(SETTINGS!$L$14:$L$17))*SETTINGS!$L$18,0)),"")</f>
        <v/>
      </c>
      <c r="DA50" s="105">
        <v>33</v>
      </c>
      <c r="DB50" s="106" t="str">
        <f>IFERROR(IF(ISBLANK(DA50),"",ROUND((DA50/SETTINGS!$L$19)*SETTINGS!$L$20,0)),"")</f>
        <v/>
      </c>
      <c r="DC50" s="106" t="str">
        <f t="shared" si="77"/>
        <v/>
      </c>
      <c r="DD50" s="103" t="str">
        <f t="shared" si="78"/>
        <v/>
      </c>
      <c r="DE50" s="107" t="str">
        <f t="shared" si="79"/>
        <v/>
      </c>
      <c r="DF50" s="103" t="str">
        <f t="shared" si="80"/>
        <v/>
      </c>
      <c r="DG50" s="103" t="str">
        <f>IFERROR(IF(AND(K50,W50,AI50,AU50,BG50,BS50,CE50,CQ50,DC50)="","",SUM(K50,W50,AI50,AU50,LARGE((BG50,BS50,CE50,CQ50,DC50),{1,2}))),"")</f>
        <v/>
      </c>
      <c r="DH50" s="103" t="str">
        <f>IFERROR(IF(AND(M50,Y50,AK50,AW50,,BI50,BU50,CG50,CS50,DE50)="","",SUM(M50,Y50,AK50,AW50,SMALL((BI50,BU50,CG50,CS50,DE50),{1,2}))),"")</f>
        <v/>
      </c>
      <c r="DI50" s="109" t="str">
        <f>IFERROR(pos&amp;IF(AND(MOD(ABS(18),100)&gt;10,MOD(ABS(pos),100)&lt;14),"th", CHOOSE(MOD(ABS(pos),10)+1,"th","st","nd","rd","th","th","th","th","th","th")),"")</f>
        <v/>
      </c>
      <c r="DJ50" s="62">
        <f>ROWS($B$12:$B50)</f>
        <v>39</v>
      </c>
      <c r="DK50" s="62" t="str">
        <f>IF($B50=REPORT_CARD!$M$12,$DJ50,"")</f>
        <v/>
      </c>
      <c r="DM50" s="65"/>
    </row>
    <row r="51" spans="1:117" ht="19.5" customHeight="1">
      <c r="A51" s="140" t="str">
        <f>IFERROR(IF(ISBLANK(#REF!),"",#REF!),"")</f>
        <v/>
      </c>
      <c r="B51" s="140" t="str">
        <f>IFERROR(IF(ISBLANK(#REF!),"",#REF!),"")</f>
        <v/>
      </c>
      <c r="C51" s="105">
        <v>14</v>
      </c>
      <c r="D51" s="105">
        <v>8</v>
      </c>
      <c r="E51" s="105">
        <v>10</v>
      </c>
      <c r="F51" s="105">
        <v>15</v>
      </c>
      <c r="G51" s="97">
        <f t="shared" si="44"/>
        <v>47</v>
      </c>
      <c r="H51" s="106" t="str">
        <f>IFERROR(IF(G51=0,"",ROUND((G51/SUM(SETTINGS!$L$14:$L$17))*SETTINGS!$L$18,0)),"")</f>
        <v/>
      </c>
      <c r="I51" s="105">
        <v>43</v>
      </c>
      <c r="J51" s="106" t="str">
        <f>IFERROR(IF(ISBLANK(I51),"",ROUND((I51/SETTINGS!$L$19)*SETTINGS!$L$20,0)),"")</f>
        <v/>
      </c>
      <c r="K51" s="106" t="str">
        <f t="shared" si="45"/>
        <v/>
      </c>
      <c r="L51" s="103" t="str">
        <f t="shared" si="46"/>
        <v/>
      </c>
      <c r="M51" s="107" t="str">
        <f t="shared" si="47"/>
        <v/>
      </c>
      <c r="N51" s="136"/>
      <c r="O51" s="105">
        <v>5</v>
      </c>
      <c r="P51" s="105">
        <v>13</v>
      </c>
      <c r="Q51" s="105">
        <v>5</v>
      </c>
      <c r="R51" s="105">
        <v>8</v>
      </c>
      <c r="S51" s="97">
        <f t="shared" si="48"/>
        <v>31</v>
      </c>
      <c r="T51" s="106" t="str">
        <f>IFERROR(IF(S51=0,"",ROUND((S51/SUM(SETTINGS!$L$14:$L$17))*SETTINGS!$L$18,0)),"")</f>
        <v/>
      </c>
      <c r="U51" s="105">
        <v>16</v>
      </c>
      <c r="V51" s="106" t="str">
        <f>IFERROR(IF(ISBLANK(U51),"",ROUND((U51/SETTINGS!$L$19)*SETTINGS!$L$20,0)),"")</f>
        <v/>
      </c>
      <c r="W51" s="106" t="str">
        <f t="shared" si="49"/>
        <v/>
      </c>
      <c r="X51" s="103" t="str">
        <f t="shared" si="50"/>
        <v/>
      </c>
      <c r="Y51" s="107" t="str">
        <f t="shared" si="51"/>
        <v/>
      </c>
      <c r="Z51" s="130"/>
      <c r="AA51" s="105">
        <v>5</v>
      </c>
      <c r="AB51" s="105">
        <v>10</v>
      </c>
      <c r="AC51" s="105">
        <v>8</v>
      </c>
      <c r="AD51" s="105">
        <v>13</v>
      </c>
      <c r="AE51" s="97">
        <f t="shared" si="52"/>
        <v>36</v>
      </c>
      <c r="AF51" s="106" t="str">
        <f>IFERROR(IF(AE51=0,"",ROUND((AE51/SUM(SETTINGS!$L$14:$L$17))*SETTINGS!$L$18,0)),"")</f>
        <v/>
      </c>
      <c r="AG51" s="105">
        <v>38</v>
      </c>
      <c r="AH51" s="106" t="str">
        <f>IFERROR(IF(ISBLANK(AG51),"",ROUND((AG51/SETTINGS!$L$19)*SETTINGS!$L$20,0)),"")</f>
        <v/>
      </c>
      <c r="AI51" s="106" t="str">
        <f t="shared" si="53"/>
        <v/>
      </c>
      <c r="AJ51" s="103" t="str">
        <f t="shared" si="54"/>
        <v/>
      </c>
      <c r="AK51" s="108" t="str">
        <f t="shared" si="55"/>
        <v/>
      </c>
      <c r="AL51" s="130"/>
      <c r="AM51" s="105">
        <v>7</v>
      </c>
      <c r="AN51" s="105">
        <v>8</v>
      </c>
      <c r="AO51" s="105">
        <v>10</v>
      </c>
      <c r="AP51" s="105">
        <v>14</v>
      </c>
      <c r="AQ51" s="97">
        <f t="shared" si="56"/>
        <v>39</v>
      </c>
      <c r="AR51" s="106" t="str">
        <f>IFERROR(IF(AQ51=0,"",ROUND((AQ51/SUM(SETTINGS!$L$14:$L$17))*SETTINGS!$L$18,0)),"")</f>
        <v/>
      </c>
      <c r="AS51" s="105">
        <v>33</v>
      </c>
      <c r="AT51" s="106" t="str">
        <f>IFERROR(IF(ISBLANK(AS51),"",ROUND((AS51/SETTINGS!$L$19)*SETTINGS!$L$20,0)),"")</f>
        <v/>
      </c>
      <c r="AU51" s="106" t="str">
        <f t="shared" si="57"/>
        <v/>
      </c>
      <c r="AV51" s="103" t="str">
        <f t="shared" si="58"/>
        <v/>
      </c>
      <c r="AW51" s="107" t="str">
        <f t="shared" si="59"/>
        <v/>
      </c>
      <c r="AX51" s="130"/>
      <c r="AY51" s="105">
        <v>12</v>
      </c>
      <c r="AZ51" s="105">
        <v>12</v>
      </c>
      <c r="BA51" s="105">
        <v>10</v>
      </c>
      <c r="BB51" s="105">
        <v>8</v>
      </c>
      <c r="BC51" s="97">
        <f t="shared" si="60"/>
        <v>42</v>
      </c>
      <c r="BD51" s="106" t="str">
        <f>IFERROR(IF(BC51=0,"",ROUND((BC51/SUM(SETTINGS!$L$14:$L$17))*SETTINGS!$L$18,0)),"")</f>
        <v/>
      </c>
      <c r="BE51" s="105">
        <v>61</v>
      </c>
      <c r="BF51" s="106" t="str">
        <f>IFERROR(IF(ISBLANK(BE51),"",ROUND((BE51/SETTINGS!$L$19)*SETTINGS!$L$20,0)),"")</f>
        <v/>
      </c>
      <c r="BG51" s="106" t="str">
        <f t="shared" si="61"/>
        <v/>
      </c>
      <c r="BH51" s="103" t="str">
        <f t="shared" si="62"/>
        <v/>
      </c>
      <c r="BI51" s="108" t="str">
        <f t="shared" si="63"/>
        <v/>
      </c>
      <c r="BJ51" s="130"/>
      <c r="BK51" s="105">
        <v>15</v>
      </c>
      <c r="BL51" s="105">
        <v>1</v>
      </c>
      <c r="BM51" s="105">
        <v>13</v>
      </c>
      <c r="BN51" s="105">
        <v>15</v>
      </c>
      <c r="BO51" s="97">
        <f t="shared" si="64"/>
        <v>44</v>
      </c>
      <c r="BP51" s="106" t="str">
        <f>IFERROR(IF(BO51=0,"",ROUND((BO51/SUM(SETTINGS!$L$14:$L$17))*SETTINGS!$L$18,0)),"")</f>
        <v/>
      </c>
      <c r="BQ51" s="105">
        <v>31</v>
      </c>
      <c r="BR51" s="106" t="str">
        <f>IFERROR(IF(ISBLANK(BQ51),"",ROUND((BQ51/SETTINGS!$L$19)*SETTINGS!$L$20,0)),"")</f>
        <v/>
      </c>
      <c r="BS51" s="106" t="str">
        <f t="shared" si="65"/>
        <v/>
      </c>
      <c r="BT51" s="103" t="str">
        <f t="shared" si="66"/>
        <v/>
      </c>
      <c r="BU51" s="107" t="str">
        <f t="shared" si="67"/>
        <v/>
      </c>
      <c r="BV51" s="130"/>
      <c r="BW51" s="105">
        <v>15</v>
      </c>
      <c r="BX51" s="105">
        <v>12</v>
      </c>
      <c r="BY51" s="105">
        <v>13</v>
      </c>
      <c r="BZ51" s="105">
        <v>11</v>
      </c>
      <c r="CA51" s="97">
        <f t="shared" si="68"/>
        <v>51</v>
      </c>
      <c r="CB51" s="106" t="str">
        <f>IFERROR(IF(CA51=0,"",ROUND((CA51/SUM(SETTINGS!$L$14:$L$17))*SETTINGS!$L$18,0)),"")</f>
        <v/>
      </c>
      <c r="CC51" s="105">
        <v>58</v>
      </c>
      <c r="CD51" s="106" t="str">
        <f>IFERROR(IF(ISBLANK(CC51),"",ROUND((CC51/SETTINGS!$L$19)*SETTINGS!$L$20,0)),"")</f>
        <v/>
      </c>
      <c r="CE51" s="106" t="str">
        <f t="shared" si="69"/>
        <v/>
      </c>
      <c r="CF51" s="103" t="str">
        <f t="shared" si="70"/>
        <v/>
      </c>
      <c r="CG51" s="107" t="str">
        <f t="shared" si="71"/>
        <v/>
      </c>
      <c r="CH51" s="130"/>
      <c r="CI51" s="105">
        <v>12</v>
      </c>
      <c r="CJ51" s="105">
        <v>13</v>
      </c>
      <c r="CK51" s="105">
        <v>14</v>
      </c>
      <c r="CL51" s="105">
        <v>12</v>
      </c>
      <c r="CM51" s="97">
        <f t="shared" si="72"/>
        <v>51</v>
      </c>
      <c r="CN51" s="106" t="str">
        <f>IFERROR(IF(CM51=0,"",ROUND((CM51/SUM(SETTINGS!$L$14:$L$17))*SETTINGS!$L$18,0)),"")</f>
        <v/>
      </c>
      <c r="CO51" s="105">
        <v>47</v>
      </c>
      <c r="CP51" s="106" t="str">
        <f>IFERROR(IF(ISBLANK(CO51),"",ROUND((CO51/SETTINGS!$L$19)*SETTINGS!$L$20,0)),"")</f>
        <v/>
      </c>
      <c r="CQ51" s="106" t="str">
        <f t="shared" si="73"/>
        <v/>
      </c>
      <c r="CR51" s="103" t="str">
        <f t="shared" si="74"/>
        <v/>
      </c>
      <c r="CS51" s="107" t="str">
        <f t="shared" si="75"/>
        <v/>
      </c>
      <c r="CT51" s="130"/>
      <c r="CU51" s="105">
        <v>12</v>
      </c>
      <c r="CV51" s="105">
        <v>12</v>
      </c>
      <c r="CW51" s="105">
        <v>12</v>
      </c>
      <c r="CX51" s="105">
        <v>10</v>
      </c>
      <c r="CY51" s="97">
        <f t="shared" si="76"/>
        <v>46</v>
      </c>
      <c r="CZ51" s="106" t="str">
        <f>IFERROR(IF(CY51=0,"",ROUND((CY51/SUM(SETTINGS!$L$14:$L$17))*SETTINGS!$L$18,0)),"")</f>
        <v/>
      </c>
      <c r="DA51" s="105">
        <v>35</v>
      </c>
      <c r="DB51" s="106" t="str">
        <f>IFERROR(IF(ISBLANK(DA51),"",ROUND((DA51/SETTINGS!$L$19)*SETTINGS!$L$20,0)),"")</f>
        <v/>
      </c>
      <c r="DC51" s="106" t="str">
        <f t="shared" si="77"/>
        <v/>
      </c>
      <c r="DD51" s="103" t="str">
        <f t="shared" si="78"/>
        <v/>
      </c>
      <c r="DE51" s="107" t="str">
        <f t="shared" si="79"/>
        <v/>
      </c>
      <c r="DF51" s="103" t="str">
        <f t="shared" si="80"/>
        <v/>
      </c>
      <c r="DG51" s="103" t="str">
        <f>IFERROR(IF(AND(K51,W51,AI51,AU51,BG51,BS51,CE51,CQ51,DC51)="","",SUM(K51,W51,AI51,AU51,LARGE((BG51,BS51,CE51,CQ51,DC51),{1,2}))),"")</f>
        <v/>
      </c>
      <c r="DH51" s="103" t="str">
        <f>IFERROR(IF(AND(M51,Y51,AK51,AW51,,BI51,BU51,CG51,CS51,DE51)="","",SUM(M51,Y51,AK51,AW51,SMALL((BI51,BU51,CG51,CS51,DE51),{1,2}))),"")</f>
        <v/>
      </c>
      <c r="DI51" s="109" t="str">
        <f>IFERROR(pos&amp;IF(AND(MOD(ABS(18),100)&gt;10,MOD(ABS(pos),100)&lt;14),"th", CHOOSE(MOD(ABS(pos),10)+1,"th","st","nd","rd","th","th","th","th","th","th")),"")</f>
        <v/>
      </c>
      <c r="DJ51" s="62">
        <f>ROWS($B$12:$B51)</f>
        <v>40</v>
      </c>
      <c r="DK51" s="62" t="str">
        <f>IF($B51=REPORT_CARD!$M$12,$DJ51,"")</f>
        <v/>
      </c>
      <c r="DM51" s="65"/>
    </row>
    <row r="52" spans="1:117" ht="19.5" customHeight="1">
      <c r="A52" s="140" t="str">
        <f>IFERROR(IF(ISBLANK(#REF!),"",#REF!),"")</f>
        <v/>
      </c>
      <c r="B52" s="140" t="str">
        <f>IFERROR(IF(ISBLANK(#REF!),"",#REF!),"")</f>
        <v/>
      </c>
      <c r="C52" s="105">
        <v>15</v>
      </c>
      <c r="D52" s="105">
        <v>13</v>
      </c>
      <c r="E52" s="105">
        <v>15</v>
      </c>
      <c r="F52" s="105">
        <v>10</v>
      </c>
      <c r="G52" s="97">
        <f t="shared" si="44"/>
        <v>53</v>
      </c>
      <c r="H52" s="106" t="str">
        <f>IFERROR(IF(G52=0,"",ROUND((G52/SUM(SETTINGS!$L$14:$L$17))*SETTINGS!$L$18,0)),"")</f>
        <v/>
      </c>
      <c r="I52" s="105">
        <v>54</v>
      </c>
      <c r="J52" s="106" t="str">
        <f>IFERROR(IF(ISBLANK(I52),"",ROUND((I52/SETTINGS!$L$19)*SETTINGS!$L$20,0)),"")</f>
        <v/>
      </c>
      <c r="K52" s="106" t="str">
        <f t="shared" si="45"/>
        <v/>
      </c>
      <c r="L52" s="103" t="str">
        <f t="shared" si="46"/>
        <v/>
      </c>
      <c r="M52" s="107" t="str">
        <f t="shared" si="47"/>
        <v/>
      </c>
      <c r="N52" s="136"/>
      <c r="O52" s="105">
        <v>7</v>
      </c>
      <c r="P52" s="105">
        <v>13</v>
      </c>
      <c r="Q52" s="105">
        <v>9</v>
      </c>
      <c r="R52" s="105">
        <v>12</v>
      </c>
      <c r="S52" s="97">
        <f t="shared" si="48"/>
        <v>41</v>
      </c>
      <c r="T52" s="106" t="str">
        <f>IFERROR(IF(S52=0,"",ROUND((S52/SUM(SETTINGS!$L$14:$L$17))*SETTINGS!$L$18,0)),"")</f>
        <v/>
      </c>
      <c r="U52" s="105">
        <v>65</v>
      </c>
      <c r="V52" s="106" t="str">
        <f>IFERROR(IF(ISBLANK(U52),"",ROUND((U52/SETTINGS!$L$19)*SETTINGS!$L$20,0)),"")</f>
        <v/>
      </c>
      <c r="W52" s="106" t="str">
        <f t="shared" si="49"/>
        <v/>
      </c>
      <c r="X52" s="103" t="str">
        <f t="shared" si="50"/>
        <v/>
      </c>
      <c r="Y52" s="107" t="str">
        <f t="shared" si="51"/>
        <v/>
      </c>
      <c r="Z52" s="130"/>
      <c r="AA52" s="105">
        <v>15</v>
      </c>
      <c r="AB52" s="105">
        <v>10</v>
      </c>
      <c r="AC52" s="105">
        <v>12</v>
      </c>
      <c r="AD52" s="105">
        <v>14</v>
      </c>
      <c r="AE52" s="97">
        <f t="shared" si="52"/>
        <v>51</v>
      </c>
      <c r="AF52" s="106" t="str">
        <f>IFERROR(IF(AE52=0,"",ROUND((AE52/SUM(SETTINGS!$L$14:$L$17))*SETTINGS!$L$18,0)),"")</f>
        <v/>
      </c>
      <c r="AG52" s="105">
        <v>71</v>
      </c>
      <c r="AH52" s="106" t="str">
        <f>IFERROR(IF(ISBLANK(AG52),"",ROUND((AG52/SETTINGS!$L$19)*SETTINGS!$L$20,0)),"")</f>
        <v/>
      </c>
      <c r="AI52" s="106" t="str">
        <f t="shared" si="53"/>
        <v/>
      </c>
      <c r="AJ52" s="103" t="str">
        <f t="shared" si="54"/>
        <v/>
      </c>
      <c r="AK52" s="108" t="str">
        <f t="shared" si="55"/>
        <v/>
      </c>
      <c r="AL52" s="130"/>
      <c r="AM52" s="105">
        <v>10</v>
      </c>
      <c r="AN52" s="105">
        <v>12</v>
      </c>
      <c r="AO52" s="105">
        <v>9</v>
      </c>
      <c r="AP52" s="105">
        <v>15</v>
      </c>
      <c r="AQ52" s="97">
        <f t="shared" si="56"/>
        <v>46</v>
      </c>
      <c r="AR52" s="106" t="str">
        <f>IFERROR(IF(AQ52=0,"",ROUND((AQ52/SUM(SETTINGS!$L$14:$L$17))*SETTINGS!$L$18,0)),"")</f>
        <v/>
      </c>
      <c r="AS52" s="105">
        <v>41</v>
      </c>
      <c r="AT52" s="106" t="str">
        <f>IFERROR(IF(ISBLANK(AS52),"",ROUND((AS52/SETTINGS!$L$19)*SETTINGS!$L$20,0)),"")</f>
        <v/>
      </c>
      <c r="AU52" s="106" t="str">
        <f t="shared" si="57"/>
        <v/>
      </c>
      <c r="AV52" s="103" t="str">
        <f t="shared" si="58"/>
        <v/>
      </c>
      <c r="AW52" s="107" t="str">
        <f t="shared" si="59"/>
        <v/>
      </c>
      <c r="AX52" s="130"/>
      <c r="AY52" s="105">
        <v>12</v>
      </c>
      <c r="AZ52" s="105">
        <v>15</v>
      </c>
      <c r="BA52" s="105">
        <v>10</v>
      </c>
      <c r="BB52" s="105">
        <v>12</v>
      </c>
      <c r="BC52" s="97">
        <f t="shared" si="60"/>
        <v>49</v>
      </c>
      <c r="BD52" s="106" t="str">
        <f>IFERROR(IF(BC52=0,"",ROUND((BC52/SUM(SETTINGS!$L$14:$L$17))*SETTINGS!$L$18,0)),"")</f>
        <v/>
      </c>
      <c r="BE52" s="105">
        <v>81</v>
      </c>
      <c r="BF52" s="106" t="str">
        <f>IFERROR(IF(ISBLANK(BE52),"",ROUND((BE52/SETTINGS!$L$19)*SETTINGS!$L$20,0)),"")</f>
        <v/>
      </c>
      <c r="BG52" s="106" t="str">
        <f t="shared" si="61"/>
        <v/>
      </c>
      <c r="BH52" s="103" t="str">
        <f t="shared" si="62"/>
        <v/>
      </c>
      <c r="BI52" s="108" t="str">
        <f t="shared" si="63"/>
        <v/>
      </c>
      <c r="BJ52" s="130"/>
      <c r="BK52" s="105">
        <v>13</v>
      </c>
      <c r="BL52" s="105">
        <v>14</v>
      </c>
      <c r="BM52" s="105">
        <v>4</v>
      </c>
      <c r="BN52" s="105">
        <v>15</v>
      </c>
      <c r="BO52" s="97">
        <f t="shared" si="64"/>
        <v>46</v>
      </c>
      <c r="BP52" s="106" t="str">
        <f>IFERROR(IF(BO52=0,"",ROUND((BO52/SUM(SETTINGS!$L$14:$L$17))*SETTINGS!$L$18,0)),"")</f>
        <v/>
      </c>
      <c r="BQ52" s="105">
        <v>48</v>
      </c>
      <c r="BR52" s="106" t="str">
        <f>IFERROR(IF(ISBLANK(BQ52),"",ROUND((BQ52/SETTINGS!$L$19)*SETTINGS!$L$20,0)),"")</f>
        <v/>
      </c>
      <c r="BS52" s="106" t="str">
        <f t="shared" si="65"/>
        <v/>
      </c>
      <c r="BT52" s="103" t="str">
        <f t="shared" si="66"/>
        <v/>
      </c>
      <c r="BU52" s="107" t="str">
        <f t="shared" si="67"/>
        <v/>
      </c>
      <c r="BV52" s="130"/>
      <c r="BW52" s="105">
        <v>13</v>
      </c>
      <c r="BX52" s="105">
        <v>14</v>
      </c>
      <c r="BY52" s="105">
        <v>10</v>
      </c>
      <c r="BZ52" s="105">
        <v>15</v>
      </c>
      <c r="CA52" s="97">
        <f t="shared" si="68"/>
        <v>52</v>
      </c>
      <c r="CB52" s="106" t="str">
        <f>IFERROR(IF(CA52=0,"",ROUND((CA52/SUM(SETTINGS!$L$14:$L$17))*SETTINGS!$L$18,0)),"")</f>
        <v/>
      </c>
      <c r="CC52" s="105">
        <v>61</v>
      </c>
      <c r="CD52" s="106" t="str">
        <f>IFERROR(IF(ISBLANK(CC52),"",ROUND((CC52/SETTINGS!$L$19)*SETTINGS!$L$20,0)),"")</f>
        <v/>
      </c>
      <c r="CE52" s="106" t="str">
        <f t="shared" si="69"/>
        <v/>
      </c>
      <c r="CF52" s="103" t="str">
        <f t="shared" si="70"/>
        <v/>
      </c>
      <c r="CG52" s="107" t="str">
        <f t="shared" si="71"/>
        <v/>
      </c>
      <c r="CH52" s="130"/>
      <c r="CI52" s="105">
        <v>15</v>
      </c>
      <c r="CJ52" s="105">
        <v>13</v>
      </c>
      <c r="CK52" s="105" t="s">
        <v>109</v>
      </c>
      <c r="CL52" s="105">
        <v>14</v>
      </c>
      <c r="CM52" s="97">
        <f t="shared" si="72"/>
        <v>42</v>
      </c>
      <c r="CN52" s="106" t="str">
        <f>IFERROR(IF(CM52=0,"",ROUND((CM52/SUM(SETTINGS!$L$14:$L$17))*SETTINGS!$L$18,0)),"")</f>
        <v/>
      </c>
      <c r="CO52" s="105">
        <v>29</v>
      </c>
      <c r="CP52" s="106" t="str">
        <f>IFERROR(IF(ISBLANK(CO52),"",ROUND((CO52/SETTINGS!$L$19)*SETTINGS!$L$20,0)),"")</f>
        <v/>
      </c>
      <c r="CQ52" s="106" t="str">
        <f t="shared" si="73"/>
        <v/>
      </c>
      <c r="CR52" s="103" t="str">
        <f t="shared" si="74"/>
        <v/>
      </c>
      <c r="CS52" s="107" t="str">
        <f t="shared" si="75"/>
        <v/>
      </c>
      <c r="CT52" s="130"/>
      <c r="CU52" s="105">
        <v>12</v>
      </c>
      <c r="CV52" s="105">
        <v>5</v>
      </c>
      <c r="CW52" s="105">
        <v>5</v>
      </c>
      <c r="CX52" s="105">
        <v>5</v>
      </c>
      <c r="CY52" s="97">
        <f t="shared" si="76"/>
        <v>27</v>
      </c>
      <c r="CZ52" s="106" t="str">
        <f>IFERROR(IF(CY52=0,"",ROUND((CY52/SUM(SETTINGS!$L$14:$L$17))*SETTINGS!$L$18,0)),"")</f>
        <v/>
      </c>
      <c r="DA52" s="105">
        <v>74</v>
      </c>
      <c r="DB52" s="106" t="str">
        <f>IFERROR(IF(ISBLANK(DA52),"",ROUND((DA52/SETTINGS!$L$19)*SETTINGS!$L$20,0)),"")</f>
        <v/>
      </c>
      <c r="DC52" s="106" t="str">
        <f t="shared" si="77"/>
        <v/>
      </c>
      <c r="DD52" s="103" t="str">
        <f t="shared" si="78"/>
        <v/>
      </c>
      <c r="DE52" s="107" t="str">
        <f t="shared" si="79"/>
        <v/>
      </c>
      <c r="DF52" s="103" t="str">
        <f t="shared" si="80"/>
        <v/>
      </c>
      <c r="DG52" s="103" t="str">
        <f>IFERROR(IF(AND(K52,W52,AI52,AU52,BG52,BS52,CE52,CQ52,DC52)="","",SUM(K52,W52,AI52,AU52,LARGE((BG52,BS52,CE52,CQ52,DC52),{1,2}))),"")</f>
        <v/>
      </c>
      <c r="DH52" s="103" t="str">
        <f>IFERROR(IF(AND(M52,Y52,AK52,AW52,,BI52,BU52,CG52,CS52,DE52)="","",SUM(M52,Y52,AK52,AW52,SMALL((BI52,BU52,CG52,CS52,DE52),{1,2}))),"")</f>
        <v/>
      </c>
      <c r="DI52" s="109" t="str">
        <f>IFERROR(pos&amp;IF(AND(MOD(ABS(18),100)&gt;10,MOD(ABS(pos),100)&lt;14),"th", CHOOSE(MOD(ABS(pos),10)+1,"th","st","nd","rd","th","th","th","th","th","th")),"")</f>
        <v/>
      </c>
      <c r="DJ52" s="62">
        <f>ROWS($B$12:$B52)</f>
        <v>41</v>
      </c>
      <c r="DK52" s="62" t="str">
        <f>IF($B52=REPORT_CARD!$M$12,$DJ52,"")</f>
        <v/>
      </c>
      <c r="DM52" s="65"/>
    </row>
    <row r="53" spans="1:117" ht="19.5" customHeight="1">
      <c r="A53" s="140" t="str">
        <f>IFERROR(IF(ISBLANK(#REF!),"",#REF!),"")</f>
        <v/>
      </c>
      <c r="B53" s="140" t="str">
        <f>IFERROR(IF(ISBLANK(#REF!),"",#REF!),"")</f>
        <v/>
      </c>
      <c r="C53" s="105">
        <v>12</v>
      </c>
      <c r="D53" s="105">
        <v>15</v>
      </c>
      <c r="E53" s="105">
        <v>15</v>
      </c>
      <c r="F53" s="105">
        <v>9</v>
      </c>
      <c r="G53" s="97">
        <f t="shared" si="44"/>
        <v>51</v>
      </c>
      <c r="H53" s="106" t="str">
        <f>IFERROR(IF(G53=0,"",ROUND((G53/SUM(SETTINGS!$L$14:$L$17))*SETTINGS!$L$18,0)),"")</f>
        <v/>
      </c>
      <c r="I53" s="105">
        <v>40</v>
      </c>
      <c r="J53" s="106" t="str">
        <f>IFERROR(IF(ISBLANK(I53),"",ROUND((I53/SETTINGS!$L$19)*SETTINGS!$L$20,0)),"")</f>
        <v/>
      </c>
      <c r="K53" s="106" t="str">
        <f t="shared" si="45"/>
        <v/>
      </c>
      <c r="L53" s="103" t="str">
        <f t="shared" si="46"/>
        <v/>
      </c>
      <c r="M53" s="107" t="str">
        <f t="shared" si="47"/>
        <v/>
      </c>
      <c r="N53" s="136"/>
      <c r="O53" s="105">
        <v>9</v>
      </c>
      <c r="P53" s="105">
        <v>10</v>
      </c>
      <c r="Q53" s="105">
        <v>5</v>
      </c>
      <c r="R53" s="105">
        <v>12</v>
      </c>
      <c r="S53" s="97">
        <f t="shared" si="48"/>
        <v>36</v>
      </c>
      <c r="T53" s="106" t="str">
        <f>IFERROR(IF(S53=0,"",ROUND((S53/SUM(SETTINGS!$L$14:$L$17))*SETTINGS!$L$18,0)),"")</f>
        <v/>
      </c>
      <c r="U53" s="105">
        <v>28</v>
      </c>
      <c r="V53" s="106" t="str">
        <f>IFERROR(IF(ISBLANK(U53),"",ROUND((U53/SETTINGS!$L$19)*SETTINGS!$L$20,0)),"")</f>
        <v/>
      </c>
      <c r="W53" s="106" t="str">
        <f t="shared" si="49"/>
        <v/>
      </c>
      <c r="X53" s="103" t="str">
        <f t="shared" si="50"/>
        <v/>
      </c>
      <c r="Y53" s="107" t="str">
        <f t="shared" si="51"/>
        <v/>
      </c>
      <c r="Z53" s="130"/>
      <c r="AA53" s="105">
        <v>8</v>
      </c>
      <c r="AB53" s="105">
        <v>10</v>
      </c>
      <c r="AC53" s="105">
        <v>10</v>
      </c>
      <c r="AD53" s="105">
        <v>8</v>
      </c>
      <c r="AE53" s="97">
        <f t="shared" si="52"/>
        <v>36</v>
      </c>
      <c r="AF53" s="106" t="str">
        <f>IFERROR(IF(AE53=0,"",ROUND((AE53/SUM(SETTINGS!$L$14:$L$17))*SETTINGS!$L$18,0)),"")</f>
        <v/>
      </c>
      <c r="AG53" s="105">
        <v>31</v>
      </c>
      <c r="AH53" s="106" t="str">
        <f>IFERROR(IF(ISBLANK(AG53),"",ROUND((AG53/SETTINGS!$L$19)*SETTINGS!$L$20,0)),"")</f>
        <v/>
      </c>
      <c r="AI53" s="106" t="str">
        <f t="shared" si="53"/>
        <v/>
      </c>
      <c r="AJ53" s="103" t="str">
        <f t="shared" si="54"/>
        <v/>
      </c>
      <c r="AK53" s="108" t="str">
        <f t="shared" si="55"/>
        <v/>
      </c>
      <c r="AL53" s="130"/>
      <c r="AM53" s="105">
        <v>7</v>
      </c>
      <c r="AN53" s="105">
        <v>10</v>
      </c>
      <c r="AO53" s="105">
        <v>13</v>
      </c>
      <c r="AP53" s="105">
        <v>15</v>
      </c>
      <c r="AQ53" s="97">
        <f t="shared" si="56"/>
        <v>45</v>
      </c>
      <c r="AR53" s="106" t="str">
        <f>IFERROR(IF(AQ53=0,"",ROUND((AQ53/SUM(SETTINGS!$L$14:$L$17))*SETTINGS!$L$18,0)),"")</f>
        <v/>
      </c>
      <c r="AS53" s="105">
        <v>36</v>
      </c>
      <c r="AT53" s="106" t="str">
        <f>IFERROR(IF(ISBLANK(AS53),"",ROUND((AS53/SETTINGS!$L$19)*SETTINGS!$L$20,0)),"")</f>
        <v/>
      </c>
      <c r="AU53" s="106" t="str">
        <f t="shared" si="57"/>
        <v/>
      </c>
      <c r="AV53" s="103" t="str">
        <f t="shared" si="58"/>
        <v/>
      </c>
      <c r="AW53" s="107" t="str">
        <f t="shared" si="59"/>
        <v/>
      </c>
      <c r="AX53" s="130"/>
      <c r="AY53" s="105">
        <v>12</v>
      </c>
      <c r="AZ53" s="105">
        <v>10</v>
      </c>
      <c r="BA53" s="105">
        <v>10</v>
      </c>
      <c r="BB53" s="105">
        <v>14</v>
      </c>
      <c r="BC53" s="97">
        <f t="shared" si="60"/>
        <v>46</v>
      </c>
      <c r="BD53" s="106" t="str">
        <f>IFERROR(IF(BC53=0,"",ROUND((BC53/SUM(SETTINGS!$L$14:$L$17))*SETTINGS!$L$18,0)),"")</f>
        <v/>
      </c>
      <c r="BE53" s="105">
        <v>68</v>
      </c>
      <c r="BF53" s="106" t="str">
        <f>IFERROR(IF(ISBLANK(BE53),"",ROUND((BE53/SETTINGS!$L$19)*SETTINGS!$L$20,0)),"")</f>
        <v/>
      </c>
      <c r="BG53" s="106" t="str">
        <f t="shared" si="61"/>
        <v/>
      </c>
      <c r="BH53" s="103" t="str">
        <f t="shared" si="62"/>
        <v/>
      </c>
      <c r="BI53" s="108" t="str">
        <f t="shared" si="63"/>
        <v/>
      </c>
      <c r="BJ53" s="130"/>
      <c r="BK53" s="105">
        <v>5</v>
      </c>
      <c r="BL53" s="105">
        <v>5</v>
      </c>
      <c r="BM53" s="105">
        <v>5</v>
      </c>
      <c r="BN53" s="105">
        <v>15</v>
      </c>
      <c r="BO53" s="97">
        <f t="shared" si="64"/>
        <v>30</v>
      </c>
      <c r="BP53" s="106" t="str">
        <f>IFERROR(IF(BO53=0,"",ROUND((BO53/SUM(SETTINGS!$L$14:$L$17))*SETTINGS!$L$18,0)),"")</f>
        <v/>
      </c>
      <c r="BQ53" s="105">
        <v>39</v>
      </c>
      <c r="BR53" s="106" t="str">
        <f>IFERROR(IF(ISBLANK(BQ53),"",ROUND((BQ53/SETTINGS!$L$19)*SETTINGS!$L$20,0)),"")</f>
        <v/>
      </c>
      <c r="BS53" s="106" t="str">
        <f t="shared" si="65"/>
        <v/>
      </c>
      <c r="BT53" s="103" t="str">
        <f t="shared" si="66"/>
        <v/>
      </c>
      <c r="BU53" s="107" t="str">
        <f t="shared" si="67"/>
        <v/>
      </c>
      <c r="BV53" s="130"/>
      <c r="BW53" s="105">
        <v>9</v>
      </c>
      <c r="BX53" s="105">
        <v>11</v>
      </c>
      <c r="BY53" s="105">
        <v>15</v>
      </c>
      <c r="BZ53" s="105">
        <v>15</v>
      </c>
      <c r="CA53" s="97">
        <f t="shared" si="68"/>
        <v>50</v>
      </c>
      <c r="CB53" s="106" t="str">
        <f>IFERROR(IF(CA53=0,"",ROUND((CA53/SUM(SETTINGS!$L$14:$L$17))*SETTINGS!$L$18,0)),"")</f>
        <v/>
      </c>
      <c r="CC53" s="105">
        <v>55</v>
      </c>
      <c r="CD53" s="106" t="str">
        <f>IFERROR(IF(ISBLANK(CC53),"",ROUND((CC53/SETTINGS!$L$19)*SETTINGS!$L$20,0)),"")</f>
        <v/>
      </c>
      <c r="CE53" s="106" t="str">
        <f t="shared" si="69"/>
        <v/>
      </c>
      <c r="CF53" s="103" t="str">
        <f t="shared" si="70"/>
        <v/>
      </c>
      <c r="CG53" s="107" t="str">
        <f t="shared" si="71"/>
        <v/>
      </c>
      <c r="CH53" s="130"/>
      <c r="CI53" s="105">
        <v>15</v>
      </c>
      <c r="CJ53" s="105">
        <v>15</v>
      </c>
      <c r="CK53" s="105">
        <v>9</v>
      </c>
      <c r="CL53" s="105">
        <v>14</v>
      </c>
      <c r="CM53" s="97">
        <f t="shared" si="72"/>
        <v>53</v>
      </c>
      <c r="CN53" s="106" t="str">
        <f>IFERROR(IF(CM53=0,"",ROUND((CM53/SUM(SETTINGS!$L$14:$L$17))*SETTINGS!$L$18,0)),"")</f>
        <v/>
      </c>
      <c r="CO53" s="105">
        <v>35</v>
      </c>
      <c r="CP53" s="106" t="str">
        <f>IFERROR(IF(ISBLANK(CO53),"",ROUND((CO53/SETTINGS!$L$19)*SETTINGS!$L$20,0)),"")</f>
        <v/>
      </c>
      <c r="CQ53" s="106" t="str">
        <f t="shared" si="73"/>
        <v/>
      </c>
      <c r="CR53" s="103" t="str">
        <f t="shared" si="74"/>
        <v/>
      </c>
      <c r="CS53" s="107" t="str">
        <f t="shared" si="75"/>
        <v/>
      </c>
      <c r="CT53" s="130"/>
      <c r="CU53" s="105">
        <v>15</v>
      </c>
      <c r="CV53" s="105">
        <v>4</v>
      </c>
      <c r="CW53" s="105">
        <v>8</v>
      </c>
      <c r="CX53" s="105">
        <v>12</v>
      </c>
      <c r="CY53" s="97">
        <f t="shared" si="76"/>
        <v>39</v>
      </c>
      <c r="CZ53" s="106" t="str">
        <f>IFERROR(IF(CY53=0,"",ROUND((CY53/SUM(SETTINGS!$L$14:$L$17))*SETTINGS!$L$18,0)),"")</f>
        <v/>
      </c>
      <c r="DA53" s="105">
        <v>35</v>
      </c>
      <c r="DB53" s="106" t="str">
        <f>IFERROR(IF(ISBLANK(DA53),"",ROUND((DA53/SETTINGS!$L$19)*SETTINGS!$L$20,0)),"")</f>
        <v/>
      </c>
      <c r="DC53" s="106" t="str">
        <f t="shared" si="77"/>
        <v/>
      </c>
      <c r="DD53" s="103" t="str">
        <f t="shared" si="78"/>
        <v/>
      </c>
      <c r="DE53" s="107" t="str">
        <f t="shared" si="79"/>
        <v/>
      </c>
      <c r="DF53" s="103" t="str">
        <f t="shared" si="80"/>
        <v/>
      </c>
      <c r="DG53" s="103" t="str">
        <f>IFERROR(IF(AND(K53,W53,AI53,AU53,BG53,BS53,CE53,CQ53,DC53)="","",SUM(K53,W53,AI53,AU53,LARGE((BG53,BS53,CE53,CQ53,DC53),{1,2}))),"")</f>
        <v/>
      </c>
      <c r="DH53" s="103" t="str">
        <f>IFERROR(IF(AND(M53,Y53,AK53,AW53,,BI53,BU53,CG53,CS53,DE53)="","",SUM(M53,Y53,AK53,AW53,SMALL((BI53,BU53,CG53,CS53,DE53),{1,2}))),"")</f>
        <v/>
      </c>
      <c r="DI53" s="109" t="str">
        <f>IFERROR(pos&amp;IF(AND(MOD(ABS(18),100)&gt;10,MOD(ABS(pos),100)&lt;14),"th", CHOOSE(MOD(ABS(pos),10)+1,"th","st","nd","rd","th","th","th","th","th","th")),"")</f>
        <v/>
      </c>
      <c r="DJ53" s="62">
        <f>ROWS($B$12:$B53)</f>
        <v>42</v>
      </c>
      <c r="DK53" s="62" t="str">
        <f>IF($B53=REPORT_CARD!$M$12,$DJ53,"")</f>
        <v/>
      </c>
      <c r="DM53" s="65"/>
    </row>
    <row r="54" spans="1:117" ht="19.5" customHeight="1">
      <c r="A54" s="140" t="str">
        <f>IFERROR(IF(ISBLANK(#REF!),"",#REF!),"")</f>
        <v/>
      </c>
      <c r="B54" s="140" t="str">
        <f>IFERROR(IF(ISBLANK(#REF!),"",#REF!),"")</f>
        <v/>
      </c>
      <c r="C54" s="105">
        <v>15</v>
      </c>
      <c r="D54" s="105">
        <v>14</v>
      </c>
      <c r="E54" s="105">
        <v>15</v>
      </c>
      <c r="F54" s="105">
        <v>11</v>
      </c>
      <c r="G54" s="97">
        <f t="shared" si="44"/>
        <v>55</v>
      </c>
      <c r="H54" s="106" t="str">
        <f>IFERROR(IF(G54=0,"",ROUND((G54/SUM(SETTINGS!$L$14:$L$17))*SETTINGS!$L$18,0)),"")</f>
        <v/>
      </c>
      <c r="I54" s="105">
        <v>57</v>
      </c>
      <c r="J54" s="106" t="str">
        <f>IFERROR(IF(ISBLANK(I54),"",ROUND((I54/SETTINGS!$L$19)*SETTINGS!$L$20,0)),"")</f>
        <v/>
      </c>
      <c r="K54" s="106" t="str">
        <f t="shared" si="45"/>
        <v/>
      </c>
      <c r="L54" s="103" t="str">
        <f t="shared" si="46"/>
        <v/>
      </c>
      <c r="M54" s="107" t="str">
        <f t="shared" si="47"/>
        <v/>
      </c>
      <c r="N54" s="136"/>
      <c r="O54" s="105">
        <v>5</v>
      </c>
      <c r="P54" s="105">
        <v>12</v>
      </c>
      <c r="Q54" s="105">
        <v>11</v>
      </c>
      <c r="R54" s="105">
        <v>13</v>
      </c>
      <c r="S54" s="97">
        <f t="shared" si="48"/>
        <v>41</v>
      </c>
      <c r="T54" s="106" t="str">
        <f>IFERROR(IF(S54=0,"",ROUND((S54/SUM(SETTINGS!$L$14:$L$17))*SETTINGS!$L$18,0)),"")</f>
        <v/>
      </c>
      <c r="U54" s="105">
        <v>60</v>
      </c>
      <c r="V54" s="106" t="str">
        <f>IFERROR(IF(ISBLANK(U54),"",ROUND((U54/SETTINGS!$L$19)*SETTINGS!$L$20,0)),"")</f>
        <v/>
      </c>
      <c r="W54" s="106" t="str">
        <f t="shared" si="49"/>
        <v/>
      </c>
      <c r="X54" s="103" t="str">
        <f t="shared" si="50"/>
        <v/>
      </c>
      <c r="Y54" s="107" t="str">
        <f t="shared" si="51"/>
        <v/>
      </c>
      <c r="Z54" s="130"/>
      <c r="AA54" s="105">
        <v>14</v>
      </c>
      <c r="AB54" s="105">
        <v>10</v>
      </c>
      <c r="AC54" s="105">
        <v>7</v>
      </c>
      <c r="AD54" s="105">
        <v>12</v>
      </c>
      <c r="AE54" s="97">
        <f t="shared" si="52"/>
        <v>43</v>
      </c>
      <c r="AF54" s="106" t="str">
        <f>IFERROR(IF(AE54=0,"",ROUND((AE54/SUM(SETTINGS!$L$14:$L$17))*SETTINGS!$L$18,0)),"")</f>
        <v/>
      </c>
      <c r="AG54" s="105">
        <v>72</v>
      </c>
      <c r="AH54" s="106" t="str">
        <f>IFERROR(IF(ISBLANK(AG54),"",ROUND((AG54/SETTINGS!$L$19)*SETTINGS!$L$20,0)),"")</f>
        <v/>
      </c>
      <c r="AI54" s="106" t="str">
        <f t="shared" si="53"/>
        <v/>
      </c>
      <c r="AJ54" s="103" t="str">
        <f t="shared" si="54"/>
        <v/>
      </c>
      <c r="AK54" s="108" t="str">
        <f t="shared" si="55"/>
        <v/>
      </c>
      <c r="AL54" s="130"/>
      <c r="AM54" s="105">
        <v>12</v>
      </c>
      <c r="AN54" s="105">
        <v>10</v>
      </c>
      <c r="AO54" s="105">
        <v>11</v>
      </c>
      <c r="AP54" s="105">
        <v>14</v>
      </c>
      <c r="AQ54" s="97">
        <f t="shared" si="56"/>
        <v>47</v>
      </c>
      <c r="AR54" s="106" t="str">
        <f>IFERROR(IF(AQ54=0,"",ROUND((AQ54/SUM(SETTINGS!$L$14:$L$17))*SETTINGS!$L$18,0)),"")</f>
        <v/>
      </c>
      <c r="AS54" s="105">
        <v>48</v>
      </c>
      <c r="AT54" s="106" t="str">
        <f>IFERROR(IF(ISBLANK(AS54),"",ROUND((AS54/SETTINGS!$L$19)*SETTINGS!$L$20,0)),"")</f>
        <v/>
      </c>
      <c r="AU54" s="106" t="str">
        <f t="shared" si="57"/>
        <v/>
      </c>
      <c r="AV54" s="103" t="str">
        <f t="shared" si="58"/>
        <v/>
      </c>
      <c r="AW54" s="107" t="str">
        <f t="shared" si="59"/>
        <v/>
      </c>
      <c r="AX54" s="130"/>
      <c r="AY54" s="105">
        <v>12</v>
      </c>
      <c r="AZ54" s="105">
        <v>8</v>
      </c>
      <c r="BA54" s="105">
        <v>12</v>
      </c>
      <c r="BB54" s="105">
        <v>15</v>
      </c>
      <c r="BC54" s="97">
        <f t="shared" si="60"/>
        <v>47</v>
      </c>
      <c r="BD54" s="106" t="str">
        <f>IFERROR(IF(BC54=0,"",ROUND((BC54/SUM(SETTINGS!$L$14:$L$17))*SETTINGS!$L$18,0)),"")</f>
        <v/>
      </c>
      <c r="BE54" s="105">
        <v>68</v>
      </c>
      <c r="BF54" s="106" t="str">
        <f>IFERROR(IF(ISBLANK(BE54),"",ROUND((BE54/SETTINGS!$L$19)*SETTINGS!$L$20,0)),"")</f>
        <v/>
      </c>
      <c r="BG54" s="106" t="str">
        <f t="shared" si="61"/>
        <v/>
      </c>
      <c r="BH54" s="103" t="str">
        <f t="shared" si="62"/>
        <v/>
      </c>
      <c r="BI54" s="108" t="str">
        <f t="shared" si="63"/>
        <v/>
      </c>
      <c r="BJ54" s="130"/>
      <c r="BK54" s="105">
        <v>15</v>
      </c>
      <c r="BL54" s="105">
        <v>15</v>
      </c>
      <c r="BM54" s="105">
        <v>11</v>
      </c>
      <c r="BN54" s="105">
        <v>15</v>
      </c>
      <c r="BO54" s="97">
        <f t="shared" si="64"/>
        <v>56</v>
      </c>
      <c r="BP54" s="106" t="str">
        <f>IFERROR(IF(BO54=0,"",ROUND((BO54/SUM(SETTINGS!$L$14:$L$17))*SETTINGS!$L$18,0)),"")</f>
        <v/>
      </c>
      <c r="BQ54" s="105">
        <v>55</v>
      </c>
      <c r="BR54" s="106" t="str">
        <f>IFERROR(IF(ISBLANK(BQ54),"",ROUND((BQ54/SETTINGS!$L$19)*SETTINGS!$L$20,0)),"")</f>
        <v/>
      </c>
      <c r="BS54" s="106" t="str">
        <f t="shared" si="65"/>
        <v/>
      </c>
      <c r="BT54" s="103" t="str">
        <f t="shared" si="66"/>
        <v/>
      </c>
      <c r="BU54" s="107" t="str">
        <f t="shared" si="67"/>
        <v/>
      </c>
      <c r="BV54" s="130"/>
      <c r="BW54" s="105">
        <v>12</v>
      </c>
      <c r="BX54" s="105">
        <v>13</v>
      </c>
      <c r="BY54" s="105">
        <v>15</v>
      </c>
      <c r="BZ54" s="105">
        <v>15</v>
      </c>
      <c r="CA54" s="97">
        <f t="shared" si="68"/>
        <v>55</v>
      </c>
      <c r="CB54" s="106" t="str">
        <f>IFERROR(IF(CA54=0,"",ROUND((CA54/SUM(SETTINGS!$L$14:$L$17))*SETTINGS!$L$18,0)),"")</f>
        <v/>
      </c>
      <c r="CC54" s="105">
        <v>58</v>
      </c>
      <c r="CD54" s="106" t="str">
        <f>IFERROR(IF(ISBLANK(CC54),"",ROUND((CC54/SETTINGS!$L$19)*SETTINGS!$L$20,0)),"")</f>
        <v/>
      </c>
      <c r="CE54" s="106" t="str">
        <f t="shared" si="69"/>
        <v/>
      </c>
      <c r="CF54" s="103" t="str">
        <f t="shared" si="70"/>
        <v/>
      </c>
      <c r="CG54" s="107" t="str">
        <f t="shared" si="71"/>
        <v/>
      </c>
      <c r="CH54" s="130"/>
      <c r="CI54" s="105">
        <v>15</v>
      </c>
      <c r="CJ54" s="105">
        <v>13</v>
      </c>
      <c r="CK54" s="105">
        <v>11</v>
      </c>
      <c r="CL54" s="105">
        <v>15</v>
      </c>
      <c r="CM54" s="97">
        <f t="shared" si="72"/>
        <v>54</v>
      </c>
      <c r="CN54" s="106" t="str">
        <f>IFERROR(IF(CM54=0,"",ROUND((CM54/SUM(SETTINGS!$L$14:$L$17))*SETTINGS!$L$18,0)),"")</f>
        <v/>
      </c>
      <c r="CO54" s="105">
        <v>37</v>
      </c>
      <c r="CP54" s="106" t="str">
        <f>IFERROR(IF(ISBLANK(CO54),"",ROUND((CO54/SETTINGS!$L$19)*SETTINGS!$L$20,0)),"")</f>
        <v/>
      </c>
      <c r="CQ54" s="106" t="str">
        <f t="shared" si="73"/>
        <v/>
      </c>
      <c r="CR54" s="103" t="str">
        <f t="shared" si="74"/>
        <v/>
      </c>
      <c r="CS54" s="107" t="str">
        <f t="shared" si="75"/>
        <v/>
      </c>
      <c r="CT54" s="130"/>
      <c r="CU54" s="105">
        <v>11</v>
      </c>
      <c r="CV54" s="105">
        <v>15</v>
      </c>
      <c r="CW54" s="105">
        <v>10</v>
      </c>
      <c r="CX54" s="105">
        <v>13</v>
      </c>
      <c r="CY54" s="97">
        <f t="shared" si="76"/>
        <v>49</v>
      </c>
      <c r="CZ54" s="106" t="str">
        <f>IFERROR(IF(CY54=0,"",ROUND((CY54/SUM(SETTINGS!$L$14:$L$17))*SETTINGS!$L$18,0)),"")</f>
        <v/>
      </c>
      <c r="DA54" s="105">
        <v>56</v>
      </c>
      <c r="DB54" s="106" t="str">
        <f>IFERROR(IF(ISBLANK(DA54),"",ROUND((DA54/SETTINGS!$L$19)*SETTINGS!$L$20,0)),"")</f>
        <v/>
      </c>
      <c r="DC54" s="106" t="str">
        <f t="shared" si="77"/>
        <v/>
      </c>
      <c r="DD54" s="103" t="str">
        <f t="shared" si="78"/>
        <v/>
      </c>
      <c r="DE54" s="107" t="str">
        <f t="shared" si="79"/>
        <v/>
      </c>
      <c r="DF54" s="103" t="str">
        <f t="shared" si="80"/>
        <v/>
      </c>
      <c r="DG54" s="103" t="str">
        <f>IFERROR(IF(AND(K54,W54,AI54,AU54,BG54,BS54,CE54,CQ54,DC54)="","",SUM(K54,W54,AI54,AU54,LARGE((BG54,BS54,CE54,CQ54,DC54),{1,2}))),"")</f>
        <v/>
      </c>
      <c r="DH54" s="103" t="str">
        <f>IFERROR(IF(AND(M54,Y54,AK54,AW54,,BI54,BU54,CG54,CS54,DE54)="","",SUM(M54,Y54,AK54,AW54,SMALL((BI54,BU54,CG54,CS54,DE54),{1,2}))),"")</f>
        <v/>
      </c>
      <c r="DI54" s="109" t="str">
        <f>IFERROR(pos&amp;IF(AND(MOD(ABS(18),100)&gt;10,MOD(ABS(pos),100)&lt;14),"th", CHOOSE(MOD(ABS(pos),10)+1,"th","st","nd","rd","th","th","th","th","th","th")),"")</f>
        <v/>
      </c>
      <c r="DJ54" s="62">
        <f>ROWS($B$12:$B54)</f>
        <v>43</v>
      </c>
      <c r="DK54" s="62" t="str">
        <f>IF($B54=REPORT_CARD!$M$12,$DJ54,"")</f>
        <v/>
      </c>
      <c r="DM54" s="65"/>
    </row>
    <row r="55" spans="1:117" ht="19.5" customHeight="1">
      <c r="A55" s="140" t="str">
        <f>IFERROR(IF(ISBLANK(#REF!),"",#REF!),"")</f>
        <v/>
      </c>
      <c r="B55" s="140" t="str">
        <f>IFERROR(IF(ISBLANK(#REF!),"",#REF!),"")</f>
        <v/>
      </c>
      <c r="C55" s="105">
        <v>9</v>
      </c>
      <c r="D55" s="105">
        <v>15</v>
      </c>
      <c r="E55" s="105">
        <v>11</v>
      </c>
      <c r="F55" s="105">
        <v>12</v>
      </c>
      <c r="G55" s="97">
        <f t="shared" si="44"/>
        <v>47</v>
      </c>
      <c r="H55" s="106" t="str">
        <f>IFERROR(IF(G55=0,"",ROUND((G55/SUM(SETTINGS!$L$14:$L$17))*SETTINGS!$L$18,0)),"")</f>
        <v/>
      </c>
      <c r="I55" s="105">
        <v>32</v>
      </c>
      <c r="J55" s="106" t="str">
        <f>IFERROR(IF(ISBLANK(I55),"",ROUND((I55/SETTINGS!$L$19)*SETTINGS!$L$20,0)),"")</f>
        <v/>
      </c>
      <c r="K55" s="106" t="str">
        <f t="shared" si="45"/>
        <v/>
      </c>
      <c r="L55" s="103" t="str">
        <f t="shared" si="46"/>
        <v/>
      </c>
      <c r="M55" s="107" t="str">
        <f t="shared" si="47"/>
        <v/>
      </c>
      <c r="N55" s="136"/>
      <c r="O55" s="105">
        <v>5</v>
      </c>
      <c r="P55" s="105">
        <v>14</v>
      </c>
      <c r="Q55" s="105">
        <v>7</v>
      </c>
      <c r="R55" s="105">
        <v>12</v>
      </c>
      <c r="S55" s="97">
        <f t="shared" si="48"/>
        <v>38</v>
      </c>
      <c r="T55" s="106" t="str">
        <f>IFERROR(IF(S55=0,"",ROUND((S55/SUM(SETTINGS!$L$14:$L$17))*SETTINGS!$L$18,0)),"")</f>
        <v/>
      </c>
      <c r="U55" s="105">
        <v>20</v>
      </c>
      <c r="V55" s="106" t="str">
        <f>IFERROR(IF(ISBLANK(U55),"",ROUND((U55/SETTINGS!$L$19)*SETTINGS!$L$20,0)),"")</f>
        <v/>
      </c>
      <c r="W55" s="106" t="str">
        <f t="shared" si="49"/>
        <v/>
      </c>
      <c r="X55" s="103" t="str">
        <f t="shared" si="50"/>
        <v/>
      </c>
      <c r="Y55" s="107" t="str">
        <f t="shared" si="51"/>
        <v/>
      </c>
      <c r="Z55" s="130"/>
      <c r="AA55" s="105">
        <v>10</v>
      </c>
      <c r="AB55" s="105">
        <v>10</v>
      </c>
      <c r="AC55" s="105">
        <v>6</v>
      </c>
      <c r="AD55" s="105">
        <v>10</v>
      </c>
      <c r="AE55" s="97">
        <f t="shared" si="52"/>
        <v>36</v>
      </c>
      <c r="AF55" s="106" t="str">
        <f>IFERROR(IF(AE55=0,"",ROUND((AE55/SUM(SETTINGS!$L$14:$L$17))*SETTINGS!$L$18,0)),"")</f>
        <v/>
      </c>
      <c r="AG55" s="105">
        <v>27</v>
      </c>
      <c r="AH55" s="106" t="str">
        <f>IFERROR(IF(ISBLANK(AG55),"",ROUND((AG55/SETTINGS!$L$19)*SETTINGS!$L$20,0)),"")</f>
        <v/>
      </c>
      <c r="AI55" s="106" t="str">
        <f t="shared" si="53"/>
        <v/>
      </c>
      <c r="AJ55" s="103" t="str">
        <f t="shared" si="54"/>
        <v/>
      </c>
      <c r="AK55" s="108" t="str">
        <f t="shared" si="55"/>
        <v/>
      </c>
      <c r="AL55" s="130"/>
      <c r="AM55" s="105">
        <v>7</v>
      </c>
      <c r="AN55" s="105">
        <v>6</v>
      </c>
      <c r="AO55" s="105">
        <v>15</v>
      </c>
      <c r="AP55" s="105">
        <v>15</v>
      </c>
      <c r="AQ55" s="97">
        <f t="shared" si="56"/>
        <v>43</v>
      </c>
      <c r="AR55" s="106" t="str">
        <f>IFERROR(IF(AQ55=0,"",ROUND((AQ55/SUM(SETTINGS!$L$14:$L$17))*SETTINGS!$L$18,0)),"")</f>
        <v/>
      </c>
      <c r="AS55" s="105">
        <v>19</v>
      </c>
      <c r="AT55" s="106" t="str">
        <f>IFERROR(IF(ISBLANK(AS55),"",ROUND((AS55/SETTINGS!$L$19)*SETTINGS!$L$20,0)),"")</f>
        <v/>
      </c>
      <c r="AU55" s="106" t="str">
        <f t="shared" si="57"/>
        <v/>
      </c>
      <c r="AV55" s="103" t="str">
        <f t="shared" si="58"/>
        <v/>
      </c>
      <c r="AW55" s="107" t="str">
        <f t="shared" si="59"/>
        <v/>
      </c>
      <c r="AX55" s="130"/>
      <c r="AY55" s="105">
        <v>8</v>
      </c>
      <c r="AZ55" s="105">
        <v>13</v>
      </c>
      <c r="BA55" s="105">
        <v>11</v>
      </c>
      <c r="BB55" s="105">
        <v>12</v>
      </c>
      <c r="BC55" s="97">
        <f t="shared" si="60"/>
        <v>44</v>
      </c>
      <c r="BD55" s="106" t="str">
        <f>IFERROR(IF(BC55=0,"",ROUND((BC55/SUM(SETTINGS!$L$14:$L$17))*SETTINGS!$L$18,0)),"")</f>
        <v/>
      </c>
      <c r="BE55" s="105">
        <v>37</v>
      </c>
      <c r="BF55" s="106" t="str">
        <f>IFERROR(IF(ISBLANK(BE55),"",ROUND((BE55/SETTINGS!$L$19)*SETTINGS!$L$20,0)),"")</f>
        <v/>
      </c>
      <c r="BG55" s="106" t="str">
        <f t="shared" si="61"/>
        <v/>
      </c>
      <c r="BH55" s="103" t="str">
        <f t="shared" si="62"/>
        <v/>
      </c>
      <c r="BI55" s="108" t="str">
        <f t="shared" si="63"/>
        <v/>
      </c>
      <c r="BJ55" s="130"/>
      <c r="BK55" s="105">
        <v>12</v>
      </c>
      <c r="BL55" s="105">
        <v>2</v>
      </c>
      <c r="BM55" s="105">
        <v>3</v>
      </c>
      <c r="BN55" s="105">
        <v>15</v>
      </c>
      <c r="BO55" s="97">
        <f t="shared" si="64"/>
        <v>32</v>
      </c>
      <c r="BP55" s="106" t="str">
        <f>IFERROR(IF(BO55=0,"",ROUND((BO55/SUM(SETTINGS!$L$14:$L$17))*SETTINGS!$L$18,0)),"")</f>
        <v/>
      </c>
      <c r="BQ55" s="105">
        <v>27</v>
      </c>
      <c r="BR55" s="106" t="str">
        <f>IFERROR(IF(ISBLANK(BQ55),"",ROUND((BQ55/SETTINGS!$L$19)*SETTINGS!$L$20,0)),"")</f>
        <v/>
      </c>
      <c r="BS55" s="106" t="str">
        <f t="shared" si="65"/>
        <v/>
      </c>
      <c r="BT55" s="103" t="str">
        <f t="shared" si="66"/>
        <v/>
      </c>
      <c r="BU55" s="107" t="str">
        <f t="shared" si="67"/>
        <v/>
      </c>
      <c r="BV55" s="130"/>
      <c r="BW55" s="105">
        <v>8</v>
      </c>
      <c r="BX55" s="105">
        <v>8</v>
      </c>
      <c r="BY55" s="105">
        <v>8</v>
      </c>
      <c r="BZ55" s="105">
        <v>2</v>
      </c>
      <c r="CA55" s="97">
        <f t="shared" si="68"/>
        <v>26</v>
      </c>
      <c r="CB55" s="106" t="str">
        <f>IFERROR(IF(CA55=0,"",ROUND((CA55/SUM(SETTINGS!$L$14:$L$17))*SETTINGS!$L$18,0)),"")</f>
        <v/>
      </c>
      <c r="CC55" s="105">
        <v>23</v>
      </c>
      <c r="CD55" s="106" t="str">
        <f>IFERROR(IF(ISBLANK(CC55),"",ROUND((CC55/SETTINGS!$L$19)*SETTINGS!$L$20,0)),"")</f>
        <v/>
      </c>
      <c r="CE55" s="106" t="str">
        <f t="shared" si="69"/>
        <v/>
      </c>
      <c r="CF55" s="103" t="str">
        <f t="shared" si="70"/>
        <v/>
      </c>
      <c r="CG55" s="107" t="str">
        <f t="shared" si="71"/>
        <v/>
      </c>
      <c r="CH55" s="130"/>
      <c r="CI55" s="105">
        <v>7</v>
      </c>
      <c r="CJ55" s="105">
        <v>15</v>
      </c>
      <c r="CK55" s="105">
        <v>10</v>
      </c>
      <c r="CL55" s="105">
        <v>12</v>
      </c>
      <c r="CM55" s="97">
        <f t="shared" si="72"/>
        <v>44</v>
      </c>
      <c r="CN55" s="106" t="str">
        <f>IFERROR(IF(CM55=0,"",ROUND((CM55/SUM(SETTINGS!$L$14:$L$17))*SETTINGS!$L$18,0)),"")</f>
        <v/>
      </c>
      <c r="CO55" s="105">
        <v>25</v>
      </c>
      <c r="CP55" s="106" t="str">
        <f>IFERROR(IF(ISBLANK(CO55),"",ROUND((CO55/SETTINGS!$L$19)*SETTINGS!$L$20,0)),"")</f>
        <v/>
      </c>
      <c r="CQ55" s="106" t="str">
        <f t="shared" si="73"/>
        <v/>
      </c>
      <c r="CR55" s="103" t="str">
        <f t="shared" si="74"/>
        <v/>
      </c>
      <c r="CS55" s="107" t="str">
        <f t="shared" si="75"/>
        <v/>
      </c>
      <c r="CT55" s="130"/>
      <c r="CU55" s="105">
        <v>12</v>
      </c>
      <c r="CV55" s="105">
        <v>14</v>
      </c>
      <c r="CW55" s="105">
        <v>14</v>
      </c>
      <c r="CX55" s="105">
        <v>8</v>
      </c>
      <c r="CY55" s="97">
        <f t="shared" si="76"/>
        <v>48</v>
      </c>
      <c r="CZ55" s="106" t="str">
        <f>IFERROR(IF(CY55=0,"",ROUND((CY55/SUM(SETTINGS!$L$14:$L$17))*SETTINGS!$L$18,0)),"")</f>
        <v/>
      </c>
      <c r="DA55" s="105">
        <v>32</v>
      </c>
      <c r="DB55" s="106" t="str">
        <f>IFERROR(IF(ISBLANK(DA55),"",ROUND((DA55/SETTINGS!$L$19)*SETTINGS!$L$20,0)),"")</f>
        <v/>
      </c>
      <c r="DC55" s="106" t="str">
        <f t="shared" si="77"/>
        <v/>
      </c>
      <c r="DD55" s="103" t="str">
        <f t="shared" si="78"/>
        <v/>
      </c>
      <c r="DE55" s="107" t="str">
        <f t="shared" si="79"/>
        <v/>
      </c>
      <c r="DF55" s="103" t="str">
        <f t="shared" si="80"/>
        <v/>
      </c>
      <c r="DG55" s="103" t="str">
        <f>IFERROR(IF(AND(K55,W55,AI55,AU55,BG55,BS55,CE55,CQ55,DC55)="","",SUM(K55,W55,AI55,AU55,LARGE((BG55,BS55,CE55,CQ55,DC55),{1,2}))),"")</f>
        <v/>
      </c>
      <c r="DH55" s="103" t="str">
        <f>IFERROR(IF(AND(M55,Y55,AK55,AW55,,BI55,BU55,CG55,CS55,DE55)="","",SUM(M55,Y55,AK55,AW55,SMALL((BI55,BU55,CG55,CS55,DE55),{1,2}))),"")</f>
        <v/>
      </c>
      <c r="DI55" s="109" t="str">
        <f>IFERROR(pos&amp;IF(AND(MOD(ABS(18),100)&gt;10,MOD(ABS(pos),100)&lt;14),"th", CHOOSE(MOD(ABS(pos),10)+1,"th","st","nd","rd","th","th","th","th","th","th")),"")</f>
        <v/>
      </c>
      <c r="DJ55" s="62">
        <f>ROWS($B$12:$B55)</f>
        <v>44</v>
      </c>
      <c r="DK55" s="62" t="str">
        <f>IF($B55=REPORT_CARD!$M$12,$DJ55,"")</f>
        <v/>
      </c>
      <c r="DM55" s="65"/>
    </row>
    <row r="56" spans="1:117" ht="19.5" customHeight="1">
      <c r="A56" s="140" t="str">
        <f>IFERROR(IF(ISBLANK(#REF!),"",#REF!),"")</f>
        <v/>
      </c>
      <c r="B56" s="140" t="str">
        <f>IFERROR(IF(ISBLANK(#REF!),"",#REF!),"")</f>
        <v/>
      </c>
      <c r="C56" s="105">
        <v>10</v>
      </c>
      <c r="D56" s="105">
        <v>12</v>
      </c>
      <c r="E56" s="105">
        <v>15</v>
      </c>
      <c r="F56" s="105">
        <v>15</v>
      </c>
      <c r="G56" s="97">
        <f t="shared" si="44"/>
        <v>52</v>
      </c>
      <c r="H56" s="106" t="str">
        <f>IFERROR(IF(G56=0,"",ROUND((G56/SUM(SETTINGS!$L$14:$L$17))*SETTINGS!$L$18,0)),"")</f>
        <v/>
      </c>
      <c r="I56" s="105">
        <v>24</v>
      </c>
      <c r="J56" s="106" t="str">
        <f>IFERROR(IF(ISBLANK(I56),"",ROUND((I56/SETTINGS!$L$19)*SETTINGS!$L$20,0)),"")</f>
        <v/>
      </c>
      <c r="K56" s="106" t="str">
        <f t="shared" si="45"/>
        <v/>
      </c>
      <c r="L56" s="103" t="str">
        <f t="shared" si="46"/>
        <v/>
      </c>
      <c r="M56" s="107" t="str">
        <f t="shared" si="47"/>
        <v/>
      </c>
      <c r="N56" s="136"/>
      <c r="O56" s="105">
        <v>5</v>
      </c>
      <c r="P56" s="105">
        <v>10</v>
      </c>
      <c r="Q56" s="105">
        <v>5</v>
      </c>
      <c r="R56" s="105">
        <v>5</v>
      </c>
      <c r="S56" s="97">
        <f t="shared" si="48"/>
        <v>25</v>
      </c>
      <c r="T56" s="106" t="str">
        <f>IFERROR(IF(S56=0,"",ROUND((S56/SUM(SETTINGS!$L$14:$L$17))*SETTINGS!$L$18,0)),"")</f>
        <v/>
      </c>
      <c r="U56" s="105">
        <v>16</v>
      </c>
      <c r="V56" s="106" t="str">
        <f>IFERROR(IF(ISBLANK(U56),"",ROUND((U56/SETTINGS!$L$19)*SETTINGS!$L$20,0)),"")</f>
        <v/>
      </c>
      <c r="W56" s="106" t="str">
        <f t="shared" si="49"/>
        <v/>
      </c>
      <c r="X56" s="103" t="str">
        <f t="shared" si="50"/>
        <v/>
      </c>
      <c r="Y56" s="107" t="str">
        <f t="shared" si="51"/>
        <v/>
      </c>
      <c r="Z56" s="130"/>
      <c r="AA56" s="105">
        <v>8</v>
      </c>
      <c r="AB56" s="105">
        <v>10</v>
      </c>
      <c r="AC56" s="105">
        <v>10</v>
      </c>
      <c r="AD56" s="105">
        <v>8</v>
      </c>
      <c r="AE56" s="97">
        <f t="shared" si="52"/>
        <v>36</v>
      </c>
      <c r="AF56" s="106" t="str">
        <f>IFERROR(IF(AE56=0,"",ROUND((AE56/SUM(SETTINGS!$L$14:$L$17))*SETTINGS!$L$18,0)),"")</f>
        <v/>
      </c>
      <c r="AG56" s="105">
        <v>39</v>
      </c>
      <c r="AH56" s="106" t="str">
        <f>IFERROR(IF(ISBLANK(AG56),"",ROUND((AG56/SETTINGS!$L$19)*SETTINGS!$L$20,0)),"")</f>
        <v/>
      </c>
      <c r="AI56" s="106" t="str">
        <f t="shared" si="53"/>
        <v/>
      </c>
      <c r="AJ56" s="103" t="str">
        <f t="shared" si="54"/>
        <v/>
      </c>
      <c r="AK56" s="108" t="str">
        <f t="shared" si="55"/>
        <v/>
      </c>
      <c r="AL56" s="130"/>
      <c r="AM56" s="105">
        <v>7</v>
      </c>
      <c r="AN56" s="105">
        <v>6</v>
      </c>
      <c r="AO56" s="105">
        <v>10</v>
      </c>
      <c r="AP56" s="105">
        <v>15</v>
      </c>
      <c r="AQ56" s="97">
        <f t="shared" si="56"/>
        <v>38</v>
      </c>
      <c r="AR56" s="106" t="str">
        <f>IFERROR(IF(AQ56=0,"",ROUND((AQ56/SUM(SETTINGS!$L$14:$L$17))*SETTINGS!$L$18,0)),"")</f>
        <v/>
      </c>
      <c r="AS56" s="105">
        <v>22</v>
      </c>
      <c r="AT56" s="106" t="str">
        <f>IFERROR(IF(ISBLANK(AS56),"",ROUND((AS56/SETTINGS!$L$19)*SETTINGS!$L$20,0)),"")</f>
        <v/>
      </c>
      <c r="AU56" s="106" t="str">
        <f t="shared" si="57"/>
        <v/>
      </c>
      <c r="AV56" s="103" t="str">
        <f t="shared" si="58"/>
        <v/>
      </c>
      <c r="AW56" s="107" t="str">
        <f t="shared" si="59"/>
        <v/>
      </c>
      <c r="AX56" s="130"/>
      <c r="AY56" s="105">
        <v>6</v>
      </c>
      <c r="AZ56" s="105">
        <v>10</v>
      </c>
      <c r="BA56" s="105">
        <v>8</v>
      </c>
      <c r="BB56" s="105">
        <v>15</v>
      </c>
      <c r="BC56" s="97">
        <f t="shared" si="60"/>
        <v>39</v>
      </c>
      <c r="BD56" s="106" t="str">
        <f>IFERROR(IF(BC56=0,"",ROUND((BC56/SUM(SETTINGS!$L$14:$L$17))*SETTINGS!$L$18,0)),"")</f>
        <v/>
      </c>
      <c r="BE56" s="105">
        <v>27</v>
      </c>
      <c r="BF56" s="106" t="str">
        <f>IFERROR(IF(ISBLANK(BE56),"",ROUND((BE56/SETTINGS!$L$19)*SETTINGS!$L$20,0)),"")</f>
        <v/>
      </c>
      <c r="BG56" s="106" t="str">
        <f t="shared" si="61"/>
        <v/>
      </c>
      <c r="BH56" s="103" t="str">
        <f t="shared" si="62"/>
        <v/>
      </c>
      <c r="BI56" s="108" t="str">
        <f t="shared" si="63"/>
        <v/>
      </c>
      <c r="BJ56" s="130"/>
      <c r="BK56" s="105">
        <v>2</v>
      </c>
      <c r="BL56" s="105">
        <v>8</v>
      </c>
      <c r="BM56" s="105">
        <v>1</v>
      </c>
      <c r="BN56" s="105">
        <v>15</v>
      </c>
      <c r="BO56" s="97">
        <f t="shared" si="64"/>
        <v>26</v>
      </c>
      <c r="BP56" s="106" t="str">
        <f>IFERROR(IF(BO56=0,"",ROUND((BO56/SUM(SETTINGS!$L$14:$L$17))*SETTINGS!$L$18,0)),"")</f>
        <v/>
      </c>
      <c r="BQ56" s="105">
        <v>24</v>
      </c>
      <c r="BR56" s="106" t="str">
        <f>IFERROR(IF(ISBLANK(BQ56),"",ROUND((BQ56/SETTINGS!$L$19)*SETTINGS!$L$20,0)),"")</f>
        <v/>
      </c>
      <c r="BS56" s="106" t="str">
        <f t="shared" si="65"/>
        <v/>
      </c>
      <c r="BT56" s="103" t="str">
        <f t="shared" si="66"/>
        <v/>
      </c>
      <c r="BU56" s="107" t="str">
        <f t="shared" si="67"/>
        <v/>
      </c>
      <c r="BV56" s="130"/>
      <c r="BW56" s="105">
        <v>7</v>
      </c>
      <c r="BX56" s="105">
        <v>1</v>
      </c>
      <c r="BY56" s="105">
        <v>14</v>
      </c>
      <c r="BZ56" s="105">
        <v>8</v>
      </c>
      <c r="CA56" s="97">
        <f t="shared" si="68"/>
        <v>30</v>
      </c>
      <c r="CB56" s="106" t="str">
        <f>IFERROR(IF(CA56=0,"",ROUND((CA56/SUM(SETTINGS!$L$14:$L$17))*SETTINGS!$L$18,0)),"")</f>
        <v/>
      </c>
      <c r="CC56" s="105">
        <v>23</v>
      </c>
      <c r="CD56" s="106" t="str">
        <f>IFERROR(IF(ISBLANK(CC56),"",ROUND((CC56/SETTINGS!$L$19)*SETTINGS!$L$20,0)),"")</f>
        <v/>
      </c>
      <c r="CE56" s="106" t="str">
        <f t="shared" si="69"/>
        <v/>
      </c>
      <c r="CF56" s="103" t="str">
        <f t="shared" si="70"/>
        <v/>
      </c>
      <c r="CG56" s="107" t="str">
        <f t="shared" si="71"/>
        <v/>
      </c>
      <c r="CH56" s="130"/>
      <c r="CI56" s="105">
        <v>9</v>
      </c>
      <c r="CJ56" s="105">
        <v>15</v>
      </c>
      <c r="CK56" s="105">
        <v>8</v>
      </c>
      <c r="CL56" s="105">
        <v>10</v>
      </c>
      <c r="CM56" s="97">
        <f t="shared" si="72"/>
        <v>42</v>
      </c>
      <c r="CN56" s="106" t="str">
        <f>IFERROR(IF(CM56=0,"",ROUND((CM56/SUM(SETTINGS!$L$14:$L$17))*SETTINGS!$L$18,0)),"")</f>
        <v/>
      </c>
      <c r="CO56" s="105">
        <v>16</v>
      </c>
      <c r="CP56" s="106" t="str">
        <f>IFERROR(IF(ISBLANK(CO56),"",ROUND((CO56/SETTINGS!$L$19)*SETTINGS!$L$20,0)),"")</f>
        <v/>
      </c>
      <c r="CQ56" s="106" t="str">
        <f t="shared" si="73"/>
        <v/>
      </c>
      <c r="CR56" s="103" t="str">
        <f t="shared" si="74"/>
        <v/>
      </c>
      <c r="CS56" s="107" t="str">
        <f t="shared" si="75"/>
        <v/>
      </c>
      <c r="CT56" s="130"/>
      <c r="CU56" s="105">
        <v>13</v>
      </c>
      <c r="CV56" s="105">
        <v>4</v>
      </c>
      <c r="CW56" s="105">
        <v>6</v>
      </c>
      <c r="CX56" s="105">
        <v>4</v>
      </c>
      <c r="CY56" s="97">
        <f t="shared" si="76"/>
        <v>27</v>
      </c>
      <c r="CZ56" s="106" t="str">
        <f>IFERROR(IF(CY56=0,"",ROUND((CY56/SUM(SETTINGS!$L$14:$L$17))*SETTINGS!$L$18,0)),"")</f>
        <v/>
      </c>
      <c r="DA56" s="105">
        <v>24</v>
      </c>
      <c r="DB56" s="106" t="str">
        <f>IFERROR(IF(ISBLANK(DA56),"",ROUND((DA56/SETTINGS!$L$19)*SETTINGS!$L$20,0)),"")</f>
        <v/>
      </c>
      <c r="DC56" s="106" t="str">
        <f t="shared" si="77"/>
        <v/>
      </c>
      <c r="DD56" s="103" t="str">
        <f t="shared" si="78"/>
        <v/>
      </c>
      <c r="DE56" s="107" t="str">
        <f t="shared" si="79"/>
        <v/>
      </c>
      <c r="DF56" s="103" t="str">
        <f t="shared" si="80"/>
        <v/>
      </c>
      <c r="DG56" s="103" t="str">
        <f>IFERROR(IF(AND(K56,W56,AI56,AU56,BG56,BS56,CE56,CQ56,DC56)="","",SUM(K56,W56,AI56,AU56,LARGE((BG56,BS56,CE56,CQ56,DC56),{1,2}))),"")</f>
        <v/>
      </c>
      <c r="DH56" s="103" t="str">
        <f>IFERROR(IF(AND(M56,Y56,AK56,AW56,,BI56,BU56,CG56,CS56,DE56)="","",SUM(M56,Y56,AK56,AW56,SMALL((BI56,BU56,CG56,CS56,DE56),{1,2}))),"")</f>
        <v/>
      </c>
      <c r="DI56" s="109" t="str">
        <f>IFERROR(pos&amp;IF(AND(MOD(ABS(18),100)&gt;10,MOD(ABS(pos),100)&lt;14),"th", CHOOSE(MOD(ABS(pos),10)+1,"th","st","nd","rd","th","th","th","th","th","th")),"")</f>
        <v/>
      </c>
      <c r="DJ56" s="62">
        <f>ROWS($B$12:$B56)</f>
        <v>45</v>
      </c>
      <c r="DK56" s="62" t="str">
        <f>IF($B56=REPORT_CARD!$M$12,$DJ56,"")</f>
        <v/>
      </c>
      <c r="DM56" s="65"/>
    </row>
    <row r="57" spans="1:117" ht="19.5" customHeight="1">
      <c r="A57" s="140" t="str">
        <f>IFERROR(IF(ISBLANK(#REF!),"",#REF!),"")</f>
        <v/>
      </c>
      <c r="B57" s="140" t="str">
        <f>IFERROR(IF(ISBLANK(#REF!),"",#REF!),"")</f>
        <v/>
      </c>
      <c r="C57" s="105">
        <v>15</v>
      </c>
      <c r="D57" s="105">
        <v>13</v>
      </c>
      <c r="E57" s="105">
        <v>10</v>
      </c>
      <c r="F57" s="105">
        <v>9</v>
      </c>
      <c r="G57" s="97">
        <f t="shared" si="44"/>
        <v>47</v>
      </c>
      <c r="H57" s="106" t="str">
        <f>IFERROR(IF(G57=0,"",ROUND((G57/SUM(SETTINGS!$L$14:$L$17))*SETTINGS!$L$18,0)),"")</f>
        <v/>
      </c>
      <c r="I57" s="105">
        <v>57</v>
      </c>
      <c r="J57" s="106" t="str">
        <f>IFERROR(IF(ISBLANK(I57),"",ROUND((I57/SETTINGS!$L$19)*SETTINGS!$L$20,0)),"")</f>
        <v/>
      </c>
      <c r="K57" s="106" t="str">
        <f t="shared" si="45"/>
        <v/>
      </c>
      <c r="L57" s="103" t="str">
        <f t="shared" si="46"/>
        <v/>
      </c>
      <c r="M57" s="107" t="str">
        <f t="shared" si="47"/>
        <v/>
      </c>
      <c r="N57" s="136"/>
      <c r="O57" s="105">
        <v>11</v>
      </c>
      <c r="P57" s="105">
        <v>13</v>
      </c>
      <c r="Q57" s="105">
        <v>7</v>
      </c>
      <c r="R57" s="105">
        <v>12</v>
      </c>
      <c r="S57" s="97">
        <f t="shared" si="48"/>
        <v>43</v>
      </c>
      <c r="T57" s="106" t="str">
        <f>IFERROR(IF(S57=0,"",ROUND((S57/SUM(SETTINGS!$L$14:$L$17))*SETTINGS!$L$18,0)),"")</f>
        <v/>
      </c>
      <c r="U57" s="105">
        <v>46</v>
      </c>
      <c r="V57" s="106" t="str">
        <f>IFERROR(IF(ISBLANK(U57),"",ROUND((U57/SETTINGS!$L$19)*SETTINGS!$L$20,0)),"")</f>
        <v/>
      </c>
      <c r="W57" s="106" t="str">
        <f t="shared" si="49"/>
        <v/>
      </c>
      <c r="X57" s="103" t="str">
        <f t="shared" si="50"/>
        <v/>
      </c>
      <c r="Y57" s="107" t="str">
        <f t="shared" si="51"/>
        <v/>
      </c>
      <c r="Z57" s="130"/>
      <c r="AA57" s="105">
        <v>11</v>
      </c>
      <c r="AB57" s="105">
        <v>10</v>
      </c>
      <c r="AC57" s="105">
        <v>12</v>
      </c>
      <c r="AD57" s="105">
        <v>12</v>
      </c>
      <c r="AE57" s="97">
        <f t="shared" si="52"/>
        <v>45</v>
      </c>
      <c r="AF57" s="106" t="str">
        <f>IFERROR(IF(AE57=0,"",ROUND((AE57/SUM(SETTINGS!$L$14:$L$17))*SETTINGS!$L$18,0)),"")</f>
        <v/>
      </c>
      <c r="AG57" s="105">
        <v>66</v>
      </c>
      <c r="AH57" s="106" t="str">
        <f>IFERROR(IF(ISBLANK(AG57),"",ROUND((AG57/SETTINGS!$L$19)*SETTINGS!$L$20,0)),"")</f>
        <v/>
      </c>
      <c r="AI57" s="106" t="str">
        <f t="shared" si="53"/>
        <v/>
      </c>
      <c r="AJ57" s="103" t="str">
        <f t="shared" si="54"/>
        <v/>
      </c>
      <c r="AK57" s="108" t="str">
        <f t="shared" si="55"/>
        <v/>
      </c>
      <c r="AL57" s="130"/>
      <c r="AM57" s="105">
        <v>6</v>
      </c>
      <c r="AN57" s="105">
        <v>7</v>
      </c>
      <c r="AO57" s="105">
        <v>10</v>
      </c>
      <c r="AP57" s="105">
        <v>14</v>
      </c>
      <c r="AQ57" s="97">
        <f t="shared" si="56"/>
        <v>37</v>
      </c>
      <c r="AR57" s="106" t="str">
        <f>IFERROR(IF(AQ57=0,"",ROUND((AQ57/SUM(SETTINGS!$L$14:$L$17))*SETTINGS!$L$18,0)),"")</f>
        <v/>
      </c>
      <c r="AS57" s="105">
        <v>37</v>
      </c>
      <c r="AT57" s="106" t="str">
        <f>IFERROR(IF(ISBLANK(AS57),"",ROUND((AS57/SETTINGS!$L$19)*SETTINGS!$L$20,0)),"")</f>
        <v/>
      </c>
      <c r="AU57" s="106" t="str">
        <f t="shared" si="57"/>
        <v/>
      </c>
      <c r="AV57" s="103" t="str">
        <f t="shared" si="58"/>
        <v/>
      </c>
      <c r="AW57" s="107" t="str">
        <f t="shared" si="59"/>
        <v/>
      </c>
      <c r="AX57" s="130"/>
      <c r="AY57" s="105">
        <v>12</v>
      </c>
      <c r="AZ57" s="105">
        <v>12</v>
      </c>
      <c r="BA57" s="105">
        <v>15</v>
      </c>
      <c r="BB57" s="105">
        <v>10</v>
      </c>
      <c r="BC57" s="97">
        <f t="shared" si="60"/>
        <v>49</v>
      </c>
      <c r="BD57" s="106" t="str">
        <f>IFERROR(IF(BC57=0,"",ROUND((BC57/SUM(SETTINGS!$L$14:$L$17))*SETTINGS!$L$18,0)),"")</f>
        <v/>
      </c>
      <c r="BE57" s="105">
        <v>75</v>
      </c>
      <c r="BF57" s="106" t="str">
        <f>IFERROR(IF(ISBLANK(BE57),"",ROUND((BE57/SETTINGS!$L$19)*SETTINGS!$L$20,0)),"")</f>
        <v/>
      </c>
      <c r="BG57" s="106" t="str">
        <f t="shared" si="61"/>
        <v/>
      </c>
      <c r="BH57" s="103" t="str">
        <f t="shared" si="62"/>
        <v/>
      </c>
      <c r="BI57" s="108" t="str">
        <f t="shared" si="63"/>
        <v/>
      </c>
      <c r="BJ57" s="130"/>
      <c r="BK57" s="105">
        <v>12</v>
      </c>
      <c r="BL57" s="105">
        <v>5</v>
      </c>
      <c r="BM57" s="105">
        <v>2</v>
      </c>
      <c r="BN57" s="105">
        <v>15</v>
      </c>
      <c r="BO57" s="97">
        <f t="shared" si="64"/>
        <v>34</v>
      </c>
      <c r="BP57" s="106" t="str">
        <f>IFERROR(IF(BO57=0,"",ROUND((BO57/SUM(SETTINGS!$L$14:$L$17))*SETTINGS!$L$18,0)),"")</f>
        <v/>
      </c>
      <c r="BQ57" s="105">
        <v>33</v>
      </c>
      <c r="BR57" s="106" t="str">
        <f>IFERROR(IF(ISBLANK(BQ57),"",ROUND((BQ57/SETTINGS!$L$19)*SETTINGS!$L$20,0)),"")</f>
        <v/>
      </c>
      <c r="BS57" s="106" t="str">
        <f t="shared" si="65"/>
        <v/>
      </c>
      <c r="BT57" s="103" t="str">
        <f t="shared" si="66"/>
        <v/>
      </c>
      <c r="BU57" s="107" t="str">
        <f t="shared" si="67"/>
        <v/>
      </c>
      <c r="BV57" s="130"/>
      <c r="BW57" s="105">
        <v>7</v>
      </c>
      <c r="BX57" s="105">
        <v>11</v>
      </c>
      <c r="BY57" s="105">
        <v>13</v>
      </c>
      <c r="BZ57" s="105">
        <v>13</v>
      </c>
      <c r="CA57" s="97">
        <f t="shared" si="68"/>
        <v>44</v>
      </c>
      <c r="CB57" s="106" t="str">
        <f>IFERROR(IF(CA57=0,"",ROUND((CA57/SUM(SETTINGS!$L$14:$L$17))*SETTINGS!$L$18,0)),"")</f>
        <v/>
      </c>
      <c r="CC57" s="105">
        <v>52</v>
      </c>
      <c r="CD57" s="106" t="str">
        <f>IFERROR(IF(ISBLANK(CC57),"",ROUND((CC57/SETTINGS!$L$19)*SETTINGS!$L$20,0)),"")</f>
        <v/>
      </c>
      <c r="CE57" s="106" t="str">
        <f t="shared" si="69"/>
        <v/>
      </c>
      <c r="CF57" s="103" t="str">
        <f t="shared" si="70"/>
        <v/>
      </c>
      <c r="CG57" s="107" t="str">
        <f t="shared" si="71"/>
        <v/>
      </c>
      <c r="CH57" s="130"/>
      <c r="CI57" s="105">
        <v>10</v>
      </c>
      <c r="CJ57" s="105">
        <v>15</v>
      </c>
      <c r="CK57" s="105">
        <v>11</v>
      </c>
      <c r="CL57" s="105">
        <v>15</v>
      </c>
      <c r="CM57" s="97">
        <f t="shared" si="72"/>
        <v>51</v>
      </c>
      <c r="CN57" s="106" t="str">
        <f>IFERROR(IF(CM57=0,"",ROUND((CM57/SUM(SETTINGS!$L$14:$L$17))*SETTINGS!$L$18,0)),"")</f>
        <v/>
      </c>
      <c r="CO57" s="105">
        <v>36</v>
      </c>
      <c r="CP57" s="106" t="str">
        <f>IFERROR(IF(ISBLANK(CO57),"",ROUND((CO57/SETTINGS!$L$19)*SETTINGS!$L$20,0)),"")</f>
        <v/>
      </c>
      <c r="CQ57" s="106" t="str">
        <f t="shared" si="73"/>
        <v/>
      </c>
      <c r="CR57" s="103" t="str">
        <f t="shared" si="74"/>
        <v/>
      </c>
      <c r="CS57" s="107" t="str">
        <f t="shared" si="75"/>
        <v/>
      </c>
      <c r="CT57" s="130"/>
      <c r="CU57" s="105">
        <v>7</v>
      </c>
      <c r="CV57" s="105">
        <v>15</v>
      </c>
      <c r="CW57" s="105">
        <v>7</v>
      </c>
      <c r="CX57" s="105">
        <v>10</v>
      </c>
      <c r="CY57" s="97">
        <f t="shared" si="76"/>
        <v>39</v>
      </c>
      <c r="CZ57" s="106" t="str">
        <f>IFERROR(IF(CY57=0,"",ROUND((CY57/SUM(SETTINGS!$L$14:$L$17))*SETTINGS!$L$18,0)),"")</f>
        <v/>
      </c>
      <c r="DA57" s="105">
        <v>55</v>
      </c>
      <c r="DB57" s="106" t="str">
        <f>IFERROR(IF(ISBLANK(DA57),"",ROUND((DA57/SETTINGS!$L$19)*SETTINGS!$L$20,0)),"")</f>
        <v/>
      </c>
      <c r="DC57" s="106" t="str">
        <f t="shared" si="77"/>
        <v/>
      </c>
      <c r="DD57" s="103" t="str">
        <f t="shared" si="78"/>
        <v/>
      </c>
      <c r="DE57" s="107" t="str">
        <f t="shared" si="79"/>
        <v/>
      </c>
      <c r="DF57" s="103" t="str">
        <f t="shared" si="80"/>
        <v/>
      </c>
      <c r="DG57" s="103" t="str">
        <f>IFERROR(IF(AND(K57,W57,AI57,AU57,BG57,BS57,CE57,CQ57,DC57)="","",SUM(K57,W57,AI57,AU57,LARGE((BG57,BS57,CE57,CQ57,DC57),{1,2}))),"")</f>
        <v/>
      </c>
      <c r="DH57" s="103" t="str">
        <f>IFERROR(IF(AND(M57,Y57,AK57,AW57,,BI57,BU57,CG57,CS57,DE57)="","",SUM(M57,Y57,AK57,AW57,SMALL((BI57,BU57,CG57,CS57,DE57),{1,2}))),"")</f>
        <v/>
      </c>
      <c r="DI57" s="109" t="str">
        <f>IFERROR(pos&amp;IF(AND(MOD(ABS(18),100)&gt;10,MOD(ABS(pos),100)&lt;14),"th", CHOOSE(MOD(ABS(pos),10)+1,"th","st","nd","rd","th","th","th","th","th","th")),"")</f>
        <v/>
      </c>
      <c r="DJ57" s="62">
        <f>ROWS($B$12:$B57)</f>
        <v>46</v>
      </c>
      <c r="DK57" s="62" t="str">
        <f>IF($B57=REPORT_CARD!$M$12,$DJ57,"")</f>
        <v/>
      </c>
      <c r="DM57" s="65"/>
    </row>
    <row r="58" spans="1:117" ht="19.5" customHeight="1">
      <c r="A58" s="140" t="str">
        <f>IFERROR(IF(ISBLANK(#REF!),"",#REF!),"")</f>
        <v/>
      </c>
      <c r="B58" s="140" t="str">
        <f>IFERROR(IF(ISBLANK(#REF!),"",#REF!),"")</f>
        <v/>
      </c>
      <c r="C58" s="105">
        <v>12</v>
      </c>
      <c r="D58" s="105">
        <v>12</v>
      </c>
      <c r="E58" s="105">
        <v>15</v>
      </c>
      <c r="F58" s="105">
        <v>5</v>
      </c>
      <c r="G58" s="97">
        <f t="shared" si="44"/>
        <v>44</v>
      </c>
      <c r="H58" s="106" t="str">
        <f>IFERROR(IF(G58=0,"",ROUND((G58/SUM(SETTINGS!$L$14:$L$17))*SETTINGS!$L$18,0)),"")</f>
        <v/>
      </c>
      <c r="I58" s="105">
        <v>34</v>
      </c>
      <c r="J58" s="106" t="str">
        <f>IFERROR(IF(ISBLANK(I58),"",ROUND((I58/SETTINGS!$L$19)*SETTINGS!$L$20,0)),"")</f>
        <v/>
      </c>
      <c r="K58" s="106" t="str">
        <f t="shared" si="45"/>
        <v/>
      </c>
      <c r="L58" s="103" t="str">
        <f t="shared" si="46"/>
        <v/>
      </c>
      <c r="M58" s="107" t="str">
        <f t="shared" si="47"/>
        <v/>
      </c>
      <c r="N58" s="136"/>
      <c r="O58" s="105">
        <v>5</v>
      </c>
      <c r="P58" s="105">
        <v>13</v>
      </c>
      <c r="Q58" s="105">
        <v>5</v>
      </c>
      <c r="R58" s="105">
        <v>8</v>
      </c>
      <c r="S58" s="97">
        <f t="shared" si="48"/>
        <v>31</v>
      </c>
      <c r="T58" s="106" t="str">
        <f>IFERROR(IF(S58=0,"",ROUND((S58/SUM(SETTINGS!$L$14:$L$17))*SETTINGS!$L$18,0)),"")</f>
        <v/>
      </c>
      <c r="U58" s="105">
        <v>34</v>
      </c>
      <c r="V58" s="106" t="str">
        <f>IFERROR(IF(ISBLANK(U58),"",ROUND((U58/SETTINGS!$L$19)*SETTINGS!$L$20,0)),"")</f>
        <v/>
      </c>
      <c r="W58" s="106" t="str">
        <f t="shared" si="49"/>
        <v/>
      </c>
      <c r="X58" s="103" t="str">
        <f t="shared" si="50"/>
        <v/>
      </c>
      <c r="Y58" s="107" t="str">
        <f t="shared" si="51"/>
        <v/>
      </c>
      <c r="Z58" s="130"/>
      <c r="AA58" s="105">
        <v>14</v>
      </c>
      <c r="AB58" s="105">
        <v>10</v>
      </c>
      <c r="AC58" s="105">
        <v>10</v>
      </c>
      <c r="AD58" s="105">
        <v>14</v>
      </c>
      <c r="AE58" s="97">
        <f t="shared" si="52"/>
        <v>48</v>
      </c>
      <c r="AF58" s="106" t="str">
        <f>IFERROR(IF(AE58=0,"",ROUND((AE58/SUM(SETTINGS!$L$14:$L$17))*SETTINGS!$L$18,0)),"")</f>
        <v/>
      </c>
      <c r="AG58" s="105">
        <v>35</v>
      </c>
      <c r="AH58" s="106" t="str">
        <f>IFERROR(IF(ISBLANK(AG58),"",ROUND((AG58/SETTINGS!$L$19)*SETTINGS!$L$20,0)),"")</f>
        <v/>
      </c>
      <c r="AI58" s="106" t="str">
        <f t="shared" si="53"/>
        <v/>
      </c>
      <c r="AJ58" s="103" t="str">
        <f t="shared" si="54"/>
        <v/>
      </c>
      <c r="AK58" s="108" t="str">
        <f t="shared" si="55"/>
        <v/>
      </c>
      <c r="AL58" s="130"/>
      <c r="AM58" s="105">
        <v>6</v>
      </c>
      <c r="AN58" s="105">
        <v>10</v>
      </c>
      <c r="AO58" s="105">
        <v>12</v>
      </c>
      <c r="AP58" s="105">
        <v>14</v>
      </c>
      <c r="AQ58" s="97">
        <f t="shared" si="56"/>
        <v>42</v>
      </c>
      <c r="AR58" s="106" t="str">
        <f>IFERROR(IF(AQ58=0,"",ROUND((AQ58/SUM(SETTINGS!$L$14:$L$17))*SETTINGS!$L$18,0)),"")</f>
        <v/>
      </c>
      <c r="AS58" s="105">
        <v>34</v>
      </c>
      <c r="AT58" s="106" t="str">
        <f>IFERROR(IF(ISBLANK(AS58),"",ROUND((AS58/SETTINGS!$L$19)*SETTINGS!$L$20,0)),"")</f>
        <v/>
      </c>
      <c r="AU58" s="106" t="str">
        <f t="shared" si="57"/>
        <v/>
      </c>
      <c r="AV58" s="103" t="str">
        <f t="shared" si="58"/>
        <v/>
      </c>
      <c r="AW58" s="107" t="str">
        <f t="shared" si="59"/>
        <v/>
      </c>
      <c r="AX58" s="130"/>
      <c r="AY58" s="105">
        <v>15</v>
      </c>
      <c r="AZ58" s="105">
        <v>8</v>
      </c>
      <c r="BA58" s="105">
        <v>10</v>
      </c>
      <c r="BB58" s="105">
        <v>10</v>
      </c>
      <c r="BC58" s="97">
        <f t="shared" si="60"/>
        <v>43</v>
      </c>
      <c r="BD58" s="106" t="str">
        <f>IFERROR(IF(BC58=0,"",ROUND((BC58/SUM(SETTINGS!$L$14:$L$17))*SETTINGS!$L$18,0)),"")</f>
        <v/>
      </c>
      <c r="BE58" s="105">
        <v>24</v>
      </c>
      <c r="BF58" s="106" t="str">
        <f>IFERROR(IF(ISBLANK(BE58),"",ROUND((BE58/SETTINGS!$L$19)*SETTINGS!$L$20,0)),"")</f>
        <v/>
      </c>
      <c r="BG58" s="106" t="str">
        <f t="shared" si="61"/>
        <v/>
      </c>
      <c r="BH58" s="103" t="str">
        <f t="shared" si="62"/>
        <v/>
      </c>
      <c r="BI58" s="108" t="str">
        <f t="shared" si="63"/>
        <v/>
      </c>
      <c r="BJ58" s="130"/>
      <c r="BK58" s="105">
        <v>11</v>
      </c>
      <c r="BL58" s="105">
        <v>12</v>
      </c>
      <c r="BM58" s="105">
        <v>10</v>
      </c>
      <c r="BN58" s="105">
        <v>11</v>
      </c>
      <c r="BO58" s="97">
        <f t="shared" si="64"/>
        <v>44</v>
      </c>
      <c r="BP58" s="106" t="str">
        <f>IFERROR(IF(BO58=0,"",ROUND((BO58/SUM(SETTINGS!$L$14:$L$17))*SETTINGS!$L$18,0)),"")</f>
        <v/>
      </c>
      <c r="BQ58" s="105">
        <v>37</v>
      </c>
      <c r="BR58" s="106" t="str">
        <f>IFERROR(IF(ISBLANK(BQ58),"",ROUND((BQ58/SETTINGS!$L$19)*SETTINGS!$L$20,0)),"")</f>
        <v/>
      </c>
      <c r="BS58" s="106" t="str">
        <f t="shared" si="65"/>
        <v/>
      </c>
      <c r="BT58" s="103" t="str">
        <f t="shared" si="66"/>
        <v/>
      </c>
      <c r="BU58" s="107" t="str">
        <f t="shared" si="67"/>
        <v/>
      </c>
      <c r="BV58" s="130"/>
      <c r="BW58" s="105">
        <v>10</v>
      </c>
      <c r="BX58" s="105">
        <v>8</v>
      </c>
      <c r="BY58" s="105">
        <v>10</v>
      </c>
      <c r="BZ58" s="105">
        <v>8</v>
      </c>
      <c r="CA58" s="97">
        <f t="shared" si="68"/>
        <v>36</v>
      </c>
      <c r="CB58" s="106" t="str">
        <f>IFERROR(IF(CA58=0,"",ROUND((CA58/SUM(SETTINGS!$L$14:$L$17))*SETTINGS!$L$18,0)),"")</f>
        <v/>
      </c>
      <c r="CC58" s="105">
        <v>21</v>
      </c>
      <c r="CD58" s="106" t="str">
        <f>IFERROR(IF(ISBLANK(CC58),"",ROUND((CC58/SETTINGS!$L$19)*SETTINGS!$L$20,0)),"")</f>
        <v/>
      </c>
      <c r="CE58" s="106" t="str">
        <f t="shared" si="69"/>
        <v/>
      </c>
      <c r="CF58" s="103" t="str">
        <f t="shared" si="70"/>
        <v/>
      </c>
      <c r="CG58" s="107" t="str">
        <f t="shared" si="71"/>
        <v/>
      </c>
      <c r="CH58" s="130"/>
      <c r="CI58" s="105">
        <v>14</v>
      </c>
      <c r="CJ58" s="105">
        <v>13</v>
      </c>
      <c r="CK58" s="105">
        <v>13</v>
      </c>
      <c r="CL58" s="105">
        <v>15</v>
      </c>
      <c r="CM58" s="97">
        <f t="shared" si="72"/>
        <v>55</v>
      </c>
      <c r="CN58" s="106" t="str">
        <f>IFERROR(IF(CM58=0,"",ROUND((CM58/SUM(SETTINGS!$L$14:$L$17))*SETTINGS!$L$18,0)),"")</f>
        <v/>
      </c>
      <c r="CO58" s="105">
        <v>24</v>
      </c>
      <c r="CP58" s="106" t="str">
        <f>IFERROR(IF(ISBLANK(CO58),"",ROUND((CO58/SETTINGS!$L$19)*SETTINGS!$L$20,0)),"")</f>
        <v/>
      </c>
      <c r="CQ58" s="106" t="str">
        <f t="shared" si="73"/>
        <v/>
      </c>
      <c r="CR58" s="103" t="str">
        <f t="shared" si="74"/>
        <v/>
      </c>
      <c r="CS58" s="107" t="str">
        <f t="shared" si="75"/>
        <v/>
      </c>
      <c r="CT58" s="130"/>
      <c r="CU58" s="105">
        <v>8</v>
      </c>
      <c r="CV58" s="105">
        <v>8</v>
      </c>
      <c r="CW58" s="105">
        <v>8</v>
      </c>
      <c r="CX58" s="105">
        <v>8</v>
      </c>
      <c r="CY58" s="97">
        <f t="shared" si="76"/>
        <v>32</v>
      </c>
      <c r="CZ58" s="106" t="str">
        <f>IFERROR(IF(CY58=0,"",ROUND((CY58/SUM(SETTINGS!$L$14:$L$17))*SETTINGS!$L$18,0)),"")</f>
        <v/>
      </c>
      <c r="DA58" s="105">
        <v>24</v>
      </c>
      <c r="DB58" s="106" t="str">
        <f>IFERROR(IF(ISBLANK(DA58),"",ROUND((DA58/SETTINGS!$L$19)*SETTINGS!$L$20,0)),"")</f>
        <v/>
      </c>
      <c r="DC58" s="106" t="str">
        <f t="shared" si="77"/>
        <v/>
      </c>
      <c r="DD58" s="103" t="str">
        <f t="shared" si="78"/>
        <v/>
      </c>
      <c r="DE58" s="107" t="str">
        <f t="shared" si="79"/>
        <v/>
      </c>
      <c r="DF58" s="103" t="str">
        <f t="shared" si="80"/>
        <v/>
      </c>
      <c r="DG58" s="103" t="str">
        <f>IFERROR(IF(AND(K58,W58,AI58,AU58,BG58,BS58,CE58,CQ58,DC58)="","",SUM(K58,W58,AI58,AU58,LARGE((BG58,BS58,CE58,CQ58,DC58),{1,2}))),"")</f>
        <v/>
      </c>
      <c r="DH58" s="103" t="str">
        <f>IFERROR(IF(AND(M58,Y58,AK58,AW58,,BI58,BU58,CG58,CS58,DE58)="","",SUM(M58,Y58,AK58,AW58,SMALL((BI58,BU58,CG58,CS58,DE58),{1,2}))),"")</f>
        <v/>
      </c>
      <c r="DI58" s="109" t="str">
        <f>IFERROR(pos&amp;IF(AND(MOD(ABS(18),100)&gt;10,MOD(ABS(pos),100)&lt;14),"th", CHOOSE(MOD(ABS(pos),10)+1,"th","st","nd","rd","th","th","th","th","th","th")),"")</f>
        <v/>
      </c>
      <c r="DJ58" s="62">
        <f>ROWS($B$12:$B58)</f>
        <v>47</v>
      </c>
      <c r="DK58" s="62" t="str">
        <f>IF($B58=REPORT_CARD!$M$12,$DJ58,"")</f>
        <v/>
      </c>
      <c r="DM58" s="65"/>
    </row>
    <row r="59" spans="1:117" ht="19.5" customHeight="1">
      <c r="A59" s="140" t="str">
        <f>IFERROR(IF(ISBLANK(#REF!),"",#REF!),"")</f>
        <v/>
      </c>
      <c r="B59" s="140" t="str">
        <f>IFERROR(IF(ISBLANK(#REF!),"",#REF!),"")</f>
        <v/>
      </c>
      <c r="C59" s="105">
        <v>15</v>
      </c>
      <c r="D59" s="105">
        <v>9</v>
      </c>
      <c r="E59" s="105">
        <v>15</v>
      </c>
      <c r="F59" s="105">
        <v>15</v>
      </c>
      <c r="G59" s="97">
        <f t="shared" si="44"/>
        <v>54</v>
      </c>
      <c r="H59" s="106" t="str">
        <f>IFERROR(IF(G59=0,"",ROUND((G59/SUM(SETTINGS!$L$14:$L$17))*SETTINGS!$L$18,0)),"")</f>
        <v/>
      </c>
      <c r="I59" s="105">
        <v>40</v>
      </c>
      <c r="J59" s="106" t="str">
        <f>IFERROR(IF(ISBLANK(I59),"",ROUND((I59/SETTINGS!$L$19)*SETTINGS!$L$20,0)),"")</f>
        <v/>
      </c>
      <c r="K59" s="106" t="str">
        <f t="shared" si="45"/>
        <v/>
      </c>
      <c r="L59" s="103" t="str">
        <f t="shared" si="46"/>
        <v/>
      </c>
      <c r="M59" s="107" t="str">
        <f t="shared" si="47"/>
        <v/>
      </c>
      <c r="N59" s="136"/>
      <c r="O59" s="105">
        <v>5</v>
      </c>
      <c r="P59" s="105">
        <v>7</v>
      </c>
      <c r="Q59" s="105">
        <v>9</v>
      </c>
      <c r="R59" s="105">
        <v>8</v>
      </c>
      <c r="S59" s="97">
        <f t="shared" si="48"/>
        <v>29</v>
      </c>
      <c r="T59" s="106" t="str">
        <f>IFERROR(IF(S59=0,"",ROUND((S59/SUM(SETTINGS!$L$14:$L$17))*SETTINGS!$L$18,0)),"")</f>
        <v/>
      </c>
      <c r="U59" s="105">
        <v>43</v>
      </c>
      <c r="V59" s="106" t="str">
        <f>IFERROR(IF(ISBLANK(U59),"",ROUND((U59/SETTINGS!$L$19)*SETTINGS!$L$20,0)),"")</f>
        <v/>
      </c>
      <c r="W59" s="106" t="str">
        <f t="shared" si="49"/>
        <v/>
      </c>
      <c r="X59" s="103" t="str">
        <f t="shared" si="50"/>
        <v/>
      </c>
      <c r="Y59" s="107" t="str">
        <f t="shared" si="51"/>
        <v/>
      </c>
      <c r="Z59" s="130"/>
      <c r="AA59" s="105">
        <v>5</v>
      </c>
      <c r="AB59" s="105">
        <v>10</v>
      </c>
      <c r="AC59" s="105">
        <v>10</v>
      </c>
      <c r="AD59" s="105">
        <v>14</v>
      </c>
      <c r="AE59" s="97">
        <f t="shared" si="52"/>
        <v>39</v>
      </c>
      <c r="AF59" s="106" t="str">
        <f>IFERROR(IF(AE59=0,"",ROUND((AE59/SUM(SETTINGS!$L$14:$L$17))*SETTINGS!$L$18,0)),"")</f>
        <v/>
      </c>
      <c r="AG59" s="105">
        <v>35</v>
      </c>
      <c r="AH59" s="106" t="str">
        <f>IFERROR(IF(ISBLANK(AG59),"",ROUND((AG59/SETTINGS!$L$19)*SETTINGS!$L$20,0)),"")</f>
        <v/>
      </c>
      <c r="AI59" s="106" t="str">
        <f t="shared" si="53"/>
        <v/>
      </c>
      <c r="AJ59" s="103" t="str">
        <f t="shared" si="54"/>
        <v/>
      </c>
      <c r="AK59" s="108" t="str">
        <f t="shared" si="55"/>
        <v/>
      </c>
      <c r="AL59" s="130"/>
      <c r="AM59" s="105">
        <v>6</v>
      </c>
      <c r="AN59" s="105">
        <v>9</v>
      </c>
      <c r="AO59" s="105">
        <v>10</v>
      </c>
      <c r="AP59" s="105">
        <v>15</v>
      </c>
      <c r="AQ59" s="97">
        <f t="shared" si="56"/>
        <v>40</v>
      </c>
      <c r="AR59" s="106" t="str">
        <f>IFERROR(IF(AQ59=0,"",ROUND((AQ59/SUM(SETTINGS!$L$14:$L$17))*SETTINGS!$L$18,0)),"")</f>
        <v/>
      </c>
      <c r="AS59" s="105">
        <v>35</v>
      </c>
      <c r="AT59" s="106" t="str">
        <f>IFERROR(IF(ISBLANK(AS59),"",ROUND((AS59/SETTINGS!$L$19)*SETTINGS!$L$20,0)),"")</f>
        <v/>
      </c>
      <c r="AU59" s="106" t="str">
        <f t="shared" si="57"/>
        <v/>
      </c>
      <c r="AV59" s="103" t="str">
        <f t="shared" si="58"/>
        <v/>
      </c>
      <c r="AW59" s="107" t="str">
        <f t="shared" si="59"/>
        <v/>
      </c>
      <c r="AX59" s="130"/>
      <c r="AY59" s="105">
        <v>15</v>
      </c>
      <c r="AZ59" s="105">
        <v>9</v>
      </c>
      <c r="BA59" s="105">
        <v>11</v>
      </c>
      <c r="BB59" s="105">
        <v>12</v>
      </c>
      <c r="BC59" s="97">
        <f t="shared" si="60"/>
        <v>47</v>
      </c>
      <c r="BD59" s="106" t="str">
        <f>IFERROR(IF(BC59=0,"",ROUND((BC59/SUM(SETTINGS!$L$14:$L$17))*SETTINGS!$L$18,0)),"")</f>
        <v/>
      </c>
      <c r="BE59" s="105">
        <v>59</v>
      </c>
      <c r="BF59" s="106" t="str">
        <f>IFERROR(IF(ISBLANK(BE59),"",ROUND((BE59/SETTINGS!$L$19)*SETTINGS!$L$20,0)),"")</f>
        <v/>
      </c>
      <c r="BG59" s="106" t="str">
        <f t="shared" si="61"/>
        <v/>
      </c>
      <c r="BH59" s="103" t="str">
        <f t="shared" si="62"/>
        <v/>
      </c>
      <c r="BI59" s="108" t="str">
        <f t="shared" si="63"/>
        <v/>
      </c>
      <c r="BJ59" s="130"/>
      <c r="BK59" s="105">
        <v>11</v>
      </c>
      <c r="BL59" s="105">
        <v>3</v>
      </c>
      <c r="BM59" s="105">
        <v>1</v>
      </c>
      <c r="BN59" s="105">
        <v>15</v>
      </c>
      <c r="BO59" s="97">
        <f t="shared" si="64"/>
        <v>30</v>
      </c>
      <c r="BP59" s="106" t="str">
        <f>IFERROR(IF(BO59=0,"",ROUND((BO59/SUM(SETTINGS!$L$14:$L$17))*SETTINGS!$L$18,0)),"")</f>
        <v/>
      </c>
      <c r="BQ59" s="105">
        <v>38</v>
      </c>
      <c r="BR59" s="106" t="str">
        <f>IFERROR(IF(ISBLANK(BQ59),"",ROUND((BQ59/SETTINGS!$L$19)*SETTINGS!$L$20,0)),"")</f>
        <v/>
      </c>
      <c r="BS59" s="106" t="str">
        <f t="shared" si="65"/>
        <v/>
      </c>
      <c r="BT59" s="103" t="str">
        <f t="shared" si="66"/>
        <v/>
      </c>
      <c r="BU59" s="107" t="str">
        <f t="shared" si="67"/>
        <v/>
      </c>
      <c r="BV59" s="130"/>
      <c r="BW59" s="105">
        <v>13</v>
      </c>
      <c r="BX59" s="105">
        <v>5</v>
      </c>
      <c r="BY59" s="105">
        <v>13</v>
      </c>
      <c r="BZ59" s="105">
        <v>15</v>
      </c>
      <c r="CA59" s="97">
        <f t="shared" si="68"/>
        <v>46</v>
      </c>
      <c r="CB59" s="106" t="str">
        <f>IFERROR(IF(CA59=0,"",ROUND((CA59/SUM(SETTINGS!$L$14:$L$17))*SETTINGS!$L$18,0)),"")</f>
        <v/>
      </c>
      <c r="CC59" s="105">
        <v>53</v>
      </c>
      <c r="CD59" s="106" t="str">
        <f>IFERROR(IF(ISBLANK(CC59),"",ROUND((CC59/SETTINGS!$L$19)*SETTINGS!$L$20,0)),"")</f>
        <v/>
      </c>
      <c r="CE59" s="106" t="str">
        <f t="shared" si="69"/>
        <v/>
      </c>
      <c r="CF59" s="103" t="str">
        <f t="shared" si="70"/>
        <v/>
      </c>
      <c r="CG59" s="107" t="str">
        <f t="shared" si="71"/>
        <v/>
      </c>
      <c r="CH59" s="130"/>
      <c r="CI59" s="105">
        <v>12</v>
      </c>
      <c r="CJ59" s="105">
        <v>13</v>
      </c>
      <c r="CK59" s="105">
        <v>12</v>
      </c>
      <c r="CL59" s="105">
        <v>12</v>
      </c>
      <c r="CM59" s="97">
        <f t="shared" si="72"/>
        <v>49</v>
      </c>
      <c r="CN59" s="106" t="str">
        <f>IFERROR(IF(CM59=0,"",ROUND((CM59/SUM(SETTINGS!$L$14:$L$17))*SETTINGS!$L$18,0)),"")</f>
        <v/>
      </c>
      <c r="CO59" s="105">
        <v>43</v>
      </c>
      <c r="CP59" s="106" t="str">
        <f>IFERROR(IF(ISBLANK(CO59),"",ROUND((CO59/SETTINGS!$L$19)*SETTINGS!$L$20,0)),"")</f>
        <v/>
      </c>
      <c r="CQ59" s="106" t="str">
        <f t="shared" si="73"/>
        <v/>
      </c>
      <c r="CR59" s="103" t="str">
        <f t="shared" si="74"/>
        <v/>
      </c>
      <c r="CS59" s="107" t="str">
        <f t="shared" si="75"/>
        <v/>
      </c>
      <c r="CT59" s="130"/>
      <c r="CU59" s="105">
        <v>12</v>
      </c>
      <c r="CV59" s="105">
        <v>8</v>
      </c>
      <c r="CW59" s="105">
        <v>7</v>
      </c>
      <c r="CX59" s="105">
        <v>10</v>
      </c>
      <c r="CY59" s="97">
        <f t="shared" si="76"/>
        <v>37</v>
      </c>
      <c r="CZ59" s="106" t="str">
        <f>IFERROR(IF(CY59=0,"",ROUND((CY59/SUM(SETTINGS!$L$14:$L$17))*SETTINGS!$L$18,0)),"")</f>
        <v/>
      </c>
      <c r="DA59" s="105">
        <v>29</v>
      </c>
      <c r="DB59" s="106" t="str">
        <f>IFERROR(IF(ISBLANK(DA59),"",ROUND((DA59/SETTINGS!$L$19)*SETTINGS!$L$20,0)),"")</f>
        <v/>
      </c>
      <c r="DC59" s="106" t="str">
        <f t="shared" si="77"/>
        <v/>
      </c>
      <c r="DD59" s="103" t="str">
        <f t="shared" si="78"/>
        <v/>
      </c>
      <c r="DE59" s="107" t="str">
        <f t="shared" si="79"/>
        <v/>
      </c>
      <c r="DF59" s="103" t="str">
        <f t="shared" si="80"/>
        <v/>
      </c>
      <c r="DG59" s="103" t="str">
        <f>IFERROR(IF(AND(K59,W59,AI59,AU59,BG59,BS59,CE59,CQ59,DC59)="","",SUM(K59,W59,AI59,AU59,LARGE((BG59,BS59,CE59,CQ59,DC59),{1,2}))),"")</f>
        <v/>
      </c>
      <c r="DH59" s="103" t="str">
        <f>IFERROR(IF(AND(M59,Y59,AK59,AW59,,BI59,BU59,CG59,CS59,DE59)="","",SUM(M59,Y59,AK59,AW59,SMALL((BI59,BU59,CG59,CS59,DE59),{1,2}))),"")</f>
        <v/>
      </c>
      <c r="DI59" s="109" t="str">
        <f>IFERROR(pos&amp;IF(AND(MOD(ABS(18),100)&gt;10,MOD(ABS(pos),100)&lt;14),"th", CHOOSE(MOD(ABS(pos),10)+1,"th","st","nd","rd","th","th","th","th","th","th")),"")</f>
        <v/>
      </c>
      <c r="DJ59" s="62">
        <f>ROWS($B$12:$B59)</f>
        <v>48</v>
      </c>
      <c r="DK59" s="62" t="str">
        <f>IF($B59=REPORT_CARD!$M$12,$DJ59,"")</f>
        <v/>
      </c>
      <c r="DM59" s="65"/>
    </row>
    <row r="60" spans="1:117" ht="19.5" customHeight="1">
      <c r="A60" s="140" t="str">
        <f>IFERROR(IF(ISBLANK(#REF!),"",#REF!),"")</f>
        <v/>
      </c>
      <c r="B60" s="140" t="str">
        <f>IFERROR(IF(ISBLANK(#REF!),"",#REF!),"")</f>
        <v/>
      </c>
      <c r="C60" s="105">
        <v>15</v>
      </c>
      <c r="D60" s="105">
        <v>9</v>
      </c>
      <c r="E60" s="105">
        <v>14</v>
      </c>
      <c r="F60" s="105">
        <v>15</v>
      </c>
      <c r="G60" s="97">
        <f t="shared" si="44"/>
        <v>53</v>
      </c>
      <c r="H60" s="106" t="str">
        <f>IFERROR(IF(G60=0,"",ROUND((G60/SUM(SETTINGS!$L$14:$L$17))*SETTINGS!$L$18,0)),"")</f>
        <v/>
      </c>
      <c r="I60" s="105">
        <v>29</v>
      </c>
      <c r="J60" s="106" t="str">
        <f>IFERROR(IF(ISBLANK(I60),"",ROUND((I60/SETTINGS!$L$19)*SETTINGS!$L$20,0)),"")</f>
        <v/>
      </c>
      <c r="K60" s="106" t="str">
        <f t="shared" si="45"/>
        <v/>
      </c>
      <c r="L60" s="103" t="str">
        <f t="shared" si="46"/>
        <v/>
      </c>
      <c r="M60" s="107" t="str">
        <f t="shared" si="47"/>
        <v/>
      </c>
      <c r="N60" s="136"/>
      <c r="O60" s="105">
        <v>5</v>
      </c>
      <c r="P60" s="105">
        <v>13</v>
      </c>
      <c r="Q60" s="105">
        <v>5</v>
      </c>
      <c r="R60" s="105">
        <v>11</v>
      </c>
      <c r="S60" s="97">
        <f t="shared" si="48"/>
        <v>34</v>
      </c>
      <c r="T60" s="106" t="str">
        <f>IFERROR(IF(S60=0,"",ROUND((S60/SUM(SETTINGS!$L$14:$L$17))*SETTINGS!$L$18,0)),"")</f>
        <v/>
      </c>
      <c r="U60" s="105">
        <v>32</v>
      </c>
      <c r="V60" s="106" t="str">
        <f>IFERROR(IF(ISBLANK(U60),"",ROUND((U60/SETTINGS!$L$19)*SETTINGS!$L$20,0)),"")</f>
        <v/>
      </c>
      <c r="W60" s="106" t="str">
        <f t="shared" si="49"/>
        <v/>
      </c>
      <c r="X60" s="103" t="str">
        <f t="shared" si="50"/>
        <v/>
      </c>
      <c r="Y60" s="107" t="str">
        <f t="shared" si="51"/>
        <v/>
      </c>
      <c r="Z60" s="130"/>
      <c r="AA60" s="105">
        <v>12</v>
      </c>
      <c r="AB60" s="105">
        <v>12</v>
      </c>
      <c r="AC60" s="105">
        <v>12</v>
      </c>
      <c r="AD60" s="105">
        <v>13</v>
      </c>
      <c r="AE60" s="97">
        <f t="shared" si="52"/>
        <v>49</v>
      </c>
      <c r="AF60" s="106" t="str">
        <f>IFERROR(IF(AE60=0,"",ROUND((AE60/SUM(SETTINGS!$L$14:$L$17))*SETTINGS!$L$18,0)),"")</f>
        <v/>
      </c>
      <c r="AG60" s="105">
        <v>64</v>
      </c>
      <c r="AH60" s="106" t="str">
        <f>IFERROR(IF(ISBLANK(AG60),"",ROUND((AG60/SETTINGS!$L$19)*SETTINGS!$L$20,0)),"")</f>
        <v/>
      </c>
      <c r="AI60" s="106" t="str">
        <f t="shared" si="53"/>
        <v/>
      </c>
      <c r="AJ60" s="103" t="str">
        <f t="shared" si="54"/>
        <v/>
      </c>
      <c r="AK60" s="108" t="str">
        <f t="shared" si="55"/>
        <v/>
      </c>
      <c r="AL60" s="130"/>
      <c r="AM60" s="105">
        <v>10</v>
      </c>
      <c r="AN60" s="105">
        <v>11</v>
      </c>
      <c r="AO60" s="105">
        <v>13</v>
      </c>
      <c r="AP60" s="105">
        <v>15</v>
      </c>
      <c r="AQ60" s="97">
        <f t="shared" si="56"/>
        <v>49</v>
      </c>
      <c r="AR60" s="106" t="str">
        <f>IFERROR(IF(AQ60=0,"",ROUND((AQ60/SUM(SETTINGS!$L$14:$L$17))*SETTINGS!$L$18,0)),"")</f>
        <v/>
      </c>
      <c r="AS60" s="105">
        <v>31</v>
      </c>
      <c r="AT60" s="106" t="str">
        <f>IFERROR(IF(ISBLANK(AS60),"",ROUND((AS60/SETTINGS!$L$19)*SETTINGS!$L$20,0)),"")</f>
        <v/>
      </c>
      <c r="AU60" s="106" t="str">
        <f t="shared" si="57"/>
        <v/>
      </c>
      <c r="AV60" s="103" t="str">
        <f t="shared" si="58"/>
        <v/>
      </c>
      <c r="AW60" s="107" t="str">
        <f t="shared" si="59"/>
        <v/>
      </c>
      <c r="AX60" s="130"/>
      <c r="AY60" s="105">
        <v>12</v>
      </c>
      <c r="AZ60" s="105">
        <v>10</v>
      </c>
      <c r="BA60" s="105">
        <v>10</v>
      </c>
      <c r="BB60" s="105">
        <v>10</v>
      </c>
      <c r="BC60" s="97">
        <f t="shared" si="60"/>
        <v>42</v>
      </c>
      <c r="BD60" s="106" t="str">
        <f>IFERROR(IF(BC60=0,"",ROUND((BC60/SUM(SETTINGS!$L$14:$L$17))*SETTINGS!$L$18,0)),"")</f>
        <v/>
      </c>
      <c r="BE60" s="105">
        <v>36</v>
      </c>
      <c r="BF60" s="106" t="str">
        <f>IFERROR(IF(ISBLANK(BE60),"",ROUND((BE60/SETTINGS!$L$19)*SETTINGS!$L$20,0)),"")</f>
        <v/>
      </c>
      <c r="BG60" s="106" t="str">
        <f t="shared" si="61"/>
        <v/>
      </c>
      <c r="BH60" s="103" t="str">
        <f t="shared" si="62"/>
        <v/>
      </c>
      <c r="BI60" s="108" t="str">
        <f t="shared" si="63"/>
        <v/>
      </c>
      <c r="BJ60" s="130"/>
      <c r="BK60" s="105">
        <v>14</v>
      </c>
      <c r="BL60" s="105">
        <v>10</v>
      </c>
      <c r="BM60" s="105">
        <v>5</v>
      </c>
      <c r="BN60" s="105">
        <v>15</v>
      </c>
      <c r="BO60" s="97">
        <f t="shared" si="64"/>
        <v>44</v>
      </c>
      <c r="BP60" s="106" t="str">
        <f>IFERROR(IF(BO60=0,"",ROUND((BO60/SUM(SETTINGS!$L$14:$L$17))*SETTINGS!$L$18,0)),"")</f>
        <v/>
      </c>
      <c r="BQ60" s="105">
        <v>29</v>
      </c>
      <c r="BR60" s="106" t="str">
        <f>IFERROR(IF(ISBLANK(BQ60),"",ROUND((BQ60/SETTINGS!$L$19)*SETTINGS!$L$20,0)),"")</f>
        <v/>
      </c>
      <c r="BS60" s="106" t="str">
        <f t="shared" si="65"/>
        <v/>
      </c>
      <c r="BT60" s="103" t="str">
        <f t="shared" si="66"/>
        <v/>
      </c>
      <c r="BU60" s="107" t="str">
        <f t="shared" si="67"/>
        <v/>
      </c>
      <c r="BV60" s="130"/>
      <c r="BW60" s="105">
        <v>8</v>
      </c>
      <c r="BX60" s="105">
        <v>13</v>
      </c>
      <c r="BY60" s="105">
        <v>14</v>
      </c>
      <c r="BZ60" s="105">
        <v>15</v>
      </c>
      <c r="CA60" s="97">
        <f t="shared" si="68"/>
        <v>50</v>
      </c>
      <c r="CB60" s="106" t="str">
        <f>IFERROR(IF(CA60=0,"",ROUND((CA60/SUM(SETTINGS!$L$14:$L$17))*SETTINGS!$L$18,0)),"")</f>
        <v/>
      </c>
      <c r="CC60" s="105">
        <v>39</v>
      </c>
      <c r="CD60" s="106" t="str">
        <f>IFERROR(IF(ISBLANK(CC60),"",ROUND((CC60/SETTINGS!$L$19)*SETTINGS!$L$20,0)),"")</f>
        <v/>
      </c>
      <c r="CE60" s="106" t="str">
        <f t="shared" si="69"/>
        <v/>
      </c>
      <c r="CF60" s="103" t="str">
        <f t="shared" si="70"/>
        <v/>
      </c>
      <c r="CG60" s="107" t="str">
        <f t="shared" si="71"/>
        <v/>
      </c>
      <c r="CH60" s="130"/>
      <c r="CI60" s="105">
        <v>15</v>
      </c>
      <c r="CJ60" s="105">
        <v>13</v>
      </c>
      <c r="CK60" s="105">
        <v>14</v>
      </c>
      <c r="CL60" s="105">
        <v>15</v>
      </c>
      <c r="CM60" s="97">
        <f t="shared" si="72"/>
        <v>57</v>
      </c>
      <c r="CN60" s="106" t="str">
        <f>IFERROR(IF(CM60=0,"",ROUND((CM60/SUM(SETTINGS!$L$14:$L$17))*SETTINGS!$L$18,0)),"")</f>
        <v/>
      </c>
      <c r="CO60" s="105">
        <v>22</v>
      </c>
      <c r="CP60" s="106" t="str">
        <f>IFERROR(IF(ISBLANK(CO60),"",ROUND((CO60/SETTINGS!$L$19)*SETTINGS!$L$20,0)),"")</f>
        <v/>
      </c>
      <c r="CQ60" s="106" t="str">
        <f t="shared" si="73"/>
        <v/>
      </c>
      <c r="CR60" s="103" t="str">
        <f t="shared" si="74"/>
        <v/>
      </c>
      <c r="CS60" s="107" t="str">
        <f t="shared" si="75"/>
        <v/>
      </c>
      <c r="CT60" s="130"/>
      <c r="CU60" s="105">
        <v>10</v>
      </c>
      <c r="CV60" s="105">
        <v>11</v>
      </c>
      <c r="CW60" s="105">
        <v>10</v>
      </c>
      <c r="CX60" s="105">
        <v>12</v>
      </c>
      <c r="CY60" s="97">
        <f t="shared" si="76"/>
        <v>43</v>
      </c>
      <c r="CZ60" s="106" t="str">
        <f>IFERROR(IF(CY60=0,"",ROUND((CY60/SUM(SETTINGS!$L$14:$L$17))*SETTINGS!$L$18,0)),"")</f>
        <v/>
      </c>
      <c r="DA60" s="105">
        <v>39</v>
      </c>
      <c r="DB60" s="106" t="str">
        <f>IFERROR(IF(ISBLANK(DA60),"",ROUND((DA60/SETTINGS!$L$19)*SETTINGS!$L$20,0)),"")</f>
        <v/>
      </c>
      <c r="DC60" s="106" t="str">
        <f t="shared" si="77"/>
        <v/>
      </c>
      <c r="DD60" s="103" t="str">
        <f t="shared" si="78"/>
        <v/>
      </c>
      <c r="DE60" s="107" t="str">
        <f t="shared" si="79"/>
        <v/>
      </c>
      <c r="DF60" s="103" t="str">
        <f t="shared" si="80"/>
        <v/>
      </c>
      <c r="DG60" s="103" t="str">
        <f>IFERROR(IF(AND(K60,W60,AI60,AU60,BG60,BS60,CE60,CQ60,DC60)="","",SUM(K60,W60,AI60,AU60,LARGE((BG60,BS60,CE60,CQ60,DC60),{1,2}))),"")</f>
        <v/>
      </c>
      <c r="DH60" s="103" t="str">
        <f>IFERROR(IF(AND(M60,Y60,AK60,AW60,,BI60,BU60,CG60,CS60,DE60)="","",SUM(M60,Y60,AK60,AW60,SMALL((BI60,BU60,CG60,CS60,DE60),{1,2}))),"")</f>
        <v/>
      </c>
      <c r="DI60" s="109" t="str">
        <f>IFERROR(pos&amp;IF(AND(MOD(ABS(18),100)&gt;10,MOD(ABS(pos),100)&lt;14),"th", CHOOSE(MOD(ABS(pos),10)+1,"th","st","nd","rd","th","th","th","th","th","th")),"")</f>
        <v/>
      </c>
      <c r="DJ60" s="62">
        <f>ROWS($B$12:$B60)</f>
        <v>49</v>
      </c>
      <c r="DK60" s="62" t="str">
        <f>IF($B60=REPORT_CARD!$M$12,$DJ60,"")</f>
        <v/>
      </c>
      <c r="DM60" s="65"/>
    </row>
    <row r="61" spans="1:117" ht="19.5" customHeight="1">
      <c r="A61" s="140" t="str">
        <f>IFERROR(IF(ISBLANK(#REF!),"",#REF!),"")</f>
        <v/>
      </c>
      <c r="B61" s="140" t="str">
        <f>IFERROR(IF(ISBLANK(#REF!),"",#REF!),"")</f>
        <v/>
      </c>
      <c r="C61" s="105">
        <v>14</v>
      </c>
      <c r="D61" s="105">
        <v>15</v>
      </c>
      <c r="E61" s="105">
        <v>15</v>
      </c>
      <c r="F61" s="105">
        <v>10</v>
      </c>
      <c r="G61" s="97">
        <f t="shared" si="44"/>
        <v>54</v>
      </c>
      <c r="H61" s="106" t="str">
        <f>IFERROR(IF(G61=0,"",ROUND((G61/SUM(SETTINGS!$L$14:$L$17))*SETTINGS!$L$18,0)),"")</f>
        <v/>
      </c>
      <c r="I61" s="105">
        <v>44</v>
      </c>
      <c r="J61" s="106" t="str">
        <f>IFERROR(IF(ISBLANK(I61),"",ROUND((I61/SETTINGS!$L$19)*SETTINGS!$L$20,0)),"")</f>
        <v/>
      </c>
      <c r="K61" s="106" t="str">
        <f t="shared" si="45"/>
        <v/>
      </c>
      <c r="L61" s="103" t="str">
        <f t="shared" si="46"/>
        <v/>
      </c>
      <c r="M61" s="107" t="str">
        <f t="shared" si="47"/>
        <v/>
      </c>
      <c r="N61" s="136"/>
      <c r="O61" s="105">
        <v>9</v>
      </c>
      <c r="P61" s="105">
        <v>12</v>
      </c>
      <c r="Q61" s="105">
        <v>9</v>
      </c>
      <c r="R61" s="105">
        <v>10</v>
      </c>
      <c r="S61" s="97">
        <f t="shared" si="48"/>
        <v>40</v>
      </c>
      <c r="T61" s="106" t="str">
        <f>IFERROR(IF(S61=0,"",ROUND((S61/SUM(SETTINGS!$L$14:$L$17))*SETTINGS!$L$18,0)),"")</f>
        <v/>
      </c>
      <c r="U61" s="105">
        <v>39</v>
      </c>
      <c r="V61" s="106" t="str">
        <f>IFERROR(IF(ISBLANK(U61),"",ROUND((U61/SETTINGS!$L$19)*SETTINGS!$L$20,0)),"")</f>
        <v/>
      </c>
      <c r="W61" s="106" t="str">
        <f t="shared" si="49"/>
        <v/>
      </c>
      <c r="X61" s="103" t="str">
        <f t="shared" si="50"/>
        <v/>
      </c>
      <c r="Y61" s="107" t="str">
        <f t="shared" si="51"/>
        <v/>
      </c>
      <c r="Z61" s="130"/>
      <c r="AA61" s="105">
        <v>9</v>
      </c>
      <c r="AB61" s="105">
        <v>10</v>
      </c>
      <c r="AC61" s="105">
        <v>8</v>
      </c>
      <c r="AD61" s="105">
        <v>14</v>
      </c>
      <c r="AE61" s="97">
        <f t="shared" si="52"/>
        <v>41</v>
      </c>
      <c r="AF61" s="106" t="str">
        <f>IFERROR(IF(AE61=0,"",ROUND((AE61/SUM(SETTINGS!$L$14:$L$17))*SETTINGS!$L$18,0)),"")</f>
        <v/>
      </c>
      <c r="AG61" s="105">
        <v>43</v>
      </c>
      <c r="AH61" s="106" t="str">
        <f>IFERROR(IF(ISBLANK(AG61),"",ROUND((AG61/SETTINGS!$L$19)*SETTINGS!$L$20,0)),"")</f>
        <v/>
      </c>
      <c r="AI61" s="106" t="str">
        <f t="shared" si="53"/>
        <v/>
      </c>
      <c r="AJ61" s="103" t="str">
        <f t="shared" si="54"/>
        <v/>
      </c>
      <c r="AK61" s="108" t="str">
        <f t="shared" si="55"/>
        <v/>
      </c>
      <c r="AL61" s="130"/>
      <c r="AM61" s="105">
        <v>9</v>
      </c>
      <c r="AN61" s="105">
        <v>10</v>
      </c>
      <c r="AO61" s="105">
        <v>6</v>
      </c>
      <c r="AP61" s="105">
        <v>14</v>
      </c>
      <c r="AQ61" s="97">
        <f t="shared" si="56"/>
        <v>39</v>
      </c>
      <c r="AR61" s="106" t="str">
        <f>IFERROR(IF(AQ61=0,"",ROUND((AQ61/SUM(SETTINGS!$L$14:$L$17))*SETTINGS!$L$18,0)),"")</f>
        <v/>
      </c>
      <c r="AS61" s="105">
        <v>27</v>
      </c>
      <c r="AT61" s="106" t="str">
        <f>IFERROR(IF(ISBLANK(AS61),"",ROUND((AS61/SETTINGS!$L$19)*SETTINGS!$L$20,0)),"")</f>
        <v/>
      </c>
      <c r="AU61" s="106" t="str">
        <f t="shared" si="57"/>
        <v/>
      </c>
      <c r="AV61" s="103" t="str">
        <f t="shared" si="58"/>
        <v/>
      </c>
      <c r="AW61" s="107" t="str">
        <f t="shared" si="59"/>
        <v/>
      </c>
      <c r="AX61" s="130"/>
      <c r="AY61" s="105">
        <v>12</v>
      </c>
      <c r="AZ61" s="105">
        <v>10</v>
      </c>
      <c r="BA61" s="105">
        <v>14</v>
      </c>
      <c r="BB61" s="105">
        <v>10</v>
      </c>
      <c r="BC61" s="97">
        <f t="shared" si="60"/>
        <v>46</v>
      </c>
      <c r="BD61" s="106" t="str">
        <f>IFERROR(IF(BC61=0,"",ROUND((BC61/SUM(SETTINGS!$L$14:$L$17))*SETTINGS!$L$18,0)),"")</f>
        <v/>
      </c>
      <c r="BE61" s="105">
        <v>71</v>
      </c>
      <c r="BF61" s="106" t="str">
        <f>IFERROR(IF(ISBLANK(BE61),"",ROUND((BE61/SETTINGS!$L$19)*SETTINGS!$L$20,0)),"")</f>
        <v/>
      </c>
      <c r="BG61" s="106" t="str">
        <f t="shared" si="61"/>
        <v/>
      </c>
      <c r="BH61" s="103" t="str">
        <f t="shared" si="62"/>
        <v/>
      </c>
      <c r="BI61" s="108" t="str">
        <f t="shared" si="63"/>
        <v/>
      </c>
      <c r="BJ61" s="130"/>
      <c r="BK61" s="105">
        <v>15</v>
      </c>
      <c r="BL61" s="105">
        <v>15</v>
      </c>
      <c r="BM61" s="105">
        <v>3</v>
      </c>
      <c r="BN61" s="105">
        <v>15</v>
      </c>
      <c r="BO61" s="97">
        <f t="shared" si="64"/>
        <v>48</v>
      </c>
      <c r="BP61" s="106" t="str">
        <f>IFERROR(IF(BO61=0,"",ROUND((BO61/SUM(SETTINGS!$L$14:$L$17))*SETTINGS!$L$18,0)),"")</f>
        <v/>
      </c>
      <c r="BQ61" s="105">
        <v>36</v>
      </c>
      <c r="BR61" s="106" t="str">
        <f>IFERROR(IF(ISBLANK(BQ61),"",ROUND((BQ61/SETTINGS!$L$19)*SETTINGS!$L$20,0)),"")</f>
        <v/>
      </c>
      <c r="BS61" s="106" t="str">
        <f t="shared" si="65"/>
        <v/>
      </c>
      <c r="BT61" s="103" t="str">
        <f t="shared" si="66"/>
        <v/>
      </c>
      <c r="BU61" s="107" t="str">
        <f t="shared" si="67"/>
        <v/>
      </c>
      <c r="BV61" s="130"/>
      <c r="BW61" s="105">
        <v>15</v>
      </c>
      <c r="BX61" s="105">
        <v>10</v>
      </c>
      <c r="BY61" s="105">
        <v>13</v>
      </c>
      <c r="BZ61" s="105">
        <v>13</v>
      </c>
      <c r="CA61" s="97">
        <f t="shared" si="68"/>
        <v>51</v>
      </c>
      <c r="CB61" s="106" t="str">
        <f>IFERROR(IF(CA61=0,"",ROUND((CA61/SUM(SETTINGS!$L$14:$L$17))*SETTINGS!$L$18,0)),"")</f>
        <v/>
      </c>
      <c r="CC61" s="105">
        <v>49</v>
      </c>
      <c r="CD61" s="106" t="str">
        <f>IFERROR(IF(ISBLANK(CC61),"",ROUND((CC61/SETTINGS!$L$19)*SETTINGS!$L$20,0)),"")</f>
        <v/>
      </c>
      <c r="CE61" s="106" t="str">
        <f t="shared" si="69"/>
        <v/>
      </c>
      <c r="CF61" s="103" t="str">
        <f t="shared" si="70"/>
        <v/>
      </c>
      <c r="CG61" s="107" t="str">
        <f t="shared" si="71"/>
        <v/>
      </c>
      <c r="CH61" s="130"/>
      <c r="CI61" s="105">
        <v>9</v>
      </c>
      <c r="CJ61" s="105">
        <v>13</v>
      </c>
      <c r="CK61" s="105">
        <v>13</v>
      </c>
      <c r="CL61" s="105">
        <v>13</v>
      </c>
      <c r="CM61" s="97">
        <f t="shared" si="72"/>
        <v>48</v>
      </c>
      <c r="CN61" s="106" t="str">
        <f>IFERROR(IF(CM61=0,"",ROUND((CM61/SUM(SETTINGS!$L$14:$L$17))*SETTINGS!$L$18,0)),"")</f>
        <v/>
      </c>
      <c r="CO61" s="105">
        <v>31</v>
      </c>
      <c r="CP61" s="106" t="str">
        <f>IFERROR(IF(ISBLANK(CO61),"",ROUND((CO61/SETTINGS!$L$19)*SETTINGS!$L$20,0)),"")</f>
        <v/>
      </c>
      <c r="CQ61" s="106" t="str">
        <f t="shared" si="73"/>
        <v/>
      </c>
      <c r="CR61" s="103" t="str">
        <f t="shared" si="74"/>
        <v/>
      </c>
      <c r="CS61" s="107" t="str">
        <f t="shared" si="75"/>
        <v/>
      </c>
      <c r="CT61" s="130"/>
      <c r="CU61" s="105">
        <v>11</v>
      </c>
      <c r="CV61" s="105">
        <v>8</v>
      </c>
      <c r="CW61" s="105">
        <v>8</v>
      </c>
      <c r="CX61" s="105">
        <v>10</v>
      </c>
      <c r="CY61" s="97">
        <f t="shared" si="76"/>
        <v>37</v>
      </c>
      <c r="CZ61" s="106" t="str">
        <f>IFERROR(IF(CY61=0,"",ROUND((CY61/SUM(SETTINGS!$L$14:$L$17))*SETTINGS!$L$18,0)),"")</f>
        <v/>
      </c>
      <c r="DA61" s="105">
        <v>19</v>
      </c>
      <c r="DB61" s="106" t="str">
        <f>IFERROR(IF(ISBLANK(DA61),"",ROUND((DA61/SETTINGS!$L$19)*SETTINGS!$L$20,0)),"")</f>
        <v/>
      </c>
      <c r="DC61" s="106" t="str">
        <f t="shared" si="77"/>
        <v/>
      </c>
      <c r="DD61" s="103" t="str">
        <f t="shared" si="78"/>
        <v/>
      </c>
      <c r="DE61" s="107" t="str">
        <f t="shared" si="79"/>
        <v/>
      </c>
      <c r="DF61" s="103" t="str">
        <f t="shared" si="80"/>
        <v/>
      </c>
      <c r="DG61" s="103" t="str">
        <f>IFERROR(IF(AND(K61,W61,AI61,AU61,BG61,BS61,CE61,CQ61,DC61)="","",SUM(K61,W61,AI61,AU61,LARGE((BG61,BS61,CE61,CQ61,DC61),{1,2}))),"")</f>
        <v/>
      </c>
      <c r="DH61" s="103" t="str">
        <f>IFERROR(IF(AND(M61,Y61,AK61,AW61,,BI61,BU61,CG61,CS61,DE61)="","",SUM(M61,Y61,AK61,AW61,SMALL((BI61,BU61,CG61,CS61,DE61),{1,2}))),"")</f>
        <v/>
      </c>
      <c r="DI61" s="109" t="str">
        <f>IFERROR(pos&amp;IF(AND(MOD(ABS(18),100)&gt;10,MOD(ABS(pos),100)&lt;14),"th", CHOOSE(MOD(ABS(pos),10)+1,"th","st","nd","rd","th","th","th","th","th","th")),"")</f>
        <v/>
      </c>
      <c r="DJ61" s="62">
        <f>ROWS($B$12:$B61)</f>
        <v>50</v>
      </c>
      <c r="DK61" s="62" t="str">
        <f>IF($B61=REPORT_CARD!$M$12,$DJ61,"")</f>
        <v/>
      </c>
      <c r="DM61" s="65"/>
    </row>
    <row r="62" spans="1:117" ht="19.5" customHeight="1">
      <c r="A62" s="140" t="str">
        <f>IFERROR(IF(ISBLANK(#REF!),"",#REF!),"")</f>
        <v/>
      </c>
      <c r="B62" s="140" t="str">
        <f>IFERROR(IF(ISBLANK(#REF!),"",#REF!),"")</f>
        <v/>
      </c>
      <c r="C62" s="105">
        <v>15</v>
      </c>
      <c r="D62" s="105">
        <v>15</v>
      </c>
      <c r="E62" s="105">
        <v>15</v>
      </c>
      <c r="F62" s="105">
        <v>11</v>
      </c>
      <c r="G62" s="97">
        <f t="shared" si="44"/>
        <v>56</v>
      </c>
      <c r="H62" s="106" t="str">
        <f>IFERROR(IF(G62=0,"",ROUND((G62/SUM(SETTINGS!$L$14:$L$17))*SETTINGS!$L$18,0)),"")</f>
        <v/>
      </c>
      <c r="I62" s="105">
        <v>66</v>
      </c>
      <c r="J62" s="106" t="str">
        <f>IFERROR(IF(ISBLANK(I62),"",ROUND((I62/SETTINGS!$L$19)*SETTINGS!$L$20,0)),"")</f>
        <v/>
      </c>
      <c r="K62" s="106" t="str">
        <f t="shared" si="45"/>
        <v/>
      </c>
      <c r="L62" s="103" t="str">
        <f t="shared" si="46"/>
        <v/>
      </c>
      <c r="M62" s="107" t="str">
        <f t="shared" si="47"/>
        <v/>
      </c>
      <c r="N62" s="136"/>
      <c r="O62" s="105">
        <v>13</v>
      </c>
      <c r="P62" s="105">
        <v>13</v>
      </c>
      <c r="Q62" s="105">
        <v>11</v>
      </c>
      <c r="R62" s="105">
        <v>10</v>
      </c>
      <c r="S62" s="97">
        <f t="shared" si="48"/>
        <v>47</v>
      </c>
      <c r="T62" s="106" t="str">
        <f>IFERROR(IF(S62=0,"",ROUND((S62/SUM(SETTINGS!$L$14:$L$17))*SETTINGS!$L$18,0)),"")</f>
        <v/>
      </c>
      <c r="U62" s="105">
        <v>49</v>
      </c>
      <c r="V62" s="106" t="str">
        <f>IFERROR(IF(ISBLANK(U62),"",ROUND((U62/SETTINGS!$L$19)*SETTINGS!$L$20,0)),"")</f>
        <v/>
      </c>
      <c r="W62" s="106" t="str">
        <f t="shared" si="49"/>
        <v/>
      </c>
      <c r="X62" s="103" t="str">
        <f t="shared" si="50"/>
        <v/>
      </c>
      <c r="Y62" s="107" t="str">
        <f t="shared" si="51"/>
        <v/>
      </c>
      <c r="Z62" s="130"/>
      <c r="AA62" s="105">
        <v>14</v>
      </c>
      <c r="AB62" s="105">
        <v>12</v>
      </c>
      <c r="AC62" s="105">
        <v>10</v>
      </c>
      <c r="AD62" s="105">
        <v>15</v>
      </c>
      <c r="AE62" s="97">
        <f t="shared" si="52"/>
        <v>51</v>
      </c>
      <c r="AF62" s="106" t="str">
        <f>IFERROR(IF(AE62=0,"",ROUND((AE62/SUM(SETTINGS!$L$14:$L$17))*SETTINGS!$L$18,0)),"")</f>
        <v/>
      </c>
      <c r="AG62" s="105">
        <v>85</v>
      </c>
      <c r="AH62" s="106" t="str">
        <f>IFERROR(IF(ISBLANK(AG62),"",ROUND((AG62/SETTINGS!$L$19)*SETTINGS!$L$20,0)),"")</f>
        <v/>
      </c>
      <c r="AI62" s="106" t="str">
        <f t="shared" si="53"/>
        <v/>
      </c>
      <c r="AJ62" s="103" t="str">
        <f t="shared" si="54"/>
        <v/>
      </c>
      <c r="AK62" s="108" t="str">
        <f t="shared" si="55"/>
        <v/>
      </c>
      <c r="AL62" s="130"/>
      <c r="AM62" s="105">
        <v>10</v>
      </c>
      <c r="AN62" s="105">
        <v>15</v>
      </c>
      <c r="AO62" s="105">
        <v>6</v>
      </c>
      <c r="AP62" s="105">
        <v>15</v>
      </c>
      <c r="AQ62" s="97">
        <f t="shared" si="56"/>
        <v>46</v>
      </c>
      <c r="AR62" s="106" t="str">
        <f>IFERROR(IF(AQ62=0,"",ROUND((AQ62/SUM(SETTINGS!$L$14:$L$17))*SETTINGS!$L$18,0)),"")</f>
        <v/>
      </c>
      <c r="AS62" s="105">
        <v>42</v>
      </c>
      <c r="AT62" s="106" t="str">
        <f>IFERROR(IF(ISBLANK(AS62),"",ROUND((AS62/SETTINGS!$L$19)*SETTINGS!$L$20,0)),"")</f>
        <v/>
      </c>
      <c r="AU62" s="106" t="str">
        <f t="shared" si="57"/>
        <v/>
      </c>
      <c r="AV62" s="103" t="str">
        <f t="shared" si="58"/>
        <v/>
      </c>
      <c r="AW62" s="107" t="str">
        <f t="shared" si="59"/>
        <v/>
      </c>
      <c r="AX62" s="130"/>
      <c r="AY62" s="105">
        <v>11</v>
      </c>
      <c r="AZ62" s="105">
        <v>10</v>
      </c>
      <c r="BA62" s="105">
        <v>15</v>
      </c>
      <c r="BB62" s="105">
        <v>10</v>
      </c>
      <c r="BC62" s="97">
        <f t="shared" si="60"/>
        <v>46</v>
      </c>
      <c r="BD62" s="106" t="str">
        <f>IFERROR(IF(BC62=0,"",ROUND((BC62/SUM(SETTINGS!$L$14:$L$17))*SETTINGS!$L$18,0)),"")</f>
        <v/>
      </c>
      <c r="BE62" s="105">
        <v>82</v>
      </c>
      <c r="BF62" s="106" t="str">
        <f>IFERROR(IF(ISBLANK(BE62),"",ROUND((BE62/SETTINGS!$L$19)*SETTINGS!$L$20,0)),"")</f>
        <v/>
      </c>
      <c r="BG62" s="106" t="str">
        <f t="shared" si="61"/>
        <v/>
      </c>
      <c r="BH62" s="103" t="str">
        <f t="shared" si="62"/>
        <v/>
      </c>
      <c r="BI62" s="108" t="str">
        <f t="shared" si="63"/>
        <v/>
      </c>
      <c r="BJ62" s="130"/>
      <c r="BK62" s="105">
        <v>14</v>
      </c>
      <c r="BL62" s="105">
        <v>11</v>
      </c>
      <c r="BM62" s="105">
        <v>1</v>
      </c>
      <c r="BN62" s="105">
        <v>15</v>
      </c>
      <c r="BO62" s="97">
        <f t="shared" si="64"/>
        <v>41</v>
      </c>
      <c r="BP62" s="106" t="str">
        <f>IFERROR(IF(BO62=0,"",ROUND((BO62/SUM(SETTINGS!$L$14:$L$17))*SETTINGS!$L$18,0)),"")</f>
        <v/>
      </c>
      <c r="BQ62" s="105">
        <v>62</v>
      </c>
      <c r="BR62" s="106" t="str">
        <f>IFERROR(IF(ISBLANK(BQ62),"",ROUND((BQ62/SETTINGS!$L$19)*SETTINGS!$L$20,0)),"")</f>
        <v/>
      </c>
      <c r="BS62" s="106" t="str">
        <f t="shared" si="65"/>
        <v/>
      </c>
      <c r="BT62" s="103" t="str">
        <f t="shared" si="66"/>
        <v/>
      </c>
      <c r="BU62" s="107" t="str">
        <f t="shared" si="67"/>
        <v/>
      </c>
      <c r="BV62" s="130"/>
      <c r="BW62" s="105">
        <v>13</v>
      </c>
      <c r="BX62" s="105">
        <v>13</v>
      </c>
      <c r="BY62" s="105">
        <v>13</v>
      </c>
      <c r="BZ62" s="105">
        <v>9</v>
      </c>
      <c r="CA62" s="97">
        <f t="shared" si="68"/>
        <v>48</v>
      </c>
      <c r="CB62" s="106" t="str">
        <f>IFERROR(IF(CA62=0,"",ROUND((CA62/SUM(SETTINGS!$L$14:$L$17))*SETTINGS!$L$18,0)),"")</f>
        <v/>
      </c>
      <c r="CC62" s="105">
        <v>81</v>
      </c>
      <c r="CD62" s="106" t="str">
        <f>IFERROR(IF(ISBLANK(CC62),"",ROUND((CC62/SETTINGS!$L$19)*SETTINGS!$L$20,0)),"")</f>
        <v/>
      </c>
      <c r="CE62" s="106" t="str">
        <f t="shared" si="69"/>
        <v/>
      </c>
      <c r="CF62" s="103" t="str">
        <f t="shared" si="70"/>
        <v/>
      </c>
      <c r="CG62" s="107" t="str">
        <f t="shared" si="71"/>
        <v/>
      </c>
      <c r="CH62" s="130"/>
      <c r="CI62" s="105">
        <v>15</v>
      </c>
      <c r="CJ62" s="105">
        <v>13</v>
      </c>
      <c r="CK62" s="105">
        <v>13</v>
      </c>
      <c r="CL62" s="105">
        <v>12</v>
      </c>
      <c r="CM62" s="97">
        <f t="shared" si="72"/>
        <v>53</v>
      </c>
      <c r="CN62" s="106" t="str">
        <f>IFERROR(IF(CM62=0,"",ROUND((CM62/SUM(SETTINGS!$L$14:$L$17))*SETTINGS!$L$18,0)),"")</f>
        <v/>
      </c>
      <c r="CO62" s="105">
        <v>36</v>
      </c>
      <c r="CP62" s="106" t="str">
        <f>IFERROR(IF(ISBLANK(CO62),"",ROUND((CO62/SETTINGS!$L$19)*SETTINGS!$L$20,0)),"")</f>
        <v/>
      </c>
      <c r="CQ62" s="106" t="str">
        <f t="shared" si="73"/>
        <v/>
      </c>
      <c r="CR62" s="103" t="str">
        <f t="shared" si="74"/>
        <v/>
      </c>
      <c r="CS62" s="107" t="str">
        <f t="shared" si="75"/>
        <v/>
      </c>
      <c r="CT62" s="130"/>
      <c r="CU62" s="105">
        <v>15</v>
      </c>
      <c r="CV62" s="105">
        <v>13</v>
      </c>
      <c r="CW62" s="105">
        <v>10</v>
      </c>
      <c r="CX62" s="105">
        <v>10</v>
      </c>
      <c r="CY62" s="97">
        <f t="shared" si="76"/>
        <v>48</v>
      </c>
      <c r="CZ62" s="106" t="str">
        <f>IFERROR(IF(CY62=0,"",ROUND((CY62/SUM(SETTINGS!$L$14:$L$17))*SETTINGS!$L$18,0)),"")</f>
        <v/>
      </c>
      <c r="DA62" s="105">
        <v>70</v>
      </c>
      <c r="DB62" s="106" t="str">
        <f>IFERROR(IF(ISBLANK(DA62),"",ROUND((DA62/SETTINGS!$L$19)*SETTINGS!$L$20,0)),"")</f>
        <v/>
      </c>
      <c r="DC62" s="106" t="str">
        <f t="shared" si="77"/>
        <v/>
      </c>
      <c r="DD62" s="103" t="str">
        <f t="shared" si="78"/>
        <v/>
      </c>
      <c r="DE62" s="107" t="str">
        <f t="shared" si="79"/>
        <v/>
      </c>
      <c r="DF62" s="103" t="str">
        <f t="shared" si="80"/>
        <v/>
      </c>
      <c r="DG62" s="103" t="str">
        <f>IFERROR(IF(AND(K62,W62,AI62,AU62,BG62,BS62,CE62,CQ62,DC62)="","",SUM(K62,W62,AI62,AU62,LARGE((BG62,BS62,CE62,CQ62,DC62),{1,2}))),"")</f>
        <v/>
      </c>
      <c r="DH62" s="103" t="str">
        <f>IFERROR(IF(AND(M62,Y62,AK62,AW62,,BI62,BU62,CG62,CS62,DE62)="","",SUM(M62,Y62,AK62,AW62,SMALL((BI62,BU62,CG62,CS62,DE62),{1,2}))),"")</f>
        <v/>
      </c>
      <c r="DI62" s="109" t="str">
        <f>IFERROR(pos&amp;IF(AND(MOD(ABS(18),100)&gt;10,MOD(ABS(pos),100)&lt;14),"th", CHOOSE(MOD(ABS(pos),10)+1,"th","st","nd","rd","th","th","th","th","th","th")),"")</f>
        <v/>
      </c>
      <c r="DJ62" s="62">
        <f>ROWS($B$12:$B62)</f>
        <v>51</v>
      </c>
      <c r="DK62" s="62" t="str">
        <f>IF($B62=REPORT_CARD!$M$12,$DJ62,"")</f>
        <v/>
      </c>
      <c r="DM62" s="65"/>
    </row>
    <row r="63" spans="1:117" ht="19.5" customHeight="1">
      <c r="A63" s="140" t="str">
        <f>IFERROR(IF(ISBLANK(#REF!),"",#REF!),"")</f>
        <v/>
      </c>
      <c r="B63" s="140" t="str">
        <f>IFERROR(IF(ISBLANK(#REF!),"",#REF!),"")</f>
        <v/>
      </c>
      <c r="C63" s="105">
        <v>12</v>
      </c>
      <c r="D63" s="105">
        <v>15</v>
      </c>
      <c r="E63" s="105">
        <v>11</v>
      </c>
      <c r="F63" s="105">
        <v>10</v>
      </c>
      <c r="G63" s="97">
        <f t="shared" si="44"/>
        <v>48</v>
      </c>
      <c r="H63" s="106" t="str">
        <f>IFERROR(IF(G63=0,"",ROUND((G63/SUM(SETTINGS!$L$14:$L$17))*SETTINGS!$L$18,0)),"")</f>
        <v/>
      </c>
      <c r="I63" s="105">
        <v>32</v>
      </c>
      <c r="J63" s="106" t="str">
        <f>IFERROR(IF(ISBLANK(I63),"",ROUND((I63/SETTINGS!$L$19)*SETTINGS!$L$20,0)),"")</f>
        <v/>
      </c>
      <c r="K63" s="106" t="str">
        <f t="shared" si="45"/>
        <v/>
      </c>
      <c r="L63" s="103" t="str">
        <f t="shared" si="46"/>
        <v/>
      </c>
      <c r="M63" s="107" t="str">
        <f t="shared" si="47"/>
        <v/>
      </c>
      <c r="N63" s="136"/>
      <c r="O63" s="105">
        <v>5</v>
      </c>
      <c r="P63" s="105">
        <v>10</v>
      </c>
      <c r="Q63" s="105">
        <v>9</v>
      </c>
      <c r="R63" s="105">
        <v>12</v>
      </c>
      <c r="S63" s="97">
        <f t="shared" si="48"/>
        <v>36</v>
      </c>
      <c r="T63" s="106" t="str">
        <f>IFERROR(IF(S63=0,"",ROUND((S63/SUM(SETTINGS!$L$14:$L$17))*SETTINGS!$L$18,0)),"")</f>
        <v/>
      </c>
      <c r="U63" s="105">
        <v>31</v>
      </c>
      <c r="V63" s="106" t="str">
        <f>IFERROR(IF(ISBLANK(U63),"",ROUND((U63/SETTINGS!$L$19)*SETTINGS!$L$20,0)),"")</f>
        <v/>
      </c>
      <c r="W63" s="106" t="str">
        <f t="shared" si="49"/>
        <v/>
      </c>
      <c r="X63" s="103" t="str">
        <f t="shared" si="50"/>
        <v/>
      </c>
      <c r="Y63" s="107" t="str">
        <f t="shared" si="51"/>
        <v/>
      </c>
      <c r="Z63" s="130"/>
      <c r="AA63" s="105">
        <v>14</v>
      </c>
      <c r="AB63" s="105">
        <v>10</v>
      </c>
      <c r="AC63" s="105">
        <v>12</v>
      </c>
      <c r="AD63" s="105">
        <v>15</v>
      </c>
      <c r="AE63" s="97">
        <f t="shared" si="52"/>
        <v>51</v>
      </c>
      <c r="AF63" s="106" t="str">
        <f>IFERROR(IF(AE63=0,"",ROUND((AE63/SUM(SETTINGS!$L$14:$L$17))*SETTINGS!$L$18,0)),"")</f>
        <v/>
      </c>
      <c r="AG63" s="105">
        <v>41</v>
      </c>
      <c r="AH63" s="106" t="str">
        <f>IFERROR(IF(ISBLANK(AG63),"",ROUND((AG63/SETTINGS!$L$19)*SETTINGS!$L$20,0)),"")</f>
        <v/>
      </c>
      <c r="AI63" s="106" t="str">
        <f t="shared" si="53"/>
        <v/>
      </c>
      <c r="AJ63" s="103" t="str">
        <f t="shared" si="54"/>
        <v/>
      </c>
      <c r="AK63" s="108" t="str">
        <f t="shared" si="55"/>
        <v/>
      </c>
      <c r="AL63" s="130"/>
      <c r="AM63" s="105">
        <v>13</v>
      </c>
      <c r="AN63" s="105">
        <v>10</v>
      </c>
      <c r="AO63" s="105">
        <v>15</v>
      </c>
      <c r="AP63" s="105">
        <v>14</v>
      </c>
      <c r="AQ63" s="97">
        <f t="shared" si="56"/>
        <v>52</v>
      </c>
      <c r="AR63" s="106" t="str">
        <f>IFERROR(IF(AQ63=0,"",ROUND((AQ63/SUM(SETTINGS!$L$14:$L$17))*SETTINGS!$L$18,0)),"")</f>
        <v/>
      </c>
      <c r="AS63" s="105">
        <v>38</v>
      </c>
      <c r="AT63" s="106" t="str">
        <f>IFERROR(IF(ISBLANK(AS63),"",ROUND((AS63/SETTINGS!$L$19)*SETTINGS!$L$20,0)),"")</f>
        <v/>
      </c>
      <c r="AU63" s="106" t="str">
        <f t="shared" si="57"/>
        <v/>
      </c>
      <c r="AV63" s="103" t="str">
        <f t="shared" si="58"/>
        <v/>
      </c>
      <c r="AW63" s="107" t="str">
        <f t="shared" si="59"/>
        <v/>
      </c>
      <c r="AX63" s="130"/>
      <c r="AY63" s="105">
        <v>10</v>
      </c>
      <c r="AZ63" s="105">
        <v>11</v>
      </c>
      <c r="BA63" s="105">
        <v>10</v>
      </c>
      <c r="BB63" s="105">
        <v>10</v>
      </c>
      <c r="BC63" s="97">
        <f t="shared" si="60"/>
        <v>41</v>
      </c>
      <c r="BD63" s="106" t="str">
        <f>IFERROR(IF(BC63=0,"",ROUND((BC63/SUM(SETTINGS!$L$14:$L$17))*SETTINGS!$L$18,0)),"")</f>
        <v/>
      </c>
      <c r="BE63" s="105">
        <v>57</v>
      </c>
      <c r="BF63" s="106" t="str">
        <f>IFERROR(IF(ISBLANK(BE63),"",ROUND((BE63/SETTINGS!$L$19)*SETTINGS!$L$20,0)),"")</f>
        <v/>
      </c>
      <c r="BG63" s="106" t="str">
        <f t="shared" si="61"/>
        <v/>
      </c>
      <c r="BH63" s="103" t="str">
        <f t="shared" si="62"/>
        <v/>
      </c>
      <c r="BI63" s="108" t="str">
        <f t="shared" si="63"/>
        <v/>
      </c>
      <c r="BJ63" s="130"/>
      <c r="BK63" s="105">
        <v>13</v>
      </c>
      <c r="BL63" s="105">
        <v>12</v>
      </c>
      <c r="BM63" s="105">
        <v>2</v>
      </c>
      <c r="BN63" s="105">
        <v>15</v>
      </c>
      <c r="BO63" s="97">
        <f t="shared" si="64"/>
        <v>42</v>
      </c>
      <c r="BP63" s="106" t="str">
        <f>IFERROR(IF(BO63=0,"",ROUND((BO63/SUM(SETTINGS!$L$14:$L$17))*SETTINGS!$L$18,0)),"")</f>
        <v/>
      </c>
      <c r="BQ63" s="105">
        <v>37</v>
      </c>
      <c r="BR63" s="106" t="str">
        <f>IFERROR(IF(ISBLANK(BQ63),"",ROUND((BQ63/SETTINGS!$L$19)*SETTINGS!$L$20,0)),"")</f>
        <v/>
      </c>
      <c r="BS63" s="106" t="str">
        <f t="shared" si="65"/>
        <v/>
      </c>
      <c r="BT63" s="103" t="str">
        <f t="shared" si="66"/>
        <v/>
      </c>
      <c r="BU63" s="107" t="str">
        <f t="shared" si="67"/>
        <v/>
      </c>
      <c r="BV63" s="130"/>
      <c r="BW63" s="105">
        <v>15</v>
      </c>
      <c r="BX63" s="105">
        <v>13</v>
      </c>
      <c r="BY63" s="105">
        <v>7</v>
      </c>
      <c r="BZ63" s="105">
        <v>12</v>
      </c>
      <c r="CA63" s="97">
        <f t="shared" si="68"/>
        <v>47</v>
      </c>
      <c r="CB63" s="106" t="str">
        <f>IFERROR(IF(CA63=0,"",ROUND((CA63/SUM(SETTINGS!$L$14:$L$17))*SETTINGS!$L$18,0)),"")</f>
        <v/>
      </c>
      <c r="CC63" s="105">
        <v>41</v>
      </c>
      <c r="CD63" s="106" t="str">
        <f>IFERROR(IF(ISBLANK(CC63),"",ROUND((CC63/SETTINGS!$L$19)*SETTINGS!$L$20,0)),"")</f>
        <v/>
      </c>
      <c r="CE63" s="106" t="str">
        <f t="shared" si="69"/>
        <v/>
      </c>
      <c r="CF63" s="103" t="str">
        <f t="shared" si="70"/>
        <v/>
      </c>
      <c r="CG63" s="107" t="str">
        <f t="shared" si="71"/>
        <v/>
      </c>
      <c r="CH63" s="130"/>
      <c r="CI63" s="105">
        <v>15</v>
      </c>
      <c r="CJ63" s="105">
        <v>15</v>
      </c>
      <c r="CK63" s="105">
        <v>13</v>
      </c>
      <c r="CL63" s="105">
        <v>13</v>
      </c>
      <c r="CM63" s="97">
        <f t="shared" si="72"/>
        <v>56</v>
      </c>
      <c r="CN63" s="106" t="str">
        <f>IFERROR(IF(CM63=0,"",ROUND((CM63/SUM(SETTINGS!$L$14:$L$17))*SETTINGS!$L$18,0)),"")</f>
        <v/>
      </c>
      <c r="CO63" s="105">
        <v>24</v>
      </c>
      <c r="CP63" s="106" t="str">
        <f>IFERROR(IF(ISBLANK(CO63),"",ROUND((CO63/SETTINGS!$L$19)*SETTINGS!$L$20,0)),"")</f>
        <v/>
      </c>
      <c r="CQ63" s="106" t="str">
        <f t="shared" si="73"/>
        <v/>
      </c>
      <c r="CR63" s="103" t="str">
        <f t="shared" si="74"/>
        <v/>
      </c>
      <c r="CS63" s="107" t="str">
        <f t="shared" si="75"/>
        <v/>
      </c>
      <c r="CT63" s="130"/>
      <c r="CU63" s="105">
        <v>14</v>
      </c>
      <c r="CV63" s="105">
        <v>12</v>
      </c>
      <c r="CW63" s="105">
        <v>14</v>
      </c>
      <c r="CX63" s="105">
        <v>10</v>
      </c>
      <c r="CY63" s="97">
        <f t="shared" si="76"/>
        <v>50</v>
      </c>
      <c r="CZ63" s="106" t="str">
        <f>IFERROR(IF(CY63=0,"",ROUND((CY63/SUM(SETTINGS!$L$14:$L$17))*SETTINGS!$L$18,0)),"")</f>
        <v/>
      </c>
      <c r="DA63" s="105">
        <v>59</v>
      </c>
      <c r="DB63" s="106" t="str">
        <f>IFERROR(IF(ISBLANK(DA63),"",ROUND((DA63/SETTINGS!$L$19)*SETTINGS!$L$20,0)),"")</f>
        <v/>
      </c>
      <c r="DC63" s="106" t="str">
        <f t="shared" si="77"/>
        <v/>
      </c>
      <c r="DD63" s="103" t="str">
        <f t="shared" si="78"/>
        <v/>
      </c>
      <c r="DE63" s="107" t="str">
        <f t="shared" si="79"/>
        <v/>
      </c>
      <c r="DF63" s="103" t="str">
        <f t="shared" si="80"/>
        <v/>
      </c>
      <c r="DG63" s="103" t="str">
        <f>IFERROR(IF(AND(K63,W63,AI63,AU63,BG63,BS63,CE63,CQ63,DC63)="","",SUM(K63,W63,AI63,AU63,LARGE((BG63,BS63,CE63,CQ63,DC63),{1,2}))),"")</f>
        <v/>
      </c>
      <c r="DH63" s="103" t="str">
        <f>IFERROR(IF(AND(M63,Y63,AK63,AW63,,BI63,BU63,CG63,CS63,DE63)="","",SUM(M63,Y63,AK63,AW63,SMALL((BI63,BU63,CG63,CS63,DE63),{1,2}))),"")</f>
        <v/>
      </c>
      <c r="DI63" s="109" t="str">
        <f>IFERROR(pos&amp;IF(AND(MOD(ABS(18),100)&gt;10,MOD(ABS(pos),100)&lt;14),"th", CHOOSE(MOD(ABS(pos),10)+1,"th","st","nd","rd","th","th","th","th","th","th")),"")</f>
        <v/>
      </c>
      <c r="DJ63" s="62">
        <f>ROWS($B$12:$B63)</f>
        <v>52</v>
      </c>
      <c r="DK63" s="62" t="str">
        <f>IF($B63=REPORT_CARD!$M$12,$DJ63,"")</f>
        <v/>
      </c>
      <c r="DM63" s="65"/>
    </row>
    <row r="64" spans="1:117" ht="19.5" customHeight="1">
      <c r="A64" s="140" t="str">
        <f>IFERROR(IF(ISBLANK(#REF!),"",#REF!),"")</f>
        <v/>
      </c>
      <c r="B64" s="140" t="str">
        <f>IFERROR(IF(ISBLANK(#REF!),"",#REF!),"")</f>
        <v/>
      </c>
      <c r="C64" s="105">
        <v>15</v>
      </c>
      <c r="D64" s="105">
        <v>14</v>
      </c>
      <c r="E64" s="105">
        <v>9</v>
      </c>
      <c r="F64" s="105">
        <v>15</v>
      </c>
      <c r="G64" s="97">
        <f t="shared" si="44"/>
        <v>53</v>
      </c>
      <c r="H64" s="106" t="str">
        <f>IFERROR(IF(G64=0,"",ROUND((G64/SUM(SETTINGS!$L$14:$L$17))*SETTINGS!$L$18,0)),"")</f>
        <v/>
      </c>
      <c r="I64" s="105">
        <v>23</v>
      </c>
      <c r="J64" s="106" t="str">
        <f>IFERROR(IF(ISBLANK(I64),"",ROUND((I64/SETTINGS!$L$19)*SETTINGS!$L$20,0)),"")</f>
        <v/>
      </c>
      <c r="K64" s="106" t="str">
        <f t="shared" si="45"/>
        <v/>
      </c>
      <c r="L64" s="103" t="str">
        <f t="shared" si="46"/>
        <v/>
      </c>
      <c r="M64" s="107" t="str">
        <f t="shared" si="47"/>
        <v/>
      </c>
      <c r="N64" s="136"/>
      <c r="O64" s="105">
        <v>5</v>
      </c>
      <c r="P64" s="105">
        <v>12</v>
      </c>
      <c r="Q64" s="105">
        <v>13</v>
      </c>
      <c r="R64" s="105">
        <v>5</v>
      </c>
      <c r="S64" s="97">
        <f t="shared" si="48"/>
        <v>35</v>
      </c>
      <c r="T64" s="106" t="str">
        <f>IFERROR(IF(S64=0,"",ROUND((S64/SUM(SETTINGS!$L$14:$L$17))*SETTINGS!$L$18,0)),"")</f>
        <v/>
      </c>
      <c r="U64" s="105">
        <v>25</v>
      </c>
      <c r="V64" s="106" t="str">
        <f>IFERROR(IF(ISBLANK(U64),"",ROUND((U64/SETTINGS!$L$19)*SETTINGS!$L$20,0)),"")</f>
        <v/>
      </c>
      <c r="W64" s="106" t="str">
        <f t="shared" si="49"/>
        <v/>
      </c>
      <c r="X64" s="103" t="str">
        <f t="shared" si="50"/>
        <v/>
      </c>
      <c r="Y64" s="107" t="str">
        <f t="shared" si="51"/>
        <v/>
      </c>
      <c r="Z64" s="130"/>
      <c r="AA64" s="105">
        <v>7</v>
      </c>
      <c r="AB64" s="105">
        <v>10</v>
      </c>
      <c r="AC64" s="105">
        <v>10</v>
      </c>
      <c r="AD64" s="105">
        <v>9</v>
      </c>
      <c r="AE64" s="97">
        <f t="shared" si="52"/>
        <v>36</v>
      </c>
      <c r="AF64" s="106" t="str">
        <f>IFERROR(IF(AE64=0,"",ROUND((AE64/SUM(SETTINGS!$L$14:$L$17))*SETTINGS!$L$18,0)),"")</f>
        <v/>
      </c>
      <c r="AG64" s="105">
        <v>32</v>
      </c>
      <c r="AH64" s="106" t="str">
        <f>IFERROR(IF(ISBLANK(AG64),"",ROUND((AG64/SETTINGS!$L$19)*SETTINGS!$L$20,0)),"")</f>
        <v/>
      </c>
      <c r="AI64" s="106" t="str">
        <f t="shared" si="53"/>
        <v/>
      </c>
      <c r="AJ64" s="103" t="str">
        <f t="shared" si="54"/>
        <v/>
      </c>
      <c r="AK64" s="108" t="str">
        <f t="shared" si="55"/>
        <v/>
      </c>
      <c r="AL64" s="130"/>
      <c r="AM64" s="105">
        <v>7</v>
      </c>
      <c r="AN64" s="105">
        <v>2</v>
      </c>
      <c r="AO64" s="105">
        <v>1</v>
      </c>
      <c r="AP64" s="105">
        <v>15</v>
      </c>
      <c r="AQ64" s="97">
        <f t="shared" si="56"/>
        <v>25</v>
      </c>
      <c r="AR64" s="106" t="str">
        <f>IFERROR(IF(AQ64=0,"",ROUND((AQ64/SUM(SETTINGS!$L$14:$L$17))*SETTINGS!$L$18,0)),"")</f>
        <v/>
      </c>
      <c r="AS64" s="105">
        <v>19</v>
      </c>
      <c r="AT64" s="106" t="str">
        <f>IFERROR(IF(ISBLANK(AS64),"",ROUND((AS64/SETTINGS!$L$19)*SETTINGS!$L$20,0)),"")</f>
        <v/>
      </c>
      <c r="AU64" s="106" t="str">
        <f t="shared" si="57"/>
        <v/>
      </c>
      <c r="AV64" s="103" t="str">
        <f t="shared" si="58"/>
        <v/>
      </c>
      <c r="AW64" s="107" t="str">
        <f t="shared" si="59"/>
        <v/>
      </c>
      <c r="AX64" s="130"/>
      <c r="AY64" s="105">
        <v>13</v>
      </c>
      <c r="AZ64" s="105">
        <v>8</v>
      </c>
      <c r="BA64" s="105">
        <v>12</v>
      </c>
      <c r="BB64" s="105">
        <v>12</v>
      </c>
      <c r="BC64" s="97">
        <f t="shared" si="60"/>
        <v>45</v>
      </c>
      <c r="BD64" s="106" t="str">
        <f>IFERROR(IF(BC64=0,"",ROUND((BC64/SUM(SETTINGS!$L$14:$L$17))*SETTINGS!$L$18,0)),"")</f>
        <v/>
      </c>
      <c r="BE64" s="105">
        <v>20</v>
      </c>
      <c r="BF64" s="106" t="str">
        <f>IFERROR(IF(ISBLANK(BE64),"",ROUND((BE64/SETTINGS!$L$19)*SETTINGS!$L$20,0)),"")</f>
        <v/>
      </c>
      <c r="BG64" s="106" t="str">
        <f t="shared" si="61"/>
        <v/>
      </c>
      <c r="BH64" s="103" t="str">
        <f t="shared" si="62"/>
        <v/>
      </c>
      <c r="BI64" s="108" t="str">
        <f t="shared" si="63"/>
        <v/>
      </c>
      <c r="BJ64" s="130"/>
      <c r="BK64" s="105">
        <v>11</v>
      </c>
      <c r="BL64" s="105">
        <v>6</v>
      </c>
      <c r="BM64" s="105">
        <v>3</v>
      </c>
      <c r="BN64" s="105">
        <v>15</v>
      </c>
      <c r="BO64" s="97">
        <f t="shared" si="64"/>
        <v>35</v>
      </c>
      <c r="BP64" s="106" t="str">
        <f>IFERROR(IF(BO64=0,"",ROUND((BO64/SUM(SETTINGS!$L$14:$L$17))*SETTINGS!$L$18,0)),"")</f>
        <v/>
      </c>
      <c r="BQ64" s="105">
        <v>25</v>
      </c>
      <c r="BR64" s="106" t="str">
        <f>IFERROR(IF(ISBLANK(BQ64),"",ROUND((BQ64/SETTINGS!$L$19)*SETTINGS!$L$20,0)),"")</f>
        <v/>
      </c>
      <c r="BS64" s="106" t="str">
        <f t="shared" si="65"/>
        <v/>
      </c>
      <c r="BT64" s="103" t="str">
        <f t="shared" si="66"/>
        <v/>
      </c>
      <c r="BU64" s="107" t="str">
        <f t="shared" si="67"/>
        <v/>
      </c>
      <c r="BV64" s="130"/>
      <c r="BW64" s="105">
        <v>4</v>
      </c>
      <c r="BX64" s="105">
        <v>9</v>
      </c>
      <c r="BY64" s="105">
        <v>13</v>
      </c>
      <c r="BZ64" s="105">
        <v>10</v>
      </c>
      <c r="CA64" s="97">
        <f t="shared" si="68"/>
        <v>36</v>
      </c>
      <c r="CB64" s="106" t="str">
        <f>IFERROR(IF(CA64=0,"",ROUND((CA64/SUM(SETTINGS!$L$14:$L$17))*SETTINGS!$L$18,0)),"")</f>
        <v/>
      </c>
      <c r="CC64" s="105">
        <v>19</v>
      </c>
      <c r="CD64" s="106" t="str">
        <f>IFERROR(IF(ISBLANK(CC64),"",ROUND((CC64/SETTINGS!$L$19)*SETTINGS!$L$20,0)),"")</f>
        <v/>
      </c>
      <c r="CE64" s="106" t="str">
        <f t="shared" si="69"/>
        <v/>
      </c>
      <c r="CF64" s="103" t="str">
        <f t="shared" si="70"/>
        <v/>
      </c>
      <c r="CG64" s="107" t="str">
        <f t="shared" si="71"/>
        <v/>
      </c>
      <c r="CH64" s="130"/>
      <c r="CI64" s="105">
        <v>9</v>
      </c>
      <c r="CJ64" s="105">
        <v>14</v>
      </c>
      <c r="CK64" s="105">
        <v>5</v>
      </c>
      <c r="CL64" s="105">
        <v>11</v>
      </c>
      <c r="CM64" s="97">
        <f t="shared" si="72"/>
        <v>39</v>
      </c>
      <c r="CN64" s="106" t="str">
        <f>IFERROR(IF(CM64=0,"",ROUND((CM64/SUM(SETTINGS!$L$14:$L$17))*SETTINGS!$L$18,0)),"")</f>
        <v/>
      </c>
      <c r="CO64" s="105">
        <v>9</v>
      </c>
      <c r="CP64" s="106" t="str">
        <f>IFERROR(IF(ISBLANK(CO64),"",ROUND((CO64/SETTINGS!$L$19)*SETTINGS!$L$20,0)),"")</f>
        <v/>
      </c>
      <c r="CQ64" s="106" t="str">
        <f t="shared" si="73"/>
        <v/>
      </c>
      <c r="CR64" s="103" t="str">
        <f t="shared" si="74"/>
        <v/>
      </c>
      <c r="CS64" s="107" t="str">
        <f t="shared" si="75"/>
        <v/>
      </c>
      <c r="CT64" s="130"/>
      <c r="CU64" s="105">
        <v>6</v>
      </c>
      <c r="CV64" s="105">
        <v>6</v>
      </c>
      <c r="CW64" s="105">
        <v>6</v>
      </c>
      <c r="CX64" s="105">
        <v>6</v>
      </c>
      <c r="CY64" s="97">
        <f t="shared" si="76"/>
        <v>24</v>
      </c>
      <c r="CZ64" s="106" t="str">
        <f>IFERROR(IF(CY64=0,"",ROUND((CY64/SUM(SETTINGS!$L$14:$L$17))*SETTINGS!$L$18,0)),"")</f>
        <v/>
      </c>
      <c r="DA64" s="105">
        <v>35</v>
      </c>
      <c r="DB64" s="106" t="str">
        <f>IFERROR(IF(ISBLANK(DA64),"",ROUND((DA64/SETTINGS!$L$19)*SETTINGS!$L$20,0)),"")</f>
        <v/>
      </c>
      <c r="DC64" s="106" t="str">
        <f t="shared" si="77"/>
        <v/>
      </c>
      <c r="DD64" s="103" t="str">
        <f t="shared" si="78"/>
        <v/>
      </c>
      <c r="DE64" s="107" t="str">
        <f t="shared" si="79"/>
        <v/>
      </c>
      <c r="DF64" s="103" t="str">
        <f t="shared" si="80"/>
        <v/>
      </c>
      <c r="DG64" s="103" t="str">
        <f>IFERROR(IF(AND(K64,W64,AI64,AU64,BG64,BS64,CE64,CQ64,DC64)="","",SUM(K64,W64,AI64,AU64,LARGE((BG64,BS64,CE64,CQ64,DC64),{1,2}))),"")</f>
        <v/>
      </c>
      <c r="DH64" s="103" t="str">
        <f>IFERROR(IF(AND(M64,Y64,AK64,AW64,,BI64,BU64,CG64,CS64,DE64)="","",SUM(M64,Y64,AK64,AW64,SMALL((BI64,BU64,CG64,CS64,DE64),{1,2}))),"")</f>
        <v/>
      </c>
      <c r="DI64" s="109" t="str">
        <f>IFERROR(pos&amp;IF(AND(MOD(ABS(18),100)&gt;10,MOD(ABS(pos),100)&lt;14),"th", CHOOSE(MOD(ABS(pos),10)+1,"th","st","nd","rd","th","th","th","th","th","th")),"")</f>
        <v/>
      </c>
      <c r="DJ64" s="62">
        <f>ROWS($B$12:$B64)</f>
        <v>53</v>
      </c>
      <c r="DK64" s="62" t="str">
        <f>IF($B64=REPORT_CARD!$M$12,$DJ64,"")</f>
        <v/>
      </c>
      <c r="DM64" s="65"/>
    </row>
    <row r="65" spans="1:117" ht="19.5" customHeight="1">
      <c r="A65" s="140" t="str">
        <f>IFERROR(IF(ISBLANK(#REF!),"",#REF!),"")</f>
        <v/>
      </c>
      <c r="B65" s="140" t="str">
        <f>IFERROR(IF(ISBLANK(#REF!),"",#REF!),"")</f>
        <v/>
      </c>
      <c r="C65" s="105">
        <v>15</v>
      </c>
      <c r="D65" s="105">
        <v>15</v>
      </c>
      <c r="E65" s="105">
        <v>10</v>
      </c>
      <c r="F65" s="105">
        <v>9</v>
      </c>
      <c r="G65" s="97">
        <f t="shared" si="44"/>
        <v>49</v>
      </c>
      <c r="H65" s="106" t="str">
        <f>IFERROR(IF(G65=0,"",ROUND((G65/SUM(SETTINGS!$L$14:$L$17))*SETTINGS!$L$18,0)),"")</f>
        <v/>
      </c>
      <c r="I65" s="105">
        <v>56</v>
      </c>
      <c r="J65" s="106" t="str">
        <f>IFERROR(IF(ISBLANK(I65),"",ROUND((I65/SETTINGS!$L$19)*SETTINGS!$L$20,0)),"")</f>
        <v/>
      </c>
      <c r="K65" s="106" t="str">
        <f t="shared" si="45"/>
        <v/>
      </c>
      <c r="L65" s="103" t="str">
        <f t="shared" si="46"/>
        <v/>
      </c>
      <c r="M65" s="107" t="str">
        <f t="shared" si="47"/>
        <v/>
      </c>
      <c r="N65" s="136"/>
      <c r="O65" s="105">
        <v>10</v>
      </c>
      <c r="P65" s="105">
        <v>10</v>
      </c>
      <c r="Q65" s="105">
        <v>11</v>
      </c>
      <c r="R65" s="105">
        <v>11</v>
      </c>
      <c r="S65" s="97">
        <f t="shared" si="48"/>
        <v>42</v>
      </c>
      <c r="T65" s="106" t="str">
        <f>IFERROR(IF(S65=0,"",ROUND((S65/SUM(SETTINGS!$L$14:$L$17))*SETTINGS!$L$18,0)),"")</f>
        <v/>
      </c>
      <c r="U65" s="105">
        <v>46</v>
      </c>
      <c r="V65" s="106" t="str">
        <f>IFERROR(IF(ISBLANK(U65),"",ROUND((U65/SETTINGS!$L$19)*SETTINGS!$L$20,0)),"")</f>
        <v/>
      </c>
      <c r="W65" s="106" t="str">
        <f t="shared" si="49"/>
        <v/>
      </c>
      <c r="X65" s="103" t="str">
        <f t="shared" si="50"/>
        <v/>
      </c>
      <c r="Y65" s="107" t="str">
        <f t="shared" si="51"/>
        <v/>
      </c>
      <c r="Z65" s="130"/>
      <c r="AA65" s="105">
        <v>12</v>
      </c>
      <c r="AB65" s="105">
        <v>12</v>
      </c>
      <c r="AC65" s="105">
        <v>12</v>
      </c>
      <c r="AD65" s="105">
        <v>14</v>
      </c>
      <c r="AE65" s="97">
        <f t="shared" si="52"/>
        <v>50</v>
      </c>
      <c r="AF65" s="106" t="str">
        <f>IFERROR(IF(AE65=0,"",ROUND((AE65/SUM(SETTINGS!$L$14:$L$17))*SETTINGS!$L$18,0)),"")</f>
        <v/>
      </c>
      <c r="AG65" s="105">
        <v>65</v>
      </c>
      <c r="AH65" s="106" t="str">
        <f>IFERROR(IF(ISBLANK(AG65),"",ROUND((AG65/SETTINGS!$L$19)*SETTINGS!$L$20,0)),"")</f>
        <v/>
      </c>
      <c r="AI65" s="106" t="str">
        <f t="shared" si="53"/>
        <v/>
      </c>
      <c r="AJ65" s="103" t="str">
        <f t="shared" si="54"/>
        <v/>
      </c>
      <c r="AK65" s="108" t="str">
        <f t="shared" si="55"/>
        <v/>
      </c>
      <c r="AL65" s="130"/>
      <c r="AM65" s="105">
        <v>8</v>
      </c>
      <c r="AN65" s="105">
        <v>10</v>
      </c>
      <c r="AO65" s="105">
        <v>12</v>
      </c>
      <c r="AP65" s="105">
        <v>15</v>
      </c>
      <c r="AQ65" s="97">
        <f t="shared" si="56"/>
        <v>45</v>
      </c>
      <c r="AR65" s="106" t="str">
        <f>IFERROR(IF(AQ65=0,"",ROUND((AQ65/SUM(SETTINGS!$L$14:$L$17))*SETTINGS!$L$18,0)),"")</f>
        <v/>
      </c>
      <c r="AS65" s="105">
        <v>39</v>
      </c>
      <c r="AT65" s="106" t="str">
        <f>IFERROR(IF(ISBLANK(AS65),"",ROUND((AS65/SETTINGS!$L$19)*SETTINGS!$L$20,0)),"")</f>
        <v/>
      </c>
      <c r="AU65" s="106" t="str">
        <f t="shared" si="57"/>
        <v/>
      </c>
      <c r="AV65" s="103" t="str">
        <f t="shared" si="58"/>
        <v/>
      </c>
      <c r="AW65" s="107" t="str">
        <f t="shared" si="59"/>
        <v/>
      </c>
      <c r="AX65" s="130"/>
      <c r="AY65" s="105">
        <v>13</v>
      </c>
      <c r="AZ65" s="105">
        <v>9</v>
      </c>
      <c r="BA65" s="105">
        <v>13</v>
      </c>
      <c r="BB65" s="105">
        <v>15</v>
      </c>
      <c r="BC65" s="97">
        <f t="shared" si="60"/>
        <v>50</v>
      </c>
      <c r="BD65" s="106" t="str">
        <f>IFERROR(IF(BC65=0,"",ROUND((BC65/SUM(SETTINGS!$L$14:$L$17))*SETTINGS!$L$18,0)),"")</f>
        <v/>
      </c>
      <c r="BE65" s="105">
        <v>53</v>
      </c>
      <c r="BF65" s="106" t="str">
        <f>IFERROR(IF(ISBLANK(BE65),"",ROUND((BE65/SETTINGS!$L$19)*SETTINGS!$L$20,0)),"")</f>
        <v/>
      </c>
      <c r="BG65" s="106" t="str">
        <f t="shared" si="61"/>
        <v/>
      </c>
      <c r="BH65" s="103" t="str">
        <f t="shared" si="62"/>
        <v/>
      </c>
      <c r="BI65" s="108" t="str">
        <f t="shared" si="63"/>
        <v/>
      </c>
      <c r="BJ65" s="130"/>
      <c r="BK65" s="105">
        <v>14</v>
      </c>
      <c r="BL65" s="105">
        <v>15</v>
      </c>
      <c r="BM65" s="105">
        <v>5</v>
      </c>
      <c r="BN65" s="105">
        <v>15</v>
      </c>
      <c r="BO65" s="97">
        <f t="shared" si="64"/>
        <v>49</v>
      </c>
      <c r="BP65" s="106" t="str">
        <f>IFERROR(IF(BO65=0,"",ROUND((BO65/SUM(SETTINGS!$L$14:$L$17))*SETTINGS!$L$18,0)),"")</f>
        <v/>
      </c>
      <c r="BQ65" s="105">
        <v>45</v>
      </c>
      <c r="BR65" s="106" t="str">
        <f>IFERROR(IF(ISBLANK(BQ65),"",ROUND((BQ65/SETTINGS!$L$19)*SETTINGS!$L$20,0)),"")</f>
        <v/>
      </c>
      <c r="BS65" s="106" t="str">
        <f t="shared" si="65"/>
        <v/>
      </c>
      <c r="BT65" s="103" t="str">
        <f t="shared" si="66"/>
        <v/>
      </c>
      <c r="BU65" s="107" t="str">
        <f t="shared" si="67"/>
        <v/>
      </c>
      <c r="BV65" s="130"/>
      <c r="BW65" s="105">
        <v>13</v>
      </c>
      <c r="BX65" s="105">
        <v>13</v>
      </c>
      <c r="BY65" s="105">
        <v>15</v>
      </c>
      <c r="BZ65" s="105">
        <v>15</v>
      </c>
      <c r="CA65" s="97">
        <f t="shared" si="68"/>
        <v>56</v>
      </c>
      <c r="CB65" s="106" t="str">
        <f>IFERROR(IF(CA65=0,"",ROUND((CA65/SUM(SETTINGS!$L$14:$L$17))*SETTINGS!$L$18,0)),"")</f>
        <v/>
      </c>
      <c r="CC65" s="105">
        <v>76</v>
      </c>
      <c r="CD65" s="106" t="str">
        <f>IFERROR(IF(ISBLANK(CC65),"",ROUND((CC65/SETTINGS!$L$19)*SETTINGS!$L$20,0)),"")</f>
        <v/>
      </c>
      <c r="CE65" s="106" t="str">
        <f t="shared" si="69"/>
        <v/>
      </c>
      <c r="CF65" s="103" t="str">
        <f t="shared" si="70"/>
        <v/>
      </c>
      <c r="CG65" s="107" t="str">
        <f t="shared" si="71"/>
        <v/>
      </c>
      <c r="CH65" s="130"/>
      <c r="CI65" s="105">
        <v>13</v>
      </c>
      <c r="CJ65" s="105">
        <v>15</v>
      </c>
      <c r="CK65" s="105">
        <v>14</v>
      </c>
      <c r="CL65" s="105">
        <v>15</v>
      </c>
      <c r="CM65" s="97">
        <f t="shared" si="72"/>
        <v>57</v>
      </c>
      <c r="CN65" s="106" t="str">
        <f>IFERROR(IF(CM65=0,"",ROUND((CM65/SUM(SETTINGS!$L$14:$L$17))*SETTINGS!$L$18,0)),"")</f>
        <v/>
      </c>
      <c r="CO65" s="105">
        <v>39</v>
      </c>
      <c r="CP65" s="106" t="str">
        <f>IFERROR(IF(ISBLANK(CO65),"",ROUND((CO65/SETTINGS!$L$19)*SETTINGS!$L$20,0)),"")</f>
        <v/>
      </c>
      <c r="CQ65" s="106" t="str">
        <f t="shared" si="73"/>
        <v/>
      </c>
      <c r="CR65" s="103" t="str">
        <f t="shared" si="74"/>
        <v/>
      </c>
      <c r="CS65" s="107" t="str">
        <f t="shared" si="75"/>
        <v/>
      </c>
      <c r="CT65" s="130"/>
      <c r="CU65" s="105">
        <v>13</v>
      </c>
      <c r="CV65" s="105">
        <v>15</v>
      </c>
      <c r="CW65" s="105">
        <v>12</v>
      </c>
      <c r="CX65" s="105">
        <v>13</v>
      </c>
      <c r="CY65" s="97">
        <f t="shared" si="76"/>
        <v>53</v>
      </c>
      <c r="CZ65" s="106" t="str">
        <f>IFERROR(IF(CY65=0,"",ROUND((CY65/SUM(SETTINGS!$L$14:$L$17))*SETTINGS!$L$18,0)),"")</f>
        <v/>
      </c>
      <c r="DA65" s="105">
        <v>72</v>
      </c>
      <c r="DB65" s="106" t="str">
        <f>IFERROR(IF(ISBLANK(DA65),"",ROUND((DA65/SETTINGS!$L$19)*SETTINGS!$L$20,0)),"")</f>
        <v/>
      </c>
      <c r="DC65" s="106" t="str">
        <f t="shared" si="77"/>
        <v/>
      </c>
      <c r="DD65" s="103" t="str">
        <f t="shared" si="78"/>
        <v/>
      </c>
      <c r="DE65" s="107" t="str">
        <f t="shared" si="79"/>
        <v/>
      </c>
      <c r="DF65" s="103" t="str">
        <f t="shared" si="80"/>
        <v/>
      </c>
      <c r="DG65" s="103" t="str">
        <f>IFERROR(IF(AND(K65,W65,AI65,AU65,BG65,BS65,CE65,CQ65,DC65)="","",SUM(K65,W65,AI65,AU65,LARGE((BG65,BS65,CE65,CQ65,DC65),{1,2}))),"")</f>
        <v/>
      </c>
      <c r="DH65" s="103" t="str">
        <f>IFERROR(IF(AND(M65,Y65,AK65,AW65,,BI65,BU65,CG65,CS65,DE65)="","",SUM(M65,Y65,AK65,AW65,SMALL((BI65,BU65,CG65,CS65,DE65),{1,2}))),"")</f>
        <v/>
      </c>
      <c r="DI65" s="109" t="str">
        <f>IFERROR(pos&amp;IF(AND(MOD(ABS(18),100)&gt;10,MOD(ABS(pos),100)&lt;14),"th", CHOOSE(MOD(ABS(pos),10)+1,"th","st","nd","rd","th","th","th","th","th","th")),"")</f>
        <v/>
      </c>
      <c r="DJ65" s="62">
        <f>ROWS($B$12:$B65)</f>
        <v>54</v>
      </c>
      <c r="DK65" s="62" t="str">
        <f>IF($B65=REPORT_CARD!$M$12,$DJ65,"")</f>
        <v/>
      </c>
      <c r="DM65" s="65"/>
    </row>
    <row r="66" spans="1:117" ht="19.5" customHeight="1">
      <c r="A66" s="140" t="str">
        <f>IFERROR(IF(ISBLANK(#REF!),"",#REF!),"")</f>
        <v/>
      </c>
      <c r="B66" s="140" t="str">
        <f>IFERROR(IF(ISBLANK(#REF!),"",#REF!),"")</f>
        <v/>
      </c>
      <c r="C66" s="105">
        <v>15</v>
      </c>
      <c r="D66" s="105">
        <v>14</v>
      </c>
      <c r="E66" s="105">
        <v>10</v>
      </c>
      <c r="F66" s="105">
        <v>11</v>
      </c>
      <c r="G66" s="97">
        <f t="shared" si="44"/>
        <v>50</v>
      </c>
      <c r="H66" s="106" t="str">
        <f>IFERROR(IF(G66=0,"",ROUND((G66/SUM(SETTINGS!$L$14:$L$17))*SETTINGS!$L$18,0)),"")</f>
        <v/>
      </c>
      <c r="I66" s="105">
        <v>63</v>
      </c>
      <c r="J66" s="106" t="str">
        <f>IFERROR(IF(ISBLANK(I66),"",ROUND((I66/SETTINGS!$L$19)*SETTINGS!$L$20,0)),"")</f>
        <v/>
      </c>
      <c r="K66" s="106" t="str">
        <f t="shared" si="45"/>
        <v/>
      </c>
      <c r="L66" s="103" t="str">
        <f t="shared" si="46"/>
        <v/>
      </c>
      <c r="M66" s="107" t="str">
        <f t="shared" si="47"/>
        <v/>
      </c>
      <c r="N66" s="136"/>
      <c r="O66" s="105">
        <v>7</v>
      </c>
      <c r="P66" s="105">
        <v>10</v>
      </c>
      <c r="Q66" s="105">
        <v>10</v>
      </c>
      <c r="R66" s="105">
        <v>12</v>
      </c>
      <c r="S66" s="97">
        <f t="shared" si="48"/>
        <v>39</v>
      </c>
      <c r="T66" s="106" t="str">
        <f>IFERROR(IF(S66=0,"",ROUND((S66/SUM(SETTINGS!$L$14:$L$17))*SETTINGS!$L$18,0)),"")</f>
        <v/>
      </c>
      <c r="U66" s="105">
        <v>48</v>
      </c>
      <c r="V66" s="106" t="str">
        <f>IFERROR(IF(ISBLANK(U66),"",ROUND((U66/SETTINGS!$L$19)*SETTINGS!$L$20,0)),"")</f>
        <v/>
      </c>
      <c r="W66" s="106" t="str">
        <f t="shared" si="49"/>
        <v/>
      </c>
      <c r="X66" s="103" t="str">
        <f t="shared" si="50"/>
        <v/>
      </c>
      <c r="Y66" s="107" t="str">
        <f t="shared" si="51"/>
        <v/>
      </c>
      <c r="Z66" s="130"/>
      <c r="AA66" s="105">
        <v>14</v>
      </c>
      <c r="AB66" s="105">
        <v>12</v>
      </c>
      <c r="AC66" s="105">
        <v>12</v>
      </c>
      <c r="AD66" s="105">
        <v>15</v>
      </c>
      <c r="AE66" s="97">
        <f t="shared" si="52"/>
        <v>53</v>
      </c>
      <c r="AF66" s="106" t="str">
        <f>IFERROR(IF(AE66=0,"",ROUND((AE66/SUM(SETTINGS!$L$14:$L$17))*SETTINGS!$L$18,0)),"")</f>
        <v/>
      </c>
      <c r="AG66" s="105">
        <v>67</v>
      </c>
      <c r="AH66" s="106" t="str">
        <f>IFERROR(IF(ISBLANK(AG66),"",ROUND((AG66/SETTINGS!$L$19)*SETTINGS!$L$20,0)),"")</f>
        <v/>
      </c>
      <c r="AI66" s="106" t="str">
        <f t="shared" si="53"/>
        <v/>
      </c>
      <c r="AJ66" s="103" t="str">
        <f t="shared" si="54"/>
        <v/>
      </c>
      <c r="AK66" s="108" t="str">
        <f t="shared" si="55"/>
        <v/>
      </c>
      <c r="AL66" s="130"/>
      <c r="AM66" s="105">
        <v>12</v>
      </c>
      <c r="AN66" s="105">
        <v>10</v>
      </c>
      <c r="AO66" s="105">
        <v>9</v>
      </c>
      <c r="AP66" s="105">
        <v>15</v>
      </c>
      <c r="AQ66" s="97">
        <f t="shared" si="56"/>
        <v>46</v>
      </c>
      <c r="AR66" s="106" t="str">
        <f>IFERROR(IF(AQ66=0,"",ROUND((AQ66/SUM(SETTINGS!$L$14:$L$17))*SETTINGS!$L$18,0)),"")</f>
        <v/>
      </c>
      <c r="AS66" s="105">
        <v>40</v>
      </c>
      <c r="AT66" s="106" t="str">
        <f>IFERROR(IF(ISBLANK(AS66),"",ROUND((AS66/SETTINGS!$L$19)*SETTINGS!$L$20,0)),"")</f>
        <v/>
      </c>
      <c r="AU66" s="106" t="str">
        <f t="shared" si="57"/>
        <v/>
      </c>
      <c r="AV66" s="103" t="str">
        <f t="shared" si="58"/>
        <v/>
      </c>
      <c r="AW66" s="107" t="str">
        <f t="shared" si="59"/>
        <v/>
      </c>
      <c r="AX66" s="130"/>
      <c r="AY66" s="105">
        <v>12</v>
      </c>
      <c r="AZ66" s="105">
        <v>11</v>
      </c>
      <c r="BA66" s="105">
        <v>12</v>
      </c>
      <c r="BB66" s="105">
        <v>10</v>
      </c>
      <c r="BC66" s="97">
        <f t="shared" si="60"/>
        <v>45</v>
      </c>
      <c r="BD66" s="106" t="str">
        <f>IFERROR(IF(BC66=0,"",ROUND((BC66/SUM(SETTINGS!$L$14:$L$17))*SETTINGS!$L$18,0)),"")</f>
        <v/>
      </c>
      <c r="BE66" s="105">
        <v>75</v>
      </c>
      <c r="BF66" s="106" t="str">
        <f>IFERROR(IF(ISBLANK(BE66),"",ROUND((BE66/SETTINGS!$L$19)*SETTINGS!$L$20,0)),"")</f>
        <v/>
      </c>
      <c r="BG66" s="106" t="str">
        <f t="shared" si="61"/>
        <v/>
      </c>
      <c r="BH66" s="103" t="str">
        <f t="shared" si="62"/>
        <v/>
      </c>
      <c r="BI66" s="108" t="str">
        <f t="shared" si="63"/>
        <v/>
      </c>
      <c r="BJ66" s="130"/>
      <c r="BK66" s="105">
        <v>12</v>
      </c>
      <c r="BL66" s="105">
        <v>14</v>
      </c>
      <c r="BM66" s="105">
        <v>3</v>
      </c>
      <c r="BN66" s="105">
        <v>15</v>
      </c>
      <c r="BO66" s="97">
        <f t="shared" si="64"/>
        <v>44</v>
      </c>
      <c r="BP66" s="106" t="str">
        <f>IFERROR(IF(BO66=0,"",ROUND((BO66/SUM(SETTINGS!$L$14:$L$17))*SETTINGS!$L$18,0)),"")</f>
        <v/>
      </c>
      <c r="BQ66" s="105">
        <v>46</v>
      </c>
      <c r="BR66" s="106" t="str">
        <f>IFERROR(IF(ISBLANK(BQ66),"",ROUND((BQ66/SETTINGS!$L$19)*SETTINGS!$L$20,0)),"")</f>
        <v/>
      </c>
      <c r="BS66" s="106" t="str">
        <f t="shared" si="65"/>
        <v/>
      </c>
      <c r="BT66" s="103" t="str">
        <f t="shared" si="66"/>
        <v/>
      </c>
      <c r="BU66" s="107" t="str">
        <f t="shared" si="67"/>
        <v/>
      </c>
      <c r="BV66" s="130"/>
      <c r="BW66" s="105">
        <v>13</v>
      </c>
      <c r="BX66" s="105">
        <v>11</v>
      </c>
      <c r="BY66" s="105">
        <v>15</v>
      </c>
      <c r="BZ66" s="105">
        <v>5</v>
      </c>
      <c r="CA66" s="97">
        <f t="shared" si="68"/>
        <v>44</v>
      </c>
      <c r="CB66" s="106" t="str">
        <f>IFERROR(IF(CA66=0,"",ROUND((CA66/SUM(SETTINGS!$L$14:$L$17))*SETTINGS!$L$18,0)),"")</f>
        <v/>
      </c>
      <c r="CC66" s="105">
        <v>68</v>
      </c>
      <c r="CD66" s="106" t="str">
        <f>IFERROR(IF(ISBLANK(CC66),"",ROUND((CC66/SETTINGS!$L$19)*SETTINGS!$L$20,0)),"")</f>
        <v/>
      </c>
      <c r="CE66" s="106" t="str">
        <f t="shared" si="69"/>
        <v/>
      </c>
      <c r="CF66" s="103" t="str">
        <f t="shared" si="70"/>
        <v/>
      </c>
      <c r="CG66" s="107" t="str">
        <f t="shared" si="71"/>
        <v/>
      </c>
      <c r="CH66" s="130"/>
      <c r="CI66" s="105">
        <v>14</v>
      </c>
      <c r="CJ66" s="105">
        <v>15</v>
      </c>
      <c r="CK66" s="105">
        <v>10</v>
      </c>
      <c r="CL66" s="105">
        <v>15</v>
      </c>
      <c r="CM66" s="97">
        <f t="shared" si="72"/>
        <v>54</v>
      </c>
      <c r="CN66" s="106" t="str">
        <f>IFERROR(IF(CM66=0,"",ROUND((CM66/SUM(SETTINGS!$L$14:$L$17))*SETTINGS!$L$18,0)),"")</f>
        <v/>
      </c>
      <c r="CO66" s="105">
        <v>44</v>
      </c>
      <c r="CP66" s="106" t="str">
        <f>IFERROR(IF(ISBLANK(CO66),"",ROUND((CO66/SETTINGS!$L$19)*SETTINGS!$L$20,0)),"")</f>
        <v/>
      </c>
      <c r="CQ66" s="106" t="str">
        <f t="shared" si="73"/>
        <v/>
      </c>
      <c r="CR66" s="103" t="str">
        <f t="shared" si="74"/>
        <v/>
      </c>
      <c r="CS66" s="107" t="str">
        <f t="shared" si="75"/>
        <v/>
      </c>
      <c r="CT66" s="130"/>
      <c r="CU66" s="105">
        <v>14</v>
      </c>
      <c r="CV66" s="105">
        <v>13</v>
      </c>
      <c r="CW66" s="105">
        <v>13</v>
      </c>
      <c r="CX66" s="105">
        <v>14</v>
      </c>
      <c r="CY66" s="97">
        <f t="shared" si="76"/>
        <v>54</v>
      </c>
      <c r="CZ66" s="106" t="str">
        <f>IFERROR(IF(CY66=0,"",ROUND((CY66/SUM(SETTINGS!$L$14:$L$17))*SETTINGS!$L$18,0)),"")</f>
        <v/>
      </c>
      <c r="DA66" s="105">
        <v>51</v>
      </c>
      <c r="DB66" s="106" t="str">
        <f>IFERROR(IF(ISBLANK(DA66),"",ROUND((DA66/SETTINGS!$L$19)*SETTINGS!$L$20,0)),"")</f>
        <v/>
      </c>
      <c r="DC66" s="106" t="str">
        <f t="shared" si="77"/>
        <v/>
      </c>
      <c r="DD66" s="103" t="str">
        <f t="shared" si="78"/>
        <v/>
      </c>
      <c r="DE66" s="107" t="str">
        <f t="shared" si="79"/>
        <v/>
      </c>
      <c r="DF66" s="103" t="str">
        <f t="shared" si="80"/>
        <v/>
      </c>
      <c r="DG66" s="103" t="str">
        <f>IFERROR(IF(AND(K66,W66,AI66,AU66,BG66,BS66,CE66,CQ66,DC66)="","",SUM(K66,W66,AI66,AU66,LARGE((BG66,BS66,CE66,CQ66,DC66),{1,2}))),"")</f>
        <v/>
      </c>
      <c r="DH66" s="103" t="str">
        <f>IFERROR(IF(AND(M66,Y66,AK66,AW66,,BI66,BU66,CG66,CS66,DE66)="","",SUM(M66,Y66,AK66,AW66,SMALL((BI66,BU66,CG66,CS66,DE66),{1,2}))),"")</f>
        <v/>
      </c>
      <c r="DI66" s="109" t="str">
        <f>IFERROR(pos&amp;IF(AND(MOD(ABS(18),100)&gt;10,MOD(ABS(pos),100)&lt;14),"th", CHOOSE(MOD(ABS(pos),10)+1,"th","st","nd","rd","th","th","th","th","th","th")),"")</f>
        <v/>
      </c>
      <c r="DJ66" s="62">
        <f>ROWS($B$12:$B66)</f>
        <v>55</v>
      </c>
      <c r="DK66" s="62" t="str">
        <f>IF($B66=REPORT_CARD!$M$12,$DJ66,"")</f>
        <v/>
      </c>
      <c r="DM66" s="65"/>
    </row>
    <row r="67" spans="1:117" ht="19.5" customHeight="1">
      <c r="A67" s="140" t="str">
        <f>IFERROR(IF(ISBLANK(#REF!),"",#REF!),"")</f>
        <v/>
      </c>
      <c r="B67" s="140" t="str">
        <f>IFERROR(IF(ISBLANK(#REF!),"",#REF!),"")</f>
        <v/>
      </c>
      <c r="C67" s="105">
        <v>12</v>
      </c>
      <c r="D67" s="105">
        <v>13</v>
      </c>
      <c r="E67" s="105">
        <v>15</v>
      </c>
      <c r="F67" s="105">
        <v>10</v>
      </c>
      <c r="G67" s="97">
        <f t="shared" si="44"/>
        <v>50</v>
      </c>
      <c r="H67" s="106" t="str">
        <f>IFERROR(IF(G67=0,"",ROUND((G67/SUM(SETTINGS!$L$14:$L$17))*SETTINGS!$L$18,0)),"")</f>
        <v/>
      </c>
      <c r="I67" s="105">
        <v>38</v>
      </c>
      <c r="J67" s="106" t="str">
        <f>IFERROR(IF(ISBLANK(I67),"",ROUND((I67/SETTINGS!$L$19)*SETTINGS!$L$20,0)),"")</f>
        <v/>
      </c>
      <c r="K67" s="106" t="str">
        <f t="shared" si="45"/>
        <v/>
      </c>
      <c r="L67" s="103" t="str">
        <f t="shared" si="46"/>
        <v/>
      </c>
      <c r="M67" s="107" t="str">
        <f t="shared" si="47"/>
        <v/>
      </c>
      <c r="N67" s="136"/>
      <c r="O67" s="105">
        <v>5</v>
      </c>
      <c r="P67" s="105">
        <v>13</v>
      </c>
      <c r="Q67" s="105">
        <v>5</v>
      </c>
      <c r="R67" s="105">
        <v>13</v>
      </c>
      <c r="S67" s="97">
        <f t="shared" si="48"/>
        <v>36</v>
      </c>
      <c r="T67" s="106" t="str">
        <f>IFERROR(IF(S67=0,"",ROUND((S67/SUM(SETTINGS!$L$14:$L$17))*SETTINGS!$L$18,0)),"")</f>
        <v/>
      </c>
      <c r="U67" s="105">
        <v>32</v>
      </c>
      <c r="V67" s="106" t="str">
        <f>IFERROR(IF(ISBLANK(U67),"",ROUND((U67/SETTINGS!$L$19)*SETTINGS!$L$20,0)),"")</f>
        <v/>
      </c>
      <c r="W67" s="106" t="str">
        <f t="shared" si="49"/>
        <v/>
      </c>
      <c r="X67" s="103" t="str">
        <f t="shared" si="50"/>
        <v/>
      </c>
      <c r="Y67" s="107" t="str">
        <f t="shared" si="51"/>
        <v/>
      </c>
      <c r="Z67" s="130"/>
      <c r="AA67" s="105">
        <v>10</v>
      </c>
      <c r="AB67" s="105">
        <v>10</v>
      </c>
      <c r="AC67" s="105">
        <v>12</v>
      </c>
      <c r="AD67" s="105">
        <v>8</v>
      </c>
      <c r="AE67" s="97">
        <f t="shared" si="52"/>
        <v>40</v>
      </c>
      <c r="AF67" s="106" t="str">
        <f>IFERROR(IF(AE67=0,"",ROUND((AE67/SUM(SETTINGS!$L$14:$L$17))*SETTINGS!$L$18,0)),"")</f>
        <v/>
      </c>
      <c r="AG67" s="105">
        <v>62</v>
      </c>
      <c r="AH67" s="106" t="str">
        <f>IFERROR(IF(ISBLANK(AG67),"",ROUND((AG67/SETTINGS!$L$19)*SETTINGS!$L$20,0)),"")</f>
        <v/>
      </c>
      <c r="AI67" s="106" t="str">
        <f t="shared" si="53"/>
        <v/>
      </c>
      <c r="AJ67" s="103" t="str">
        <f t="shared" si="54"/>
        <v/>
      </c>
      <c r="AK67" s="108" t="str">
        <f t="shared" si="55"/>
        <v/>
      </c>
      <c r="AL67" s="130"/>
      <c r="AM67" s="105">
        <v>12</v>
      </c>
      <c r="AN67" s="105">
        <v>11</v>
      </c>
      <c r="AO67" s="105">
        <v>10</v>
      </c>
      <c r="AP67" s="105">
        <v>15</v>
      </c>
      <c r="AQ67" s="97">
        <f t="shared" si="56"/>
        <v>48</v>
      </c>
      <c r="AR67" s="106" t="str">
        <f>IFERROR(IF(AQ67=0,"",ROUND((AQ67/SUM(SETTINGS!$L$14:$L$17))*SETTINGS!$L$18,0)),"")</f>
        <v/>
      </c>
      <c r="AS67" s="105">
        <v>33</v>
      </c>
      <c r="AT67" s="106" t="str">
        <f>IFERROR(IF(ISBLANK(AS67),"",ROUND((AS67/SETTINGS!$L$19)*SETTINGS!$L$20,0)),"")</f>
        <v/>
      </c>
      <c r="AU67" s="106" t="str">
        <f t="shared" si="57"/>
        <v/>
      </c>
      <c r="AV67" s="103" t="str">
        <f t="shared" si="58"/>
        <v/>
      </c>
      <c r="AW67" s="107" t="str">
        <f t="shared" si="59"/>
        <v/>
      </c>
      <c r="AX67" s="130"/>
      <c r="AY67" s="105">
        <v>13</v>
      </c>
      <c r="AZ67" s="105">
        <v>10</v>
      </c>
      <c r="BA67" s="105">
        <v>8</v>
      </c>
      <c r="BB67" s="105">
        <v>10</v>
      </c>
      <c r="BC67" s="97">
        <f t="shared" si="60"/>
        <v>41</v>
      </c>
      <c r="BD67" s="106" t="str">
        <f>IFERROR(IF(BC67=0,"",ROUND((BC67/SUM(SETTINGS!$L$14:$L$17))*SETTINGS!$L$18,0)),"")</f>
        <v/>
      </c>
      <c r="BE67" s="105">
        <v>43</v>
      </c>
      <c r="BF67" s="106" t="str">
        <f>IFERROR(IF(ISBLANK(BE67),"",ROUND((BE67/SETTINGS!$L$19)*SETTINGS!$L$20,0)),"")</f>
        <v/>
      </c>
      <c r="BG67" s="106" t="str">
        <f t="shared" si="61"/>
        <v/>
      </c>
      <c r="BH67" s="103" t="str">
        <f t="shared" si="62"/>
        <v/>
      </c>
      <c r="BI67" s="108" t="str">
        <f t="shared" si="63"/>
        <v/>
      </c>
      <c r="BJ67" s="130"/>
      <c r="BK67" s="105">
        <v>7</v>
      </c>
      <c r="BL67" s="105">
        <v>3</v>
      </c>
      <c r="BM67" s="105">
        <v>8</v>
      </c>
      <c r="BN67" s="105">
        <v>15</v>
      </c>
      <c r="BO67" s="97">
        <f t="shared" si="64"/>
        <v>33</v>
      </c>
      <c r="BP67" s="106" t="str">
        <f>IFERROR(IF(BO67=0,"",ROUND((BO67/SUM(SETTINGS!$L$14:$L$17))*SETTINGS!$L$18,0)),"")</f>
        <v/>
      </c>
      <c r="BQ67" s="105">
        <v>34</v>
      </c>
      <c r="BR67" s="106" t="str">
        <f>IFERROR(IF(ISBLANK(BQ67),"",ROUND((BQ67/SETTINGS!$L$19)*SETTINGS!$L$20,0)),"")</f>
        <v/>
      </c>
      <c r="BS67" s="106" t="str">
        <f t="shared" si="65"/>
        <v/>
      </c>
      <c r="BT67" s="103" t="str">
        <f t="shared" si="66"/>
        <v/>
      </c>
      <c r="BU67" s="107" t="str">
        <f t="shared" si="67"/>
        <v/>
      </c>
      <c r="BV67" s="130"/>
      <c r="BW67" s="105">
        <v>10</v>
      </c>
      <c r="BX67" s="105">
        <v>12</v>
      </c>
      <c r="BY67" s="105">
        <v>15</v>
      </c>
      <c r="BZ67" s="105">
        <v>5</v>
      </c>
      <c r="CA67" s="97">
        <f t="shared" si="68"/>
        <v>42</v>
      </c>
      <c r="CB67" s="106" t="str">
        <f>IFERROR(IF(CA67=0,"",ROUND((CA67/SUM(SETTINGS!$L$14:$L$17))*SETTINGS!$L$18,0)),"")</f>
        <v/>
      </c>
      <c r="CC67" s="105">
        <v>58</v>
      </c>
      <c r="CD67" s="106" t="str">
        <f>IFERROR(IF(ISBLANK(CC67),"",ROUND((CC67/SETTINGS!$L$19)*SETTINGS!$L$20,0)),"")</f>
        <v/>
      </c>
      <c r="CE67" s="106" t="str">
        <f t="shared" si="69"/>
        <v/>
      </c>
      <c r="CF67" s="103" t="str">
        <f t="shared" si="70"/>
        <v/>
      </c>
      <c r="CG67" s="107" t="str">
        <f t="shared" si="71"/>
        <v/>
      </c>
      <c r="CH67" s="130"/>
      <c r="CI67" s="105">
        <v>15</v>
      </c>
      <c r="CJ67" s="105">
        <v>13</v>
      </c>
      <c r="CK67" s="105">
        <v>13</v>
      </c>
      <c r="CL67" s="105">
        <v>12</v>
      </c>
      <c r="CM67" s="97">
        <f t="shared" si="72"/>
        <v>53</v>
      </c>
      <c r="CN67" s="106" t="str">
        <f>IFERROR(IF(CM67=0,"",ROUND((CM67/SUM(SETTINGS!$L$14:$L$17))*SETTINGS!$L$18,0)),"")</f>
        <v/>
      </c>
      <c r="CO67" s="105">
        <v>26</v>
      </c>
      <c r="CP67" s="106" t="str">
        <f>IFERROR(IF(ISBLANK(CO67),"",ROUND((CO67/SETTINGS!$L$19)*SETTINGS!$L$20,0)),"")</f>
        <v/>
      </c>
      <c r="CQ67" s="106" t="str">
        <f t="shared" si="73"/>
        <v/>
      </c>
      <c r="CR67" s="103" t="str">
        <f t="shared" si="74"/>
        <v/>
      </c>
      <c r="CS67" s="107" t="str">
        <f t="shared" si="75"/>
        <v/>
      </c>
      <c r="CT67" s="130"/>
      <c r="CU67" s="105">
        <v>13</v>
      </c>
      <c r="CV67" s="105">
        <v>9</v>
      </c>
      <c r="CW67" s="105">
        <v>6</v>
      </c>
      <c r="CX67" s="105">
        <v>0</v>
      </c>
      <c r="CY67" s="97">
        <f t="shared" si="76"/>
        <v>28</v>
      </c>
      <c r="CZ67" s="106" t="str">
        <f>IFERROR(IF(CY67=0,"",ROUND((CY67/SUM(SETTINGS!$L$14:$L$17))*SETTINGS!$L$18,0)),"")</f>
        <v/>
      </c>
      <c r="DA67" s="105">
        <v>24</v>
      </c>
      <c r="DB67" s="106" t="str">
        <f>IFERROR(IF(ISBLANK(DA67),"",ROUND((DA67/SETTINGS!$L$19)*SETTINGS!$L$20,0)),"")</f>
        <v/>
      </c>
      <c r="DC67" s="106" t="str">
        <f t="shared" si="77"/>
        <v/>
      </c>
      <c r="DD67" s="103" t="str">
        <f t="shared" si="78"/>
        <v/>
      </c>
      <c r="DE67" s="107" t="str">
        <f t="shared" si="79"/>
        <v/>
      </c>
      <c r="DF67" s="103" t="str">
        <f t="shared" si="80"/>
        <v/>
      </c>
      <c r="DG67" s="103" t="str">
        <f>IFERROR(IF(AND(K67,W67,AI67,AU67,BG67,BS67,CE67,CQ67,DC67)="","",SUM(K67,W67,AI67,AU67,LARGE((BG67,BS67,CE67,CQ67,DC67),{1,2}))),"")</f>
        <v/>
      </c>
      <c r="DH67" s="103" t="str">
        <f>IFERROR(IF(AND(M67,Y67,AK67,AW67,,BI67,BU67,CG67,CS67,DE67)="","",SUM(M67,Y67,AK67,AW67,SMALL((BI67,BU67,CG67,CS67,DE67),{1,2}))),"")</f>
        <v/>
      </c>
      <c r="DI67" s="109" t="str">
        <f>IFERROR(pos&amp;IF(AND(MOD(ABS(18),100)&gt;10,MOD(ABS(pos),100)&lt;14),"th", CHOOSE(MOD(ABS(pos),10)+1,"th","st","nd","rd","th","th","th","th","th","th")),"")</f>
        <v/>
      </c>
      <c r="DJ67" s="62">
        <f>ROWS($B$12:$B67)</f>
        <v>56</v>
      </c>
      <c r="DK67" s="62" t="str">
        <f>IF($B67=REPORT_CARD!$M$12,$DJ67,"")</f>
        <v/>
      </c>
      <c r="DM67" s="65"/>
    </row>
    <row r="68" spans="1:117" ht="19.5" customHeight="1">
      <c r="A68" s="140" t="str">
        <f>IFERROR(IF(ISBLANK(#REF!),"",#REF!),"")</f>
        <v/>
      </c>
      <c r="B68" s="140" t="str">
        <f>IFERROR(IF(ISBLANK(#REF!),"",#REF!),"")</f>
        <v/>
      </c>
      <c r="C68" s="105">
        <v>9</v>
      </c>
      <c r="D68" s="105">
        <v>15</v>
      </c>
      <c r="E68" s="105">
        <v>14</v>
      </c>
      <c r="F68" s="105">
        <v>12</v>
      </c>
      <c r="G68" s="97">
        <f t="shared" si="44"/>
        <v>50</v>
      </c>
      <c r="H68" s="106" t="str">
        <f>IFERROR(IF(G68=0,"",ROUND((G68/SUM(SETTINGS!$L$14:$L$17))*SETTINGS!$L$18,0)),"")</f>
        <v/>
      </c>
      <c r="I68" s="105">
        <v>58</v>
      </c>
      <c r="J68" s="106" t="str">
        <f>IFERROR(IF(ISBLANK(I68),"",ROUND((I68/SETTINGS!$L$19)*SETTINGS!$L$20,0)),"")</f>
        <v/>
      </c>
      <c r="K68" s="106" t="str">
        <f t="shared" si="45"/>
        <v/>
      </c>
      <c r="L68" s="103" t="str">
        <f t="shared" si="46"/>
        <v/>
      </c>
      <c r="M68" s="107" t="str">
        <f t="shared" si="47"/>
        <v/>
      </c>
      <c r="N68" s="136"/>
      <c r="O68" s="105">
        <v>7</v>
      </c>
      <c r="P68" s="105">
        <v>13</v>
      </c>
      <c r="Q68" s="105">
        <v>13</v>
      </c>
      <c r="R68" s="105">
        <v>12</v>
      </c>
      <c r="S68" s="97">
        <f t="shared" si="48"/>
        <v>45</v>
      </c>
      <c r="T68" s="106" t="str">
        <f>IFERROR(IF(S68=0,"",ROUND((S68/SUM(SETTINGS!$L$14:$L$17))*SETTINGS!$L$18,0)),"")</f>
        <v/>
      </c>
      <c r="U68" s="105">
        <v>51</v>
      </c>
      <c r="V68" s="106" t="str">
        <f>IFERROR(IF(ISBLANK(U68),"",ROUND((U68/SETTINGS!$L$19)*SETTINGS!$L$20,0)),"")</f>
        <v/>
      </c>
      <c r="W68" s="106" t="str">
        <f t="shared" si="49"/>
        <v/>
      </c>
      <c r="X68" s="103" t="str">
        <f t="shared" si="50"/>
        <v/>
      </c>
      <c r="Y68" s="107" t="str">
        <f t="shared" si="51"/>
        <v/>
      </c>
      <c r="Z68" s="130"/>
      <c r="AA68" s="105">
        <v>12</v>
      </c>
      <c r="AB68" s="105">
        <v>10</v>
      </c>
      <c r="AC68" s="105">
        <v>10</v>
      </c>
      <c r="AD68" s="105">
        <v>13</v>
      </c>
      <c r="AE68" s="97">
        <f t="shared" si="52"/>
        <v>45</v>
      </c>
      <c r="AF68" s="106" t="str">
        <f>IFERROR(IF(AE68=0,"",ROUND((AE68/SUM(SETTINGS!$L$14:$L$17))*SETTINGS!$L$18,0)),"")</f>
        <v/>
      </c>
      <c r="AG68" s="105">
        <v>49</v>
      </c>
      <c r="AH68" s="106" t="str">
        <f>IFERROR(IF(ISBLANK(AG68),"",ROUND((AG68/SETTINGS!$L$19)*SETTINGS!$L$20,0)),"")</f>
        <v/>
      </c>
      <c r="AI68" s="106" t="str">
        <f t="shared" si="53"/>
        <v/>
      </c>
      <c r="AJ68" s="103" t="str">
        <f t="shared" si="54"/>
        <v/>
      </c>
      <c r="AK68" s="108" t="str">
        <f t="shared" si="55"/>
        <v/>
      </c>
      <c r="AL68" s="130"/>
      <c r="AM68" s="105">
        <v>14</v>
      </c>
      <c r="AN68" s="105">
        <v>12</v>
      </c>
      <c r="AO68" s="105">
        <v>11</v>
      </c>
      <c r="AP68" s="105">
        <v>14</v>
      </c>
      <c r="AQ68" s="97">
        <f t="shared" si="56"/>
        <v>51</v>
      </c>
      <c r="AR68" s="106" t="str">
        <f>IFERROR(IF(AQ68=0,"",ROUND((AQ68/SUM(SETTINGS!$L$14:$L$17))*SETTINGS!$L$18,0)),"")</f>
        <v/>
      </c>
      <c r="AS68" s="105">
        <v>44</v>
      </c>
      <c r="AT68" s="106" t="str">
        <f>IFERROR(IF(ISBLANK(AS68),"",ROUND((AS68/SETTINGS!$L$19)*SETTINGS!$L$20,0)),"")</f>
        <v/>
      </c>
      <c r="AU68" s="106" t="str">
        <f t="shared" si="57"/>
        <v/>
      </c>
      <c r="AV68" s="103" t="str">
        <f t="shared" si="58"/>
        <v/>
      </c>
      <c r="AW68" s="107" t="str">
        <f t="shared" si="59"/>
        <v/>
      </c>
      <c r="AX68" s="130"/>
      <c r="AY68" s="105">
        <v>12</v>
      </c>
      <c r="AZ68" s="105">
        <v>10</v>
      </c>
      <c r="BA68" s="105">
        <v>10</v>
      </c>
      <c r="BB68" s="105">
        <v>11</v>
      </c>
      <c r="BC68" s="97">
        <f t="shared" si="60"/>
        <v>43</v>
      </c>
      <c r="BD68" s="106" t="str">
        <f>IFERROR(IF(BC68=0,"",ROUND((BC68/SUM(SETTINGS!$L$14:$L$17))*SETTINGS!$L$18,0)),"")</f>
        <v/>
      </c>
      <c r="BE68" s="105">
        <v>76</v>
      </c>
      <c r="BF68" s="106" t="str">
        <f>IFERROR(IF(ISBLANK(BE68),"",ROUND((BE68/SETTINGS!$L$19)*SETTINGS!$L$20,0)),"")</f>
        <v/>
      </c>
      <c r="BG68" s="106" t="str">
        <f t="shared" si="61"/>
        <v/>
      </c>
      <c r="BH68" s="103" t="str">
        <f t="shared" si="62"/>
        <v/>
      </c>
      <c r="BI68" s="108" t="str">
        <f t="shared" si="63"/>
        <v/>
      </c>
      <c r="BJ68" s="130"/>
      <c r="BK68" s="105">
        <v>10</v>
      </c>
      <c r="BL68" s="105">
        <v>15</v>
      </c>
      <c r="BM68" s="105">
        <v>1</v>
      </c>
      <c r="BN68" s="105">
        <v>15</v>
      </c>
      <c r="BO68" s="97">
        <f t="shared" si="64"/>
        <v>41</v>
      </c>
      <c r="BP68" s="106" t="str">
        <f>IFERROR(IF(BO68=0,"",ROUND((BO68/SUM(SETTINGS!$L$14:$L$17))*SETTINGS!$L$18,0)),"")</f>
        <v/>
      </c>
      <c r="BQ68" s="105">
        <v>34</v>
      </c>
      <c r="BR68" s="106" t="str">
        <f>IFERROR(IF(ISBLANK(BQ68),"",ROUND((BQ68/SETTINGS!$L$19)*SETTINGS!$L$20,0)),"")</f>
        <v/>
      </c>
      <c r="BS68" s="106" t="str">
        <f t="shared" si="65"/>
        <v/>
      </c>
      <c r="BT68" s="103" t="str">
        <f t="shared" si="66"/>
        <v/>
      </c>
      <c r="BU68" s="107" t="str">
        <f t="shared" si="67"/>
        <v/>
      </c>
      <c r="BV68" s="130"/>
      <c r="BW68" s="105">
        <v>9</v>
      </c>
      <c r="BX68" s="105">
        <v>2</v>
      </c>
      <c r="BY68" s="105">
        <v>10</v>
      </c>
      <c r="BZ68" s="105">
        <v>13</v>
      </c>
      <c r="CA68" s="97">
        <f t="shared" si="68"/>
        <v>34</v>
      </c>
      <c r="CB68" s="106" t="str">
        <f>IFERROR(IF(CA68=0,"",ROUND((CA68/SUM(SETTINGS!$L$14:$L$17))*SETTINGS!$L$18,0)),"")</f>
        <v/>
      </c>
      <c r="CC68" s="105">
        <v>64</v>
      </c>
      <c r="CD68" s="106" t="str">
        <f>IFERROR(IF(ISBLANK(CC68),"",ROUND((CC68/SETTINGS!$L$19)*SETTINGS!$L$20,0)),"")</f>
        <v/>
      </c>
      <c r="CE68" s="106" t="str">
        <f t="shared" si="69"/>
        <v/>
      </c>
      <c r="CF68" s="103" t="str">
        <f t="shared" si="70"/>
        <v/>
      </c>
      <c r="CG68" s="107" t="str">
        <f t="shared" si="71"/>
        <v/>
      </c>
      <c r="CH68" s="130"/>
      <c r="CI68" s="111">
        <v>10</v>
      </c>
      <c r="CJ68" s="111">
        <v>15</v>
      </c>
      <c r="CK68" s="111">
        <v>12</v>
      </c>
      <c r="CL68" s="111">
        <v>15</v>
      </c>
      <c r="CM68" s="97">
        <f t="shared" si="72"/>
        <v>52</v>
      </c>
      <c r="CN68" s="106" t="str">
        <f>IFERROR(IF(CM68=0,"",ROUND((CM68/SUM(SETTINGS!$L$14:$L$17))*SETTINGS!$L$18,0)),"")</f>
        <v/>
      </c>
      <c r="CO68" s="105">
        <v>45</v>
      </c>
      <c r="CP68" s="106" t="str">
        <f>IFERROR(IF(ISBLANK(CO68),"",ROUND((CO68/SETTINGS!$L$19)*SETTINGS!$L$20,0)),"")</f>
        <v/>
      </c>
      <c r="CQ68" s="106" t="str">
        <f t="shared" si="73"/>
        <v/>
      </c>
      <c r="CR68" s="103" t="str">
        <f t="shared" si="74"/>
        <v/>
      </c>
      <c r="CS68" s="107" t="str">
        <f t="shared" si="75"/>
        <v/>
      </c>
      <c r="CT68" s="130"/>
      <c r="CU68" s="105">
        <v>9</v>
      </c>
      <c r="CV68" s="105">
        <v>5</v>
      </c>
      <c r="CW68" s="105">
        <v>8</v>
      </c>
      <c r="CX68" s="105">
        <v>12</v>
      </c>
      <c r="CY68" s="97">
        <f t="shared" si="76"/>
        <v>34</v>
      </c>
      <c r="CZ68" s="106" t="str">
        <f>IFERROR(IF(CY68=0,"",ROUND((CY68/SUM(SETTINGS!$L$14:$L$17))*SETTINGS!$L$18,0)),"")</f>
        <v/>
      </c>
      <c r="DA68" s="105">
        <v>27</v>
      </c>
      <c r="DB68" s="106" t="str">
        <f>IFERROR(IF(ISBLANK(DA68),"",ROUND((DA68/SETTINGS!$L$19)*SETTINGS!$L$20,0)),"")</f>
        <v/>
      </c>
      <c r="DC68" s="106" t="str">
        <f t="shared" si="77"/>
        <v/>
      </c>
      <c r="DD68" s="103" t="str">
        <f t="shared" si="78"/>
        <v/>
      </c>
      <c r="DE68" s="107" t="str">
        <f t="shared" si="79"/>
        <v/>
      </c>
      <c r="DF68" s="103" t="str">
        <f t="shared" si="80"/>
        <v/>
      </c>
      <c r="DG68" s="103" t="str">
        <f>IFERROR(IF(AND(K68,W68,AI68,AU68,BG68,BS68,CE68,CQ68,DC68)="","",SUM(K68,W68,AI68,AU68,LARGE((BG68,BS68,CE68,CQ68,DC68),{1,2}))),"")</f>
        <v/>
      </c>
      <c r="DH68" s="103" t="str">
        <f>IFERROR(IF(AND(M68,Y68,AK68,AW68,,BI68,BU68,CG68,CS68,DE68)="","",SUM(M68,Y68,AK68,AW68,SMALL((BI68,BU68,CG68,CS68,DE68),{1,2}))),"")</f>
        <v/>
      </c>
      <c r="DI68" s="109" t="str">
        <f>IFERROR(pos&amp;IF(AND(MOD(ABS(18),100)&gt;10,MOD(ABS(pos),100)&lt;14),"th", CHOOSE(MOD(ABS(pos),10)+1,"th","st","nd","rd","th","th","th","th","th","th")),"")</f>
        <v/>
      </c>
      <c r="DJ68" s="62">
        <f>ROWS($B$12:$B68)</f>
        <v>57</v>
      </c>
      <c r="DK68" s="62" t="str">
        <f>IF($B68=REPORT_CARD!$M$12,$DJ68,"")</f>
        <v/>
      </c>
      <c r="DM68" s="65"/>
    </row>
    <row r="69" spans="1:117" ht="19.5" customHeight="1">
      <c r="A69" s="140" t="str">
        <f>IFERROR(IF(ISBLANK(#REF!),"",#REF!),"")</f>
        <v/>
      </c>
      <c r="B69" s="140" t="str">
        <f>IFERROR(IF(ISBLANK(#REF!),"",#REF!),"")</f>
        <v/>
      </c>
      <c r="C69" s="105">
        <v>14</v>
      </c>
      <c r="D69" s="105">
        <v>10</v>
      </c>
      <c r="E69" s="105">
        <v>10</v>
      </c>
      <c r="F69" s="105">
        <v>9</v>
      </c>
      <c r="G69" s="97">
        <f t="shared" si="44"/>
        <v>43</v>
      </c>
      <c r="H69" s="106" t="str">
        <f>IFERROR(IF(G69=0,"",ROUND((G69/SUM(SETTINGS!$L$14:$L$17))*SETTINGS!$L$18,0)),"")</f>
        <v/>
      </c>
      <c r="I69" s="105">
        <v>43</v>
      </c>
      <c r="J69" s="106" t="str">
        <f>IFERROR(IF(ISBLANK(I69),"",ROUND((I69/SETTINGS!$L$19)*SETTINGS!$L$20,0)),"")</f>
        <v/>
      </c>
      <c r="K69" s="106" t="str">
        <f t="shared" si="45"/>
        <v/>
      </c>
      <c r="L69" s="103" t="str">
        <f t="shared" si="46"/>
        <v/>
      </c>
      <c r="M69" s="107" t="str">
        <f t="shared" si="47"/>
        <v/>
      </c>
      <c r="N69" s="136"/>
      <c r="O69" s="105">
        <v>10</v>
      </c>
      <c r="P69" s="105">
        <v>14</v>
      </c>
      <c r="Q69" s="105">
        <v>8</v>
      </c>
      <c r="R69" s="105">
        <v>12</v>
      </c>
      <c r="S69" s="97">
        <f t="shared" si="48"/>
        <v>44</v>
      </c>
      <c r="T69" s="106" t="str">
        <f>IFERROR(IF(S69=0,"",ROUND((S69/SUM(SETTINGS!$L$14:$L$17))*SETTINGS!$L$18,0)),"")</f>
        <v/>
      </c>
      <c r="U69" s="105">
        <v>46</v>
      </c>
      <c r="V69" s="106" t="str">
        <f>IFERROR(IF(ISBLANK(U69),"",ROUND((U69/SETTINGS!$L$19)*SETTINGS!$L$20,0)),"")</f>
        <v/>
      </c>
      <c r="W69" s="106" t="str">
        <f t="shared" si="49"/>
        <v/>
      </c>
      <c r="X69" s="103" t="str">
        <f t="shared" si="50"/>
        <v/>
      </c>
      <c r="Y69" s="107" t="str">
        <f t="shared" si="51"/>
        <v/>
      </c>
      <c r="Z69" s="130"/>
      <c r="AA69" s="105">
        <v>9</v>
      </c>
      <c r="AB69" s="105">
        <v>10</v>
      </c>
      <c r="AC69" s="105">
        <v>12</v>
      </c>
      <c r="AD69" s="105">
        <v>12</v>
      </c>
      <c r="AE69" s="97">
        <f t="shared" si="52"/>
        <v>43</v>
      </c>
      <c r="AF69" s="106" t="str">
        <f>IFERROR(IF(AE69=0,"",ROUND((AE69/SUM(SETTINGS!$L$14:$L$17))*SETTINGS!$L$18,0)),"")</f>
        <v/>
      </c>
      <c r="AG69" s="105">
        <v>59</v>
      </c>
      <c r="AH69" s="106" t="str">
        <f>IFERROR(IF(ISBLANK(AG69),"",ROUND((AG69/SETTINGS!$L$19)*SETTINGS!$L$20,0)),"")</f>
        <v/>
      </c>
      <c r="AI69" s="106" t="str">
        <f t="shared" si="53"/>
        <v/>
      </c>
      <c r="AJ69" s="103" t="str">
        <f t="shared" si="54"/>
        <v/>
      </c>
      <c r="AK69" s="108" t="str">
        <f t="shared" si="55"/>
        <v/>
      </c>
      <c r="AL69" s="130"/>
      <c r="AM69" s="105">
        <v>10</v>
      </c>
      <c r="AN69" s="105">
        <v>7</v>
      </c>
      <c r="AO69" s="105">
        <v>12</v>
      </c>
      <c r="AP69" s="105">
        <v>15</v>
      </c>
      <c r="AQ69" s="97">
        <f t="shared" si="56"/>
        <v>44</v>
      </c>
      <c r="AR69" s="106" t="str">
        <f>IFERROR(IF(AQ69=0,"",ROUND((AQ69/SUM(SETTINGS!$L$14:$L$17))*SETTINGS!$L$18,0)),"")</f>
        <v/>
      </c>
      <c r="AS69" s="105">
        <v>44</v>
      </c>
      <c r="AT69" s="106" t="str">
        <f>IFERROR(IF(ISBLANK(AS69),"",ROUND((AS69/SETTINGS!$L$19)*SETTINGS!$L$20,0)),"")</f>
        <v/>
      </c>
      <c r="AU69" s="106" t="str">
        <f t="shared" si="57"/>
        <v/>
      </c>
      <c r="AV69" s="103" t="str">
        <f t="shared" si="58"/>
        <v/>
      </c>
      <c r="AW69" s="107" t="str">
        <f t="shared" si="59"/>
        <v/>
      </c>
      <c r="AX69" s="130"/>
      <c r="AY69" s="105">
        <v>10</v>
      </c>
      <c r="AZ69" s="105">
        <v>12</v>
      </c>
      <c r="BA69" s="105">
        <v>11</v>
      </c>
      <c r="BB69" s="105">
        <v>12</v>
      </c>
      <c r="BC69" s="97">
        <f t="shared" si="60"/>
        <v>45</v>
      </c>
      <c r="BD69" s="106" t="str">
        <f>IFERROR(IF(BC69=0,"",ROUND((BC69/SUM(SETTINGS!$L$14:$L$17))*SETTINGS!$L$18,0)),"")</f>
        <v/>
      </c>
      <c r="BE69" s="105">
        <v>66</v>
      </c>
      <c r="BF69" s="106" t="str">
        <f>IFERROR(IF(ISBLANK(BE69),"",ROUND((BE69/SETTINGS!$L$19)*SETTINGS!$L$20,0)),"")</f>
        <v/>
      </c>
      <c r="BG69" s="106" t="str">
        <f t="shared" si="61"/>
        <v/>
      </c>
      <c r="BH69" s="103" t="str">
        <f t="shared" si="62"/>
        <v/>
      </c>
      <c r="BI69" s="108" t="str">
        <f t="shared" si="63"/>
        <v/>
      </c>
      <c r="BJ69" s="130"/>
      <c r="BK69" s="105">
        <v>15</v>
      </c>
      <c r="BL69" s="105">
        <v>10</v>
      </c>
      <c r="BM69" s="105">
        <v>5</v>
      </c>
      <c r="BN69" s="105">
        <v>15</v>
      </c>
      <c r="BO69" s="97">
        <f t="shared" si="64"/>
        <v>45</v>
      </c>
      <c r="BP69" s="106" t="str">
        <f>IFERROR(IF(BO69=0,"",ROUND((BO69/SUM(SETTINGS!$L$14:$L$17))*SETTINGS!$L$18,0)),"")</f>
        <v/>
      </c>
      <c r="BQ69" s="105">
        <v>51</v>
      </c>
      <c r="BR69" s="106" t="str">
        <f>IFERROR(IF(ISBLANK(BQ69),"",ROUND((BQ69/SETTINGS!$L$19)*SETTINGS!$L$20,0)),"")</f>
        <v/>
      </c>
      <c r="BS69" s="106" t="str">
        <f t="shared" si="65"/>
        <v/>
      </c>
      <c r="BT69" s="103" t="str">
        <f t="shared" si="66"/>
        <v/>
      </c>
      <c r="BU69" s="107" t="str">
        <f t="shared" si="67"/>
        <v/>
      </c>
      <c r="BV69" s="130"/>
      <c r="BW69" s="105">
        <v>15</v>
      </c>
      <c r="BX69" s="105">
        <v>12</v>
      </c>
      <c r="BY69" s="105">
        <v>11</v>
      </c>
      <c r="BZ69" s="105">
        <v>15</v>
      </c>
      <c r="CA69" s="97">
        <f t="shared" si="68"/>
        <v>53</v>
      </c>
      <c r="CB69" s="106" t="str">
        <f>IFERROR(IF(CA69=0,"",ROUND((CA69/SUM(SETTINGS!$L$14:$L$17))*SETTINGS!$L$18,0)),"")</f>
        <v/>
      </c>
      <c r="CC69" s="105">
        <v>59</v>
      </c>
      <c r="CD69" s="106" t="str">
        <f>IFERROR(IF(ISBLANK(CC69),"",ROUND((CC69/SETTINGS!$L$19)*SETTINGS!$L$20,0)),"")</f>
        <v/>
      </c>
      <c r="CE69" s="106" t="str">
        <f t="shared" si="69"/>
        <v/>
      </c>
      <c r="CF69" s="103" t="str">
        <f t="shared" si="70"/>
        <v/>
      </c>
      <c r="CG69" s="107" t="str">
        <f t="shared" si="71"/>
        <v/>
      </c>
      <c r="CH69" s="130"/>
      <c r="CI69" s="111">
        <v>12</v>
      </c>
      <c r="CJ69" s="111">
        <v>15</v>
      </c>
      <c r="CK69" s="111">
        <v>12</v>
      </c>
      <c r="CL69" s="111">
        <v>15</v>
      </c>
      <c r="CM69" s="97">
        <f t="shared" si="72"/>
        <v>54</v>
      </c>
      <c r="CN69" s="106" t="str">
        <f>IFERROR(IF(CM69=0,"",ROUND((CM69/SUM(SETTINGS!$L$14:$L$17))*SETTINGS!$L$18,0)),"")</f>
        <v/>
      </c>
      <c r="CO69" s="105">
        <v>56</v>
      </c>
      <c r="CP69" s="106" t="str">
        <f>IFERROR(IF(ISBLANK(CO69),"",ROUND((CO69/SETTINGS!$L$19)*SETTINGS!$L$20,0)),"")</f>
        <v/>
      </c>
      <c r="CQ69" s="106" t="str">
        <f t="shared" si="73"/>
        <v/>
      </c>
      <c r="CR69" s="103" t="str">
        <f t="shared" si="74"/>
        <v/>
      </c>
      <c r="CS69" s="107" t="str">
        <f t="shared" si="75"/>
        <v/>
      </c>
      <c r="CT69" s="130"/>
      <c r="CU69" s="105">
        <v>12</v>
      </c>
      <c r="CV69" s="105">
        <v>12</v>
      </c>
      <c r="CW69" s="105">
        <v>14</v>
      </c>
      <c r="CX69" s="105">
        <v>10</v>
      </c>
      <c r="CY69" s="97">
        <f t="shared" si="76"/>
        <v>48</v>
      </c>
      <c r="CZ69" s="106" t="str">
        <f>IFERROR(IF(CY69=0,"",ROUND((CY69/SUM(SETTINGS!$L$14:$L$17))*SETTINGS!$L$18,0)),"")</f>
        <v/>
      </c>
      <c r="DA69" s="105">
        <v>54</v>
      </c>
      <c r="DB69" s="106" t="str">
        <f>IFERROR(IF(ISBLANK(DA69),"",ROUND((DA69/SETTINGS!$L$19)*SETTINGS!$L$20,0)),"")</f>
        <v/>
      </c>
      <c r="DC69" s="106" t="str">
        <f t="shared" si="77"/>
        <v/>
      </c>
      <c r="DD69" s="103" t="str">
        <f t="shared" si="78"/>
        <v/>
      </c>
      <c r="DE69" s="107" t="str">
        <f t="shared" si="79"/>
        <v/>
      </c>
      <c r="DF69" s="103" t="str">
        <f t="shared" si="80"/>
        <v/>
      </c>
      <c r="DG69" s="103" t="str">
        <f>IFERROR(IF(AND(K69,W69,AI69,AU69,BG69,BS69,CE69,CQ69,DC69)="","",SUM(K69,W69,AI69,AU69,LARGE((BG69,BS69,CE69,CQ69,DC69),{1,2}))),"")</f>
        <v/>
      </c>
      <c r="DH69" s="103" t="str">
        <f>IFERROR(IF(AND(M69,Y69,AK69,AW69,,BI69,BU69,CG69,CS69,DE69)="","",SUM(M69,Y69,AK69,AW69,SMALL((BI69,BU69,CG69,CS69,DE69),{1,2}))),"")</f>
        <v/>
      </c>
      <c r="DI69" s="109" t="str">
        <f>IFERROR(pos&amp;IF(AND(MOD(ABS(18),100)&gt;10,MOD(ABS(pos),100)&lt;14),"th", CHOOSE(MOD(ABS(pos),10)+1,"th","st","nd","rd","th","th","th","th","th","th")),"")</f>
        <v/>
      </c>
      <c r="DJ69" s="62">
        <f>ROWS($B$12:$B69)</f>
        <v>58</v>
      </c>
      <c r="DK69" s="62" t="str">
        <f>IF($B69=REPORT_CARD!$M$12,$DJ69,"")</f>
        <v/>
      </c>
      <c r="DM69" s="65"/>
    </row>
    <row r="70" spans="1:117" ht="19.5" customHeight="1">
      <c r="A70" s="140" t="str">
        <f>IFERROR(IF(ISBLANK(#REF!),"",#REF!),"")</f>
        <v/>
      </c>
      <c r="B70" s="140" t="str">
        <f>IFERROR(IF(ISBLANK(#REF!),"",#REF!),"")</f>
        <v/>
      </c>
      <c r="C70" s="111"/>
      <c r="D70" s="111"/>
      <c r="E70" s="111"/>
      <c r="F70" s="111"/>
      <c r="G70" s="97" t="str">
        <f t="shared" si="44"/>
        <v/>
      </c>
      <c r="H70" s="106" t="str">
        <f>IFERROR(IF(G70=0,"",ROUND((G70/SUM(SETTINGS!$L$14:$L$17))*SETTINGS!$L$18,0)),"")</f>
        <v/>
      </c>
      <c r="I70" s="105"/>
      <c r="J70" s="106" t="str">
        <f>IFERROR(IF(ISBLANK(I70),"",ROUND((I70/SETTINGS!$L$19)*SETTINGS!$L$20,0)),"")</f>
        <v/>
      </c>
      <c r="K70" s="106" t="str">
        <f t="shared" si="45"/>
        <v/>
      </c>
      <c r="L70" s="103" t="str">
        <f t="shared" si="46"/>
        <v/>
      </c>
      <c r="M70" s="107" t="str">
        <f t="shared" si="47"/>
        <v/>
      </c>
      <c r="N70" s="136"/>
      <c r="O70" s="111"/>
      <c r="P70" s="111"/>
      <c r="Q70" s="111"/>
      <c r="R70" s="111"/>
      <c r="S70" s="97" t="str">
        <f t="shared" si="48"/>
        <v/>
      </c>
      <c r="T70" s="106" t="str">
        <f>IFERROR(IF(S70=0,"",ROUND((S70/SUM(SETTINGS!$L$14:$L$17))*SETTINGS!$L$18,0)),"")</f>
        <v/>
      </c>
      <c r="U70" s="105"/>
      <c r="V70" s="106" t="str">
        <f>IFERROR(IF(ISBLANK(U70),"",ROUND((U70/SETTINGS!$L$19)*SETTINGS!$L$20,0)),"")</f>
        <v/>
      </c>
      <c r="W70" s="106" t="str">
        <f t="shared" si="49"/>
        <v/>
      </c>
      <c r="X70" s="103" t="str">
        <f t="shared" si="50"/>
        <v/>
      </c>
      <c r="Y70" s="107" t="str">
        <f t="shared" si="51"/>
        <v/>
      </c>
      <c r="Z70" s="130"/>
      <c r="AA70" s="111"/>
      <c r="AB70" s="111"/>
      <c r="AC70" s="111"/>
      <c r="AD70" s="111"/>
      <c r="AE70" s="97" t="str">
        <f t="shared" si="52"/>
        <v/>
      </c>
      <c r="AF70" s="106" t="str">
        <f>IFERROR(IF(AE70=0,"",ROUND((AE70/SUM(SETTINGS!$L$14:$L$17))*SETTINGS!$L$18,0)),"")</f>
        <v/>
      </c>
      <c r="AG70" s="105"/>
      <c r="AH70" s="106" t="str">
        <f>IFERROR(IF(ISBLANK(AG70),"",ROUND((AG70/SETTINGS!$L$19)*SETTINGS!$L$20,0)),"")</f>
        <v/>
      </c>
      <c r="AI70" s="106" t="str">
        <f t="shared" si="53"/>
        <v/>
      </c>
      <c r="AJ70" s="103" t="str">
        <f t="shared" si="54"/>
        <v/>
      </c>
      <c r="AK70" s="108" t="str">
        <f t="shared" si="55"/>
        <v/>
      </c>
      <c r="AL70" s="130"/>
      <c r="AM70" s="111"/>
      <c r="AN70" s="111"/>
      <c r="AO70" s="111"/>
      <c r="AP70" s="111"/>
      <c r="AQ70" s="97" t="str">
        <f t="shared" si="56"/>
        <v/>
      </c>
      <c r="AR70" s="106" t="str">
        <f>IFERROR(IF(AQ70=0,"",ROUND((AQ70/SUM(SETTINGS!$L$14:$L$17))*SETTINGS!$L$18,0)),"")</f>
        <v/>
      </c>
      <c r="AS70" s="105"/>
      <c r="AT70" s="106" t="str">
        <f>IFERROR(IF(ISBLANK(AS70),"",ROUND((AS70/SETTINGS!$L$19)*SETTINGS!$L$20,0)),"")</f>
        <v/>
      </c>
      <c r="AU70" s="106" t="str">
        <f t="shared" si="57"/>
        <v/>
      </c>
      <c r="AV70" s="103" t="str">
        <f t="shared" si="58"/>
        <v/>
      </c>
      <c r="AW70" s="107" t="str">
        <f t="shared" si="59"/>
        <v/>
      </c>
      <c r="AX70" s="130"/>
      <c r="AY70" s="111"/>
      <c r="AZ70" s="111"/>
      <c r="BA70" s="111"/>
      <c r="BB70" s="111"/>
      <c r="BC70" s="97" t="str">
        <f t="shared" si="60"/>
        <v/>
      </c>
      <c r="BD70" s="106" t="str">
        <f>IFERROR(IF(BC70=0,"",ROUND((BC70/SUM(SETTINGS!$L$14:$L$17))*SETTINGS!$L$18,0)),"")</f>
        <v/>
      </c>
      <c r="BE70" s="105"/>
      <c r="BF70" s="106" t="str">
        <f>IFERROR(IF(ISBLANK(BE70),"",ROUND((BE70/SETTINGS!$L$19)*SETTINGS!$L$20,0)),"")</f>
        <v/>
      </c>
      <c r="BG70" s="106" t="str">
        <f t="shared" si="61"/>
        <v/>
      </c>
      <c r="BH70" s="103" t="str">
        <f t="shared" si="62"/>
        <v/>
      </c>
      <c r="BI70" s="108" t="str">
        <f t="shared" si="63"/>
        <v/>
      </c>
      <c r="BJ70" s="130"/>
      <c r="BK70" s="111"/>
      <c r="BL70" s="111"/>
      <c r="BM70" s="111"/>
      <c r="BN70" s="111"/>
      <c r="BO70" s="97" t="str">
        <f t="shared" si="64"/>
        <v/>
      </c>
      <c r="BP70" s="106" t="str">
        <f>IFERROR(IF(BO70=0,"",ROUND((BO70/SUM(SETTINGS!$L$14:$L$17))*SETTINGS!$L$18,0)),"")</f>
        <v/>
      </c>
      <c r="BQ70" s="105"/>
      <c r="BR70" s="106" t="str">
        <f>IFERROR(IF(ISBLANK(BQ70),"",ROUND((BQ70/SETTINGS!$L$19)*SETTINGS!$L$20,0)),"")</f>
        <v/>
      </c>
      <c r="BS70" s="106" t="str">
        <f t="shared" si="65"/>
        <v/>
      </c>
      <c r="BT70" s="103" t="str">
        <f t="shared" si="66"/>
        <v/>
      </c>
      <c r="BU70" s="107" t="str">
        <f t="shared" si="67"/>
        <v/>
      </c>
      <c r="BV70" s="130"/>
      <c r="BW70" s="111"/>
      <c r="BX70" s="111"/>
      <c r="BY70" s="111"/>
      <c r="BZ70" s="111"/>
      <c r="CA70" s="97" t="str">
        <f t="shared" si="68"/>
        <v/>
      </c>
      <c r="CB70" s="106" t="str">
        <f>IFERROR(IF(CA70=0,"",ROUND((CA70/SUM(SETTINGS!$L$14:$L$17))*SETTINGS!$L$18,0)),"")</f>
        <v/>
      </c>
      <c r="CC70" s="105"/>
      <c r="CD70" s="106" t="str">
        <f>IFERROR(IF(ISBLANK(CC70),"",ROUND((CC70/SETTINGS!$L$19)*SETTINGS!$L$20,0)),"")</f>
        <v/>
      </c>
      <c r="CE70" s="106" t="str">
        <f t="shared" si="69"/>
        <v/>
      </c>
      <c r="CF70" s="103" t="str">
        <f t="shared" si="70"/>
        <v/>
      </c>
      <c r="CG70" s="107" t="str">
        <f t="shared" si="71"/>
        <v/>
      </c>
      <c r="CH70" s="130"/>
      <c r="CI70" s="111"/>
      <c r="CJ70" s="111"/>
      <c r="CK70" s="111"/>
      <c r="CL70" s="111"/>
      <c r="CM70" s="97" t="str">
        <f t="shared" si="72"/>
        <v/>
      </c>
      <c r="CN70" s="106" t="str">
        <f>IFERROR(IF(CM70=0,"",ROUND((CM70/SUM(SETTINGS!$L$14:$L$17))*SETTINGS!$L$18,0)),"")</f>
        <v/>
      </c>
      <c r="CO70" s="105"/>
      <c r="CP70" s="106" t="str">
        <f>IFERROR(IF(ISBLANK(CO70),"",ROUND((CO70/SETTINGS!$L$19)*SETTINGS!$L$20,0)),"")</f>
        <v/>
      </c>
      <c r="CQ70" s="106" t="str">
        <f t="shared" si="73"/>
        <v/>
      </c>
      <c r="CR70" s="103" t="str">
        <f t="shared" si="74"/>
        <v/>
      </c>
      <c r="CS70" s="107" t="str">
        <f t="shared" si="75"/>
        <v/>
      </c>
      <c r="CT70" s="130"/>
      <c r="CU70" s="111"/>
      <c r="CV70" s="111"/>
      <c r="CW70" s="111"/>
      <c r="CX70" s="111"/>
      <c r="CY70" s="97" t="str">
        <f t="shared" si="76"/>
        <v/>
      </c>
      <c r="CZ70" s="106" t="str">
        <f>IFERROR(IF(CY70=0,"",ROUND((CY70/SUM(SETTINGS!$L$14:$L$17))*SETTINGS!$L$18,0)),"")</f>
        <v/>
      </c>
      <c r="DA70" s="105"/>
      <c r="DB70" s="106" t="str">
        <f>IFERROR(IF(ISBLANK(DA70),"",ROUND((DA70/SETTINGS!$L$19)*SETTINGS!$L$20,0)),"")</f>
        <v/>
      </c>
      <c r="DC70" s="106" t="str">
        <f t="shared" si="77"/>
        <v/>
      </c>
      <c r="DD70" s="103" t="str">
        <f t="shared" si="78"/>
        <v/>
      </c>
      <c r="DE70" s="107" t="str">
        <f t="shared" si="79"/>
        <v/>
      </c>
      <c r="DF70" s="103" t="str">
        <f t="shared" si="80"/>
        <v/>
      </c>
      <c r="DG70" s="103" t="str">
        <f>IFERROR(IF(AND(K70,W70,AI70,AU70,BG70,BS70,CE70,CQ70,DC70)="","",SUM(K70,W70,AI70,AU70,LARGE((BG70,BS70,CE70,CQ70,DC70),{1,2}))),"")</f>
        <v/>
      </c>
      <c r="DH70" s="103" t="str">
        <f>IFERROR(IF(AND(M70,Y70,AK70,AW70,,BI70,BU70,CG70,CS70,DE70)="","",SUM(M70,Y70,AK70,AW70,SMALL((BI70,BU70,CG70,CS70,DE70),{1,2}))),"")</f>
        <v/>
      </c>
      <c r="DI70" s="109" t="str">
        <f>IFERROR(pos&amp;IF(AND(MOD(ABS(18),100)&gt;10,MOD(ABS(pos),100)&lt;14),"th", CHOOSE(MOD(ABS(pos),10)+1,"th","st","nd","rd","th","th","th","th","th","th")),"")</f>
        <v/>
      </c>
      <c r="DJ70" s="62">
        <f>ROWS($B$12:$B70)</f>
        <v>59</v>
      </c>
      <c r="DK70" s="62" t="str">
        <f>IF($B70=REPORT_CARD!$M$12,$DJ70,"")</f>
        <v/>
      </c>
      <c r="DM70" s="65" t="str">
        <f t="shared" ref="DM70:DM76" si="81">IFERROR(IF($DF70="","",RANK($DF70,$DF$12:$DF$76)),"")</f>
        <v/>
      </c>
    </row>
    <row r="71" spans="1:117" ht="19.5" customHeight="1">
      <c r="A71" s="140" t="str">
        <f>IFERROR(IF(ISBLANK(#REF!),"",#REF!),"")</f>
        <v/>
      </c>
      <c r="B71" s="140" t="str">
        <f>IFERROR(IF(ISBLANK(#REF!),"",#REF!),"")</f>
        <v/>
      </c>
      <c r="C71" s="111"/>
      <c r="D71" s="111"/>
      <c r="E71" s="111"/>
      <c r="F71" s="111"/>
      <c r="G71" s="97" t="str">
        <f t="shared" si="44"/>
        <v/>
      </c>
      <c r="H71" s="106" t="str">
        <f>IFERROR(IF(G71=0,"",ROUND((G71/SUM(SETTINGS!$L$14:$L$17))*SETTINGS!$L$18,0)),"")</f>
        <v/>
      </c>
      <c r="I71" s="105"/>
      <c r="J71" s="106" t="str">
        <f>IFERROR(IF(ISBLANK(I71),"",ROUND((I71/SETTINGS!$L$19)*SETTINGS!$L$20,0)),"")</f>
        <v/>
      </c>
      <c r="K71" s="106" t="str">
        <f t="shared" si="45"/>
        <v/>
      </c>
      <c r="L71" s="103" t="str">
        <f t="shared" si="46"/>
        <v/>
      </c>
      <c r="M71" s="107" t="str">
        <f t="shared" si="47"/>
        <v/>
      </c>
      <c r="N71" s="136"/>
      <c r="O71" s="111"/>
      <c r="P71" s="111"/>
      <c r="Q71" s="111"/>
      <c r="R71" s="111"/>
      <c r="S71" s="97" t="str">
        <f t="shared" si="48"/>
        <v/>
      </c>
      <c r="T71" s="106" t="str">
        <f>IFERROR(IF(S71=0,"",ROUND((S71/SUM(SETTINGS!$L$14:$L$17))*SETTINGS!$L$18,0)),"")</f>
        <v/>
      </c>
      <c r="U71" s="105"/>
      <c r="V71" s="106" t="str">
        <f>IFERROR(IF(ISBLANK(U71),"",ROUND((U71/SETTINGS!$L$19)*SETTINGS!$L$20,0)),"")</f>
        <v/>
      </c>
      <c r="W71" s="106" t="str">
        <f t="shared" si="49"/>
        <v/>
      </c>
      <c r="X71" s="103" t="str">
        <f t="shared" si="50"/>
        <v/>
      </c>
      <c r="Y71" s="107" t="str">
        <f t="shared" si="51"/>
        <v/>
      </c>
      <c r="Z71" s="130"/>
      <c r="AA71" s="111"/>
      <c r="AB71" s="111"/>
      <c r="AC71" s="111"/>
      <c r="AD71" s="111"/>
      <c r="AE71" s="97" t="str">
        <f t="shared" si="52"/>
        <v/>
      </c>
      <c r="AF71" s="106" t="str">
        <f>IFERROR(IF(AE71=0,"",ROUND((AE71/SUM(SETTINGS!$L$14:$L$17))*SETTINGS!$L$18,0)),"")</f>
        <v/>
      </c>
      <c r="AG71" s="105"/>
      <c r="AH71" s="106" t="str">
        <f>IFERROR(IF(ISBLANK(AG71),"",ROUND((AG71/SETTINGS!$L$19)*SETTINGS!$L$20,0)),"")</f>
        <v/>
      </c>
      <c r="AI71" s="106" t="str">
        <f t="shared" si="53"/>
        <v/>
      </c>
      <c r="AJ71" s="103" t="str">
        <f t="shared" si="54"/>
        <v/>
      </c>
      <c r="AK71" s="108" t="str">
        <f t="shared" si="55"/>
        <v/>
      </c>
      <c r="AL71" s="130"/>
      <c r="AM71" s="111"/>
      <c r="AN71" s="111"/>
      <c r="AO71" s="111"/>
      <c r="AP71" s="111"/>
      <c r="AQ71" s="97" t="str">
        <f t="shared" si="56"/>
        <v/>
      </c>
      <c r="AR71" s="106" t="str">
        <f>IFERROR(IF(AQ71=0,"",ROUND((AQ71/SUM(SETTINGS!$L$14:$L$17))*SETTINGS!$L$18,0)),"")</f>
        <v/>
      </c>
      <c r="AS71" s="105"/>
      <c r="AT71" s="106" t="str">
        <f>IFERROR(IF(ISBLANK(AS71),"",ROUND((AS71/SETTINGS!$L$19)*SETTINGS!$L$20,0)),"")</f>
        <v/>
      </c>
      <c r="AU71" s="106" t="str">
        <f t="shared" si="57"/>
        <v/>
      </c>
      <c r="AV71" s="103" t="str">
        <f t="shared" si="58"/>
        <v/>
      </c>
      <c r="AW71" s="107" t="str">
        <f t="shared" si="59"/>
        <v/>
      </c>
      <c r="AX71" s="130"/>
      <c r="AY71" s="111"/>
      <c r="AZ71" s="111"/>
      <c r="BA71" s="111"/>
      <c r="BB71" s="111"/>
      <c r="BC71" s="97" t="str">
        <f t="shared" si="60"/>
        <v/>
      </c>
      <c r="BD71" s="106" t="str">
        <f>IFERROR(IF(BC71=0,"",ROUND((BC71/SUM(SETTINGS!$L$14:$L$17))*SETTINGS!$L$18,0)),"")</f>
        <v/>
      </c>
      <c r="BE71" s="105"/>
      <c r="BF71" s="106" t="str">
        <f>IFERROR(IF(ISBLANK(BE71),"",ROUND((BE71/SETTINGS!$L$19)*SETTINGS!$L$20,0)),"")</f>
        <v/>
      </c>
      <c r="BG71" s="106" t="str">
        <f t="shared" si="61"/>
        <v/>
      </c>
      <c r="BH71" s="103" t="str">
        <f t="shared" si="62"/>
        <v/>
      </c>
      <c r="BI71" s="108" t="str">
        <f t="shared" si="63"/>
        <v/>
      </c>
      <c r="BJ71" s="130"/>
      <c r="BK71" s="111"/>
      <c r="BL71" s="111"/>
      <c r="BM71" s="111"/>
      <c r="BN71" s="111"/>
      <c r="BO71" s="97" t="str">
        <f t="shared" si="64"/>
        <v/>
      </c>
      <c r="BP71" s="106" t="str">
        <f>IFERROR(IF(BO71=0,"",ROUND((BO71/SUM(SETTINGS!$L$14:$L$17))*SETTINGS!$L$18,0)),"")</f>
        <v/>
      </c>
      <c r="BQ71" s="105"/>
      <c r="BR71" s="106" t="str">
        <f>IFERROR(IF(ISBLANK(BQ71),"",ROUND((BQ71/SETTINGS!$L$19)*SETTINGS!$L$20,0)),"")</f>
        <v/>
      </c>
      <c r="BS71" s="106" t="str">
        <f t="shared" si="65"/>
        <v/>
      </c>
      <c r="BT71" s="103" t="str">
        <f t="shared" si="66"/>
        <v/>
      </c>
      <c r="BU71" s="107" t="str">
        <f t="shared" si="67"/>
        <v/>
      </c>
      <c r="BV71" s="130"/>
      <c r="BW71" s="111"/>
      <c r="BX71" s="111"/>
      <c r="BY71" s="111"/>
      <c r="BZ71" s="111"/>
      <c r="CA71" s="97" t="str">
        <f t="shared" si="68"/>
        <v/>
      </c>
      <c r="CB71" s="106" t="str">
        <f>IFERROR(IF(CA71=0,"",ROUND((CA71/SUM(SETTINGS!$L$14:$L$17))*SETTINGS!$L$18,0)),"")</f>
        <v/>
      </c>
      <c r="CC71" s="105"/>
      <c r="CD71" s="106" t="str">
        <f>IFERROR(IF(ISBLANK(CC71),"",ROUND((CC71/SETTINGS!$L$19)*SETTINGS!$L$20,0)),"")</f>
        <v/>
      </c>
      <c r="CE71" s="106" t="str">
        <f t="shared" si="69"/>
        <v/>
      </c>
      <c r="CF71" s="103" t="str">
        <f t="shared" si="70"/>
        <v/>
      </c>
      <c r="CG71" s="107" t="str">
        <f t="shared" si="71"/>
        <v/>
      </c>
      <c r="CH71" s="130"/>
      <c r="CI71" s="111"/>
      <c r="CJ71" s="111"/>
      <c r="CK71" s="111"/>
      <c r="CL71" s="111"/>
      <c r="CM71" s="97" t="str">
        <f t="shared" si="72"/>
        <v/>
      </c>
      <c r="CN71" s="106" t="str">
        <f>IFERROR(IF(CM71=0,"",ROUND((CM71/SUM(SETTINGS!$L$14:$L$17))*SETTINGS!$L$18,0)),"")</f>
        <v/>
      </c>
      <c r="CO71" s="105"/>
      <c r="CP71" s="106" t="str">
        <f>IFERROR(IF(ISBLANK(CO71),"",ROUND((CO71/SETTINGS!$L$19)*SETTINGS!$L$20,0)),"")</f>
        <v/>
      </c>
      <c r="CQ71" s="106" t="str">
        <f t="shared" si="73"/>
        <v/>
      </c>
      <c r="CR71" s="103" t="str">
        <f t="shared" si="74"/>
        <v/>
      </c>
      <c r="CS71" s="107" t="str">
        <f t="shared" si="75"/>
        <v/>
      </c>
      <c r="CT71" s="130"/>
      <c r="CU71" s="111"/>
      <c r="CV71" s="111"/>
      <c r="CW71" s="111"/>
      <c r="CX71" s="111"/>
      <c r="CY71" s="97" t="str">
        <f t="shared" si="76"/>
        <v/>
      </c>
      <c r="CZ71" s="106" t="str">
        <f>IFERROR(IF(CY71=0,"",ROUND((CY71/SUM(SETTINGS!$L$14:$L$17))*SETTINGS!$L$18,0)),"")</f>
        <v/>
      </c>
      <c r="DA71" s="105"/>
      <c r="DB71" s="106" t="str">
        <f>IFERROR(IF(ISBLANK(DA71),"",ROUND((DA71/SETTINGS!$L$19)*SETTINGS!$L$20,0)),"")</f>
        <v/>
      </c>
      <c r="DC71" s="106" t="str">
        <f t="shared" si="77"/>
        <v/>
      </c>
      <c r="DD71" s="103" t="str">
        <f t="shared" si="78"/>
        <v/>
      </c>
      <c r="DE71" s="107" t="str">
        <f t="shared" si="79"/>
        <v/>
      </c>
      <c r="DF71" s="103" t="str">
        <f t="shared" si="80"/>
        <v/>
      </c>
      <c r="DG71" s="103" t="str">
        <f>IFERROR(IF(AND(K71,W71,AI71,AU71,BG71,BS71,CE71,CQ71,DC71)="","",SUM(K71,W71,AI71,AU71,LARGE((BG71,BS71,CE71,CQ71,DC71),{1,2}))),"")</f>
        <v/>
      </c>
      <c r="DH71" s="103" t="str">
        <f>IFERROR(IF(AND(M71,Y71,AK71,AW71,,BI71,BU71,CG71,CS71,DE71)="","",SUM(M71,Y71,AK71,AW71,SMALL((BI71,BU71,CG71,CS71,DE71),{1,2}))),"")</f>
        <v/>
      </c>
      <c r="DI71" s="109" t="str">
        <f>IFERROR(pos&amp;IF(AND(MOD(ABS(18),100)&gt;10,MOD(ABS(pos),100)&lt;14),"th", CHOOSE(MOD(ABS(pos),10)+1,"th","st","nd","rd","th","th","th","th","th","th")),"")</f>
        <v/>
      </c>
      <c r="DJ71" s="62">
        <f>ROWS($B$12:$B71)</f>
        <v>60</v>
      </c>
      <c r="DK71" s="62" t="str">
        <f>IF($B71=REPORT_CARD!$M$12,$DJ71,"")</f>
        <v/>
      </c>
      <c r="DM71" s="65" t="str">
        <f t="shared" si="81"/>
        <v/>
      </c>
    </row>
    <row r="72" spans="1:117" ht="19.5" customHeight="1">
      <c r="A72" s="140" t="str">
        <f>IFERROR(IF(ISBLANK(#REF!),"",#REF!),"")</f>
        <v/>
      </c>
      <c r="B72" s="140" t="str">
        <f>IFERROR(IF(ISBLANK(#REF!),"",#REF!),"")</f>
        <v/>
      </c>
      <c r="C72" s="111"/>
      <c r="D72" s="111"/>
      <c r="E72" s="111"/>
      <c r="F72" s="111"/>
      <c r="G72" s="97" t="str">
        <f t="shared" si="44"/>
        <v/>
      </c>
      <c r="H72" s="106" t="str">
        <f>IFERROR(IF(G72=0,"",ROUND((G72/SUM(SETTINGS!$L$14:$L$17))*SETTINGS!$L$18,0)),"")</f>
        <v/>
      </c>
      <c r="I72" s="105"/>
      <c r="J72" s="106" t="str">
        <f>IFERROR(IF(ISBLANK(I72),"",ROUND((I72/SETTINGS!$L$19)*SETTINGS!$L$20,0)),"")</f>
        <v/>
      </c>
      <c r="K72" s="106" t="str">
        <f t="shared" si="45"/>
        <v/>
      </c>
      <c r="L72" s="103" t="str">
        <f t="shared" si="46"/>
        <v/>
      </c>
      <c r="M72" s="107" t="str">
        <f t="shared" si="47"/>
        <v/>
      </c>
      <c r="N72" s="136"/>
      <c r="O72" s="111"/>
      <c r="P72" s="111"/>
      <c r="Q72" s="111"/>
      <c r="R72" s="111"/>
      <c r="S72" s="97" t="str">
        <f t="shared" si="48"/>
        <v/>
      </c>
      <c r="T72" s="106" t="str">
        <f>IFERROR(IF(S72=0,"",ROUND((S72/SUM(SETTINGS!$L$14:$L$17))*SETTINGS!$L$18,0)),"")</f>
        <v/>
      </c>
      <c r="U72" s="105"/>
      <c r="V72" s="106" t="str">
        <f>IFERROR(IF(ISBLANK(U72),"",ROUND((U72/SETTINGS!$L$19)*SETTINGS!$L$20,0)),"")</f>
        <v/>
      </c>
      <c r="W72" s="106" t="str">
        <f t="shared" si="49"/>
        <v/>
      </c>
      <c r="X72" s="103" t="str">
        <f t="shared" si="50"/>
        <v/>
      </c>
      <c r="Y72" s="107" t="str">
        <f t="shared" si="51"/>
        <v/>
      </c>
      <c r="Z72" s="130"/>
      <c r="AA72" s="111"/>
      <c r="AB72" s="111"/>
      <c r="AC72" s="111"/>
      <c r="AD72" s="111"/>
      <c r="AE72" s="97" t="str">
        <f t="shared" si="52"/>
        <v/>
      </c>
      <c r="AF72" s="106" t="str">
        <f>IFERROR(IF(AE72=0,"",ROUND((AE72/SUM(SETTINGS!$L$14:$L$17))*SETTINGS!$L$18,0)),"")</f>
        <v/>
      </c>
      <c r="AG72" s="105"/>
      <c r="AH72" s="106" t="str">
        <f>IFERROR(IF(ISBLANK(AG72),"",ROUND((AG72/SETTINGS!$L$19)*SETTINGS!$L$20,0)),"")</f>
        <v/>
      </c>
      <c r="AI72" s="106" t="str">
        <f t="shared" si="53"/>
        <v/>
      </c>
      <c r="AJ72" s="103" t="str">
        <f t="shared" si="54"/>
        <v/>
      </c>
      <c r="AK72" s="108" t="str">
        <f t="shared" si="55"/>
        <v/>
      </c>
      <c r="AL72" s="130"/>
      <c r="AM72" s="111"/>
      <c r="AN72" s="111"/>
      <c r="AO72" s="111"/>
      <c r="AP72" s="111"/>
      <c r="AQ72" s="97" t="str">
        <f t="shared" si="56"/>
        <v/>
      </c>
      <c r="AR72" s="106" t="str">
        <f>IFERROR(IF(AQ72=0,"",ROUND((AQ72/SUM(SETTINGS!$L$14:$L$17))*SETTINGS!$L$18,0)),"")</f>
        <v/>
      </c>
      <c r="AS72" s="105"/>
      <c r="AT72" s="106" t="str">
        <f>IFERROR(IF(ISBLANK(AS72),"",ROUND((AS72/SETTINGS!$L$19)*SETTINGS!$L$20,0)),"")</f>
        <v/>
      </c>
      <c r="AU72" s="106" t="str">
        <f t="shared" si="57"/>
        <v/>
      </c>
      <c r="AV72" s="103" t="str">
        <f t="shared" si="58"/>
        <v/>
      </c>
      <c r="AW72" s="107" t="str">
        <f t="shared" si="59"/>
        <v/>
      </c>
      <c r="AX72" s="130"/>
      <c r="AY72" s="111"/>
      <c r="AZ72" s="111"/>
      <c r="BA72" s="111"/>
      <c r="BB72" s="111"/>
      <c r="BC72" s="97" t="str">
        <f t="shared" si="60"/>
        <v/>
      </c>
      <c r="BD72" s="106" t="str">
        <f>IFERROR(IF(BC72=0,"",ROUND((BC72/SUM(SETTINGS!$L$14:$L$17))*SETTINGS!$L$18,0)),"")</f>
        <v/>
      </c>
      <c r="BE72" s="105"/>
      <c r="BF72" s="106" t="str">
        <f>IFERROR(IF(ISBLANK(BE72),"",ROUND((BE72/SETTINGS!$L$19)*SETTINGS!$L$20,0)),"")</f>
        <v/>
      </c>
      <c r="BG72" s="106" t="str">
        <f t="shared" si="61"/>
        <v/>
      </c>
      <c r="BH72" s="103" t="str">
        <f t="shared" si="62"/>
        <v/>
      </c>
      <c r="BI72" s="108" t="str">
        <f t="shared" si="63"/>
        <v/>
      </c>
      <c r="BJ72" s="130"/>
      <c r="BK72" s="111"/>
      <c r="BL72" s="111"/>
      <c r="BM72" s="111"/>
      <c r="BN72" s="111"/>
      <c r="BO72" s="97" t="str">
        <f t="shared" si="64"/>
        <v/>
      </c>
      <c r="BP72" s="106" t="str">
        <f>IFERROR(IF(BO72=0,"",ROUND((BO72/SUM(SETTINGS!$L$14:$L$17))*SETTINGS!$L$18,0)),"")</f>
        <v/>
      </c>
      <c r="BQ72" s="105"/>
      <c r="BR72" s="106" t="str">
        <f>IFERROR(IF(ISBLANK(BQ72),"",ROUND((BQ72/SETTINGS!$L$19)*SETTINGS!$L$20,0)),"")</f>
        <v/>
      </c>
      <c r="BS72" s="106" t="str">
        <f t="shared" si="65"/>
        <v/>
      </c>
      <c r="BT72" s="103" t="str">
        <f t="shared" si="66"/>
        <v/>
      </c>
      <c r="BU72" s="107" t="str">
        <f t="shared" si="67"/>
        <v/>
      </c>
      <c r="BV72" s="130"/>
      <c r="BW72" s="111"/>
      <c r="BX72" s="111"/>
      <c r="BY72" s="111"/>
      <c r="BZ72" s="111"/>
      <c r="CA72" s="97" t="str">
        <f t="shared" si="68"/>
        <v/>
      </c>
      <c r="CB72" s="106" t="str">
        <f>IFERROR(IF(CA72=0,"",ROUND((CA72/SUM(SETTINGS!$L$14:$L$17))*SETTINGS!$L$18,0)),"")</f>
        <v/>
      </c>
      <c r="CC72" s="105"/>
      <c r="CD72" s="106" t="str">
        <f>IFERROR(IF(ISBLANK(CC72),"",ROUND((CC72/SETTINGS!$L$19)*SETTINGS!$L$20,0)),"")</f>
        <v/>
      </c>
      <c r="CE72" s="106" t="str">
        <f t="shared" si="69"/>
        <v/>
      </c>
      <c r="CF72" s="103" t="str">
        <f t="shared" si="70"/>
        <v/>
      </c>
      <c r="CG72" s="107" t="str">
        <f t="shared" si="71"/>
        <v/>
      </c>
      <c r="CH72" s="130"/>
      <c r="CI72" s="111"/>
      <c r="CJ72" s="111"/>
      <c r="CK72" s="111"/>
      <c r="CL72" s="111"/>
      <c r="CM72" s="97" t="str">
        <f t="shared" si="72"/>
        <v/>
      </c>
      <c r="CN72" s="106" t="str">
        <f>IFERROR(IF(CM72=0,"",ROUND((CM72/SUM(SETTINGS!$L$14:$L$17))*SETTINGS!$L$18,0)),"")</f>
        <v/>
      </c>
      <c r="CO72" s="105"/>
      <c r="CP72" s="106" t="str">
        <f>IFERROR(IF(ISBLANK(CO72),"",ROUND((CO72/SETTINGS!$L$19)*SETTINGS!$L$20,0)),"")</f>
        <v/>
      </c>
      <c r="CQ72" s="106" t="str">
        <f t="shared" si="73"/>
        <v/>
      </c>
      <c r="CR72" s="103" t="str">
        <f t="shared" si="74"/>
        <v/>
      </c>
      <c r="CS72" s="107" t="str">
        <f t="shared" si="75"/>
        <v/>
      </c>
      <c r="CT72" s="130"/>
      <c r="CU72" s="111"/>
      <c r="CV72" s="111"/>
      <c r="CW72" s="111"/>
      <c r="CX72" s="111"/>
      <c r="CY72" s="97" t="str">
        <f t="shared" si="76"/>
        <v/>
      </c>
      <c r="CZ72" s="106" t="str">
        <f>IFERROR(IF(CY72=0,"",ROUND((CY72/SUM(SETTINGS!$L$14:$L$17))*SETTINGS!$L$18,0)),"")</f>
        <v/>
      </c>
      <c r="DA72" s="105"/>
      <c r="DB72" s="106" t="str">
        <f>IFERROR(IF(ISBLANK(DA72),"",ROUND((DA72/SETTINGS!$L$19)*SETTINGS!$L$20,0)),"")</f>
        <v/>
      </c>
      <c r="DC72" s="106" t="str">
        <f t="shared" si="77"/>
        <v/>
      </c>
      <c r="DD72" s="103" t="str">
        <f t="shared" si="78"/>
        <v/>
      </c>
      <c r="DE72" s="107" t="str">
        <f t="shared" si="79"/>
        <v/>
      </c>
      <c r="DF72" s="103" t="str">
        <f t="shared" si="80"/>
        <v/>
      </c>
      <c r="DG72" s="103" t="str">
        <f>IFERROR(IF(AND(K72,W72,AI72,AU72,BG72,BS72,CE72,CQ72,DC72)="","",SUM(K72,W72,AI72,AU72,LARGE((BG72,BS72,CE72,CQ72,DC72),{1,2}))),"")</f>
        <v/>
      </c>
      <c r="DH72" s="103" t="str">
        <f>IFERROR(IF(AND(M72,Y72,AK72,AW72,,BI72,BU72,CG72,CS72,DE72)="","",SUM(M72,Y72,AK72,AW72,SMALL((BI72,BU72,CG72,CS72,DE72),{1,2}))),"")</f>
        <v/>
      </c>
      <c r="DI72" s="109" t="str">
        <f>IFERROR(pos&amp;IF(AND(MOD(ABS(18),100)&gt;10,MOD(ABS(pos),100)&lt;14),"th", CHOOSE(MOD(ABS(pos),10)+1,"th","st","nd","rd","th","th","th","th","th","th")),"")</f>
        <v/>
      </c>
      <c r="DJ72" s="62">
        <f>ROWS($B$12:$B72)</f>
        <v>61</v>
      </c>
      <c r="DK72" s="62" t="str">
        <f>IF($B72=REPORT_CARD!$M$12,$DJ72,"")</f>
        <v/>
      </c>
      <c r="DM72" s="65" t="str">
        <f t="shared" si="81"/>
        <v/>
      </c>
    </row>
    <row r="73" spans="1:117" ht="19.5" customHeight="1">
      <c r="A73" s="140" t="str">
        <f>IFERROR(IF(ISBLANK(#REF!),"",#REF!),"")</f>
        <v/>
      </c>
      <c r="B73" s="140" t="str">
        <f>IFERROR(IF(ISBLANK(#REF!),"",#REF!),"")</f>
        <v/>
      </c>
      <c r="C73" s="111"/>
      <c r="D73" s="111"/>
      <c r="E73" s="111"/>
      <c r="F73" s="111"/>
      <c r="G73" s="97" t="str">
        <f t="shared" si="44"/>
        <v/>
      </c>
      <c r="H73" s="106" t="str">
        <f>IFERROR(IF(G73=0,"",ROUND((G73/SUM(SETTINGS!$L$14:$L$17))*SETTINGS!$L$18,0)),"")</f>
        <v/>
      </c>
      <c r="I73" s="105"/>
      <c r="J73" s="106" t="str">
        <f>IFERROR(IF(ISBLANK(I73),"",ROUND((I73/SETTINGS!$L$19)*SETTINGS!$L$20,0)),"")</f>
        <v/>
      </c>
      <c r="K73" s="106" t="str">
        <f t="shared" si="45"/>
        <v/>
      </c>
      <c r="L73" s="103" t="str">
        <f t="shared" si="46"/>
        <v/>
      </c>
      <c r="M73" s="107" t="str">
        <f t="shared" si="47"/>
        <v/>
      </c>
      <c r="N73" s="135"/>
      <c r="O73" s="111"/>
      <c r="P73" s="111"/>
      <c r="Q73" s="111"/>
      <c r="R73" s="111"/>
      <c r="S73" s="97" t="str">
        <f t="shared" si="48"/>
        <v/>
      </c>
      <c r="T73" s="106" t="str">
        <f>IFERROR(IF(S73=0,"",ROUND((S73/SUM(SETTINGS!$L$14:$L$17))*SETTINGS!$L$18,0)),"")</f>
        <v/>
      </c>
      <c r="U73" s="105"/>
      <c r="V73" s="106" t="str">
        <f>IFERROR(IF(ISBLANK(U73),"",ROUND((U73/SETTINGS!$L$19)*SETTINGS!$L$20,0)),"")</f>
        <v/>
      </c>
      <c r="W73" s="106" t="str">
        <f t="shared" si="49"/>
        <v/>
      </c>
      <c r="X73" s="103" t="str">
        <f t="shared" si="50"/>
        <v/>
      </c>
      <c r="Y73" s="107" t="str">
        <f t="shared" si="51"/>
        <v/>
      </c>
      <c r="Z73" s="135"/>
      <c r="AA73" s="111"/>
      <c r="AB73" s="111"/>
      <c r="AC73" s="111"/>
      <c r="AD73" s="111"/>
      <c r="AE73" s="97" t="str">
        <f t="shared" si="52"/>
        <v/>
      </c>
      <c r="AF73" s="106" t="str">
        <f>IFERROR(IF(AE73=0,"",ROUND((AE73/SUM(SETTINGS!$L$14:$L$17))*SETTINGS!$L$18,0)),"")</f>
        <v/>
      </c>
      <c r="AG73" s="105"/>
      <c r="AH73" s="106" t="str">
        <f>IFERROR(IF(ISBLANK(AG73),"",ROUND((AG73/SETTINGS!$L$19)*SETTINGS!$L$20,0)),"")</f>
        <v/>
      </c>
      <c r="AI73" s="106" t="str">
        <f t="shared" si="53"/>
        <v/>
      </c>
      <c r="AJ73" s="103" t="str">
        <f t="shared" si="54"/>
        <v/>
      </c>
      <c r="AK73" s="108" t="str">
        <f t="shared" si="55"/>
        <v/>
      </c>
      <c r="AL73" s="135"/>
      <c r="AM73" s="111"/>
      <c r="AN73" s="111"/>
      <c r="AO73" s="111"/>
      <c r="AP73" s="111"/>
      <c r="AQ73" s="97" t="str">
        <f t="shared" si="56"/>
        <v/>
      </c>
      <c r="AR73" s="106" t="str">
        <f>IFERROR(IF(AQ73=0,"",ROUND((AQ73/SUM(SETTINGS!$L$14:$L$17))*SETTINGS!$L$18,0)),"")</f>
        <v/>
      </c>
      <c r="AS73" s="105"/>
      <c r="AT73" s="106" t="str">
        <f>IFERROR(IF(ISBLANK(AS73),"",ROUND((AS73/SETTINGS!$L$19)*SETTINGS!$L$20,0)),"")</f>
        <v/>
      </c>
      <c r="AU73" s="106" t="str">
        <f t="shared" si="57"/>
        <v/>
      </c>
      <c r="AV73" s="103" t="str">
        <f t="shared" si="58"/>
        <v/>
      </c>
      <c r="AW73" s="107" t="str">
        <f t="shared" si="59"/>
        <v/>
      </c>
      <c r="AX73" s="130"/>
      <c r="AY73" s="111"/>
      <c r="AZ73" s="111"/>
      <c r="BA73" s="111"/>
      <c r="BB73" s="111"/>
      <c r="BC73" s="97" t="str">
        <f t="shared" si="60"/>
        <v/>
      </c>
      <c r="BD73" s="106" t="str">
        <f>IFERROR(IF(BC73=0,"",ROUND((BC73/SUM(SETTINGS!$L$14:$L$17))*SETTINGS!$L$18,0)),"")</f>
        <v/>
      </c>
      <c r="BE73" s="105"/>
      <c r="BF73" s="106" t="str">
        <f>IFERROR(IF(ISBLANK(BE73),"",ROUND((BE73/SETTINGS!$L$19)*SETTINGS!$L$20,0)),"")</f>
        <v/>
      </c>
      <c r="BG73" s="106" t="str">
        <f t="shared" si="61"/>
        <v/>
      </c>
      <c r="BH73" s="103" t="str">
        <f t="shared" si="62"/>
        <v/>
      </c>
      <c r="BI73" s="108" t="str">
        <f t="shared" si="63"/>
        <v/>
      </c>
      <c r="BJ73" s="130"/>
      <c r="BK73" s="111"/>
      <c r="BL73" s="111"/>
      <c r="BM73" s="111"/>
      <c r="BN73" s="111"/>
      <c r="BO73" s="97" t="str">
        <f t="shared" si="64"/>
        <v/>
      </c>
      <c r="BP73" s="106" t="str">
        <f>IFERROR(IF(BO73=0,"",ROUND((BO73/SUM(SETTINGS!$L$14:$L$17))*SETTINGS!$L$18,0)),"")</f>
        <v/>
      </c>
      <c r="BQ73" s="105"/>
      <c r="BR73" s="106" t="str">
        <f>IFERROR(IF(ISBLANK(BQ73),"",ROUND((BQ73/SETTINGS!$L$19)*SETTINGS!$L$20,0)),"")</f>
        <v/>
      </c>
      <c r="BS73" s="106" t="str">
        <f t="shared" si="65"/>
        <v/>
      </c>
      <c r="BT73" s="103" t="str">
        <f t="shared" si="66"/>
        <v/>
      </c>
      <c r="BU73" s="107" t="str">
        <f t="shared" si="67"/>
        <v/>
      </c>
      <c r="BV73" s="130"/>
      <c r="BW73" s="111"/>
      <c r="BX73" s="111"/>
      <c r="BY73" s="111"/>
      <c r="BZ73" s="111"/>
      <c r="CA73" s="97" t="str">
        <f t="shared" si="68"/>
        <v/>
      </c>
      <c r="CB73" s="106" t="str">
        <f>IFERROR(IF(CA73=0,"",ROUND((CA73/SUM(SETTINGS!$L$14:$L$17))*SETTINGS!$L$18,0)),"")</f>
        <v/>
      </c>
      <c r="CC73" s="105"/>
      <c r="CD73" s="106" t="str">
        <f>IFERROR(IF(ISBLANK(CC73),"",ROUND((CC73/SETTINGS!$L$19)*SETTINGS!$L$20,0)),"")</f>
        <v/>
      </c>
      <c r="CE73" s="106" t="str">
        <f t="shared" si="69"/>
        <v/>
      </c>
      <c r="CF73" s="103" t="str">
        <f t="shared" si="70"/>
        <v/>
      </c>
      <c r="CG73" s="107" t="str">
        <f t="shared" si="71"/>
        <v/>
      </c>
      <c r="CH73" s="130"/>
      <c r="CI73" s="111"/>
      <c r="CJ73" s="111"/>
      <c r="CK73" s="111"/>
      <c r="CL73" s="111"/>
      <c r="CM73" s="97" t="str">
        <f t="shared" si="72"/>
        <v/>
      </c>
      <c r="CN73" s="106" t="str">
        <f>IFERROR(IF(CM73=0,"",ROUND((CM73/SUM(SETTINGS!$L$14:$L$17))*SETTINGS!$L$18,0)),"")</f>
        <v/>
      </c>
      <c r="CO73" s="105"/>
      <c r="CP73" s="106" t="str">
        <f>IFERROR(IF(ISBLANK(CO73),"",ROUND((CO73/SETTINGS!$L$19)*SETTINGS!$L$20,0)),"")</f>
        <v/>
      </c>
      <c r="CQ73" s="106" t="str">
        <f t="shared" si="73"/>
        <v/>
      </c>
      <c r="CR73" s="103" t="str">
        <f t="shared" si="74"/>
        <v/>
      </c>
      <c r="CS73" s="107" t="str">
        <f t="shared" si="75"/>
        <v/>
      </c>
      <c r="CT73" s="130"/>
      <c r="CU73" s="111"/>
      <c r="CV73" s="111"/>
      <c r="CW73" s="111"/>
      <c r="CX73" s="111"/>
      <c r="CY73" s="97" t="str">
        <f t="shared" si="76"/>
        <v/>
      </c>
      <c r="CZ73" s="106" t="str">
        <f>IFERROR(IF(CY73=0,"",ROUND((CY73/SUM(SETTINGS!$L$14:$L$17))*SETTINGS!$L$18,0)),"")</f>
        <v/>
      </c>
      <c r="DA73" s="105"/>
      <c r="DB73" s="106" t="str">
        <f>IFERROR(IF(ISBLANK(DA73),"",ROUND((DA73/SETTINGS!$L$19)*SETTINGS!$L$20,0)),"")</f>
        <v/>
      </c>
      <c r="DC73" s="106" t="str">
        <f t="shared" si="77"/>
        <v/>
      </c>
      <c r="DD73" s="103" t="str">
        <f t="shared" si="78"/>
        <v/>
      </c>
      <c r="DE73" s="107" t="str">
        <f t="shared" si="79"/>
        <v/>
      </c>
      <c r="DF73" s="103" t="str">
        <f t="shared" si="80"/>
        <v/>
      </c>
      <c r="DG73" s="103" t="str">
        <f>IFERROR(IF(AND(K73,W73,AI73,AU73,BG73,BS73,CE73,CQ73,DC73)="","",SUM(K73,W73,AI73,AU73,LARGE((BG73,BS73,CE73,CQ73,DC73),{1,2}))),"")</f>
        <v/>
      </c>
      <c r="DH73" s="103" t="str">
        <f>IFERROR(IF(AND(M73,Y73,AK73,AW73,,BI73,BU73,CG73,CS73,DE73)="","",SUM(M73,Y73,AK73,AW73,SMALL((BI73,BU73,CG73,CS73,DE73),{1,2}))),"")</f>
        <v/>
      </c>
      <c r="DI73" s="109" t="str">
        <f>IFERROR(pos&amp;IF(AND(MOD(ABS(18),100)&gt;10,MOD(ABS(pos),100)&lt;14),"th", CHOOSE(MOD(ABS(pos),10)+1,"th","st","nd","rd","th","th","th","th","th","th")),"")</f>
        <v/>
      </c>
      <c r="DJ73" s="62">
        <f>ROWS($B$12:$B73)</f>
        <v>62</v>
      </c>
      <c r="DK73" s="62" t="str">
        <f>IF($B73=REPORT_CARD!$M$12,$DJ73,"")</f>
        <v/>
      </c>
      <c r="DM73" s="65" t="str">
        <f t="shared" si="81"/>
        <v/>
      </c>
    </row>
    <row r="74" spans="1:117" ht="19.5" customHeight="1">
      <c r="A74" s="140" t="str">
        <f>IFERROR(IF(ISBLANK(#REF!),"",#REF!),"")</f>
        <v/>
      </c>
      <c r="B74" s="140" t="str">
        <f>IFERROR(IF(ISBLANK(#REF!),"",#REF!),"")</f>
        <v/>
      </c>
      <c r="C74" s="111"/>
      <c r="D74" s="111"/>
      <c r="E74" s="111"/>
      <c r="F74" s="111"/>
      <c r="G74" s="97" t="str">
        <f t="shared" si="44"/>
        <v/>
      </c>
      <c r="H74" s="106" t="str">
        <f>IFERROR(IF(G74=0,"",ROUND((G74/SUM(SETTINGS!$L$14:$L$17))*SETTINGS!$L$18,0)),"")</f>
        <v/>
      </c>
      <c r="I74" s="105"/>
      <c r="J74" s="106" t="str">
        <f>IFERROR(IF(ISBLANK(I74),"",ROUND((I74/SETTINGS!$L$19)*SETTINGS!$L$20,0)),"")</f>
        <v/>
      </c>
      <c r="K74" s="106" t="str">
        <f t="shared" si="45"/>
        <v/>
      </c>
      <c r="L74" s="103" t="str">
        <f t="shared" si="46"/>
        <v/>
      </c>
      <c r="M74" s="107" t="str">
        <f t="shared" si="47"/>
        <v/>
      </c>
      <c r="N74" s="135"/>
      <c r="O74" s="111"/>
      <c r="P74" s="111"/>
      <c r="Q74" s="111"/>
      <c r="R74" s="111"/>
      <c r="S74" s="97" t="str">
        <f t="shared" si="48"/>
        <v/>
      </c>
      <c r="T74" s="106" t="str">
        <f>IFERROR(IF(S74=0,"",ROUND((S74/SUM(SETTINGS!$L$14:$L$17))*SETTINGS!$L$18,0)),"")</f>
        <v/>
      </c>
      <c r="U74" s="105"/>
      <c r="V74" s="106" t="str">
        <f>IFERROR(IF(ISBLANK(U74),"",ROUND((U74/SETTINGS!$L$19)*SETTINGS!$L$20,0)),"")</f>
        <v/>
      </c>
      <c r="W74" s="106" t="str">
        <f t="shared" si="49"/>
        <v/>
      </c>
      <c r="X74" s="103" t="str">
        <f t="shared" si="50"/>
        <v/>
      </c>
      <c r="Y74" s="107" t="str">
        <f t="shared" si="51"/>
        <v/>
      </c>
      <c r="Z74" s="135"/>
      <c r="AA74" s="111"/>
      <c r="AB74" s="111"/>
      <c r="AC74" s="111"/>
      <c r="AD74" s="111"/>
      <c r="AE74" s="97" t="str">
        <f t="shared" si="52"/>
        <v/>
      </c>
      <c r="AF74" s="106" t="str">
        <f>IFERROR(IF(AE74=0,"",ROUND((AE74/SUM(SETTINGS!$L$14:$L$17))*SETTINGS!$L$18,0)),"")</f>
        <v/>
      </c>
      <c r="AG74" s="105"/>
      <c r="AH74" s="106" t="str">
        <f>IFERROR(IF(ISBLANK(AG74),"",ROUND((AG74/SETTINGS!$L$19)*SETTINGS!$L$20,0)),"")</f>
        <v/>
      </c>
      <c r="AI74" s="106" t="str">
        <f t="shared" si="53"/>
        <v/>
      </c>
      <c r="AJ74" s="103" t="str">
        <f t="shared" si="54"/>
        <v/>
      </c>
      <c r="AK74" s="108" t="str">
        <f t="shared" si="55"/>
        <v/>
      </c>
      <c r="AL74" s="135"/>
      <c r="AM74" s="111"/>
      <c r="AN74" s="111"/>
      <c r="AO74" s="111"/>
      <c r="AP74" s="111"/>
      <c r="AQ74" s="97" t="str">
        <f t="shared" si="56"/>
        <v/>
      </c>
      <c r="AR74" s="106" t="str">
        <f>IFERROR(IF(AQ74=0,"",ROUND((AQ74/SUM(SETTINGS!$L$14:$L$17))*SETTINGS!$L$18,0)),"")</f>
        <v/>
      </c>
      <c r="AS74" s="105"/>
      <c r="AT74" s="106" t="str">
        <f>IFERROR(IF(ISBLANK(AS74),"",ROUND((AS74/SETTINGS!$L$19)*SETTINGS!$L$20,0)),"")</f>
        <v/>
      </c>
      <c r="AU74" s="106" t="str">
        <f t="shared" si="57"/>
        <v/>
      </c>
      <c r="AV74" s="103" t="str">
        <f t="shared" si="58"/>
        <v/>
      </c>
      <c r="AW74" s="107" t="str">
        <f t="shared" si="59"/>
        <v/>
      </c>
      <c r="AX74" s="130"/>
      <c r="AY74" s="111"/>
      <c r="AZ74" s="111"/>
      <c r="BA74" s="111"/>
      <c r="BB74" s="111"/>
      <c r="BC74" s="97" t="str">
        <f t="shared" si="60"/>
        <v/>
      </c>
      <c r="BD74" s="106" t="str">
        <f>IFERROR(IF(BC74=0,"",ROUND((BC74/SUM(SETTINGS!$L$14:$L$17))*SETTINGS!$L$18,0)),"")</f>
        <v/>
      </c>
      <c r="BE74" s="105"/>
      <c r="BF74" s="106" t="str">
        <f>IFERROR(IF(ISBLANK(BE74),"",ROUND((BE74/SETTINGS!$L$19)*SETTINGS!$L$20,0)),"")</f>
        <v/>
      </c>
      <c r="BG74" s="106" t="str">
        <f t="shared" si="61"/>
        <v/>
      </c>
      <c r="BH74" s="103" t="str">
        <f t="shared" si="62"/>
        <v/>
      </c>
      <c r="BI74" s="108" t="str">
        <f t="shared" si="63"/>
        <v/>
      </c>
      <c r="BJ74" s="130"/>
      <c r="BK74" s="111"/>
      <c r="BL74" s="111"/>
      <c r="BM74" s="111"/>
      <c r="BN74" s="111"/>
      <c r="BO74" s="97" t="str">
        <f t="shared" si="64"/>
        <v/>
      </c>
      <c r="BP74" s="106" t="str">
        <f>IFERROR(IF(BO74=0,"",ROUND((BO74/SUM(SETTINGS!$L$14:$L$17))*SETTINGS!$L$18,0)),"")</f>
        <v/>
      </c>
      <c r="BQ74" s="105"/>
      <c r="BR74" s="106" t="str">
        <f>IFERROR(IF(ISBLANK(BQ74),"",ROUND((BQ74/SETTINGS!$L$19)*SETTINGS!$L$20,0)),"")</f>
        <v/>
      </c>
      <c r="BS74" s="106" t="str">
        <f t="shared" si="65"/>
        <v/>
      </c>
      <c r="BT74" s="103" t="str">
        <f t="shared" si="66"/>
        <v/>
      </c>
      <c r="BU74" s="107" t="str">
        <f t="shared" si="67"/>
        <v/>
      </c>
      <c r="BV74" s="130"/>
      <c r="BW74" s="111"/>
      <c r="BX74" s="111"/>
      <c r="BY74" s="111"/>
      <c r="BZ74" s="111"/>
      <c r="CA74" s="97" t="str">
        <f t="shared" si="68"/>
        <v/>
      </c>
      <c r="CB74" s="106" t="str">
        <f>IFERROR(IF(CA74=0,"",ROUND((CA74/SUM(SETTINGS!$L$14:$L$17))*SETTINGS!$L$18,0)),"")</f>
        <v/>
      </c>
      <c r="CC74" s="105"/>
      <c r="CD74" s="106" t="str">
        <f>IFERROR(IF(ISBLANK(CC74),"",ROUND((CC74/SETTINGS!$L$19)*SETTINGS!$L$20,0)),"")</f>
        <v/>
      </c>
      <c r="CE74" s="106" t="str">
        <f t="shared" si="69"/>
        <v/>
      </c>
      <c r="CF74" s="103" t="str">
        <f t="shared" si="70"/>
        <v/>
      </c>
      <c r="CG74" s="107" t="str">
        <f t="shared" si="71"/>
        <v/>
      </c>
      <c r="CH74" s="130"/>
      <c r="CI74" s="111"/>
      <c r="CJ74" s="111"/>
      <c r="CK74" s="111"/>
      <c r="CL74" s="111"/>
      <c r="CM74" s="97" t="str">
        <f t="shared" si="72"/>
        <v/>
      </c>
      <c r="CN74" s="106" t="str">
        <f>IFERROR(IF(CM74=0,"",ROUND((CM74/SUM(SETTINGS!$L$14:$L$17))*SETTINGS!$L$18,0)),"")</f>
        <v/>
      </c>
      <c r="CO74" s="105"/>
      <c r="CP74" s="106" t="str">
        <f>IFERROR(IF(ISBLANK(CO74),"",ROUND((CO74/SETTINGS!$L$19)*SETTINGS!$L$20,0)),"")</f>
        <v/>
      </c>
      <c r="CQ74" s="106" t="str">
        <f t="shared" si="73"/>
        <v/>
      </c>
      <c r="CR74" s="103" t="str">
        <f t="shared" si="74"/>
        <v/>
      </c>
      <c r="CS74" s="107" t="str">
        <f t="shared" si="75"/>
        <v/>
      </c>
      <c r="CT74" s="130"/>
      <c r="CU74" s="111"/>
      <c r="CV74" s="111"/>
      <c r="CW74" s="111"/>
      <c r="CX74" s="111"/>
      <c r="CY74" s="97" t="str">
        <f t="shared" si="76"/>
        <v/>
      </c>
      <c r="CZ74" s="106" t="str">
        <f>IFERROR(IF(CY74=0,"",ROUND((CY74/SUM(SETTINGS!$L$14:$L$17))*SETTINGS!$L$18,0)),"")</f>
        <v/>
      </c>
      <c r="DA74" s="105"/>
      <c r="DB74" s="106" t="str">
        <f>IFERROR(IF(ISBLANK(DA74),"",ROUND((DA74/SETTINGS!$L$19)*SETTINGS!$L$20,0)),"")</f>
        <v/>
      </c>
      <c r="DC74" s="106" t="str">
        <f t="shared" si="77"/>
        <v/>
      </c>
      <c r="DD74" s="103" t="str">
        <f t="shared" si="78"/>
        <v/>
      </c>
      <c r="DE74" s="107" t="str">
        <f t="shared" si="79"/>
        <v/>
      </c>
      <c r="DF74" s="103" t="str">
        <f t="shared" si="80"/>
        <v/>
      </c>
      <c r="DG74" s="103" t="str">
        <f>IFERROR(IF(AND(K74,W74,AI74,AU74,BG74,BS74,CE74,CQ74,DC74)="","",SUM(K74,W74,AI74,AU74,LARGE((BG74,BS74,CE74,CQ74,DC74),{1,2}))),"")</f>
        <v/>
      </c>
      <c r="DH74" s="103" t="str">
        <f>IFERROR(IF(AND(M74,Y74,AK74,AW74,,BI74,BU74,CG74,CS74,DE74)="","",SUM(M74,Y74,AK74,AW74,SMALL((BI74,BU74,CG74,CS74,DE74),{1,2}))),"")</f>
        <v/>
      </c>
      <c r="DI74" s="109" t="str">
        <f>IFERROR(pos&amp;IF(AND(MOD(ABS(18),100)&gt;10,MOD(ABS(pos),100)&lt;14),"th", CHOOSE(MOD(ABS(pos),10)+1,"th","st","nd","rd","th","th","th","th","th","th")),"")</f>
        <v/>
      </c>
      <c r="DJ74" s="62">
        <f>ROWS($B$12:$B74)</f>
        <v>63</v>
      </c>
      <c r="DK74" s="62" t="str">
        <f>IF($B74=REPORT_CARD!$M$12,$DJ74,"")</f>
        <v/>
      </c>
      <c r="DM74" s="65" t="str">
        <f t="shared" si="81"/>
        <v/>
      </c>
    </row>
    <row r="75" spans="1:117" ht="19.5" customHeight="1">
      <c r="A75" s="140" t="str">
        <f>IFERROR(IF(ISBLANK(#REF!),"",#REF!),"")</f>
        <v/>
      </c>
      <c r="B75" s="140" t="str">
        <f>IFERROR(IF(ISBLANK(#REF!),"",#REF!),"")</f>
        <v/>
      </c>
      <c r="C75" s="111"/>
      <c r="D75" s="111"/>
      <c r="E75" s="111"/>
      <c r="F75" s="111"/>
      <c r="G75" s="97" t="str">
        <f t="shared" si="44"/>
        <v/>
      </c>
      <c r="H75" s="106" t="str">
        <f>IFERROR(IF(G75=0,"",ROUND((G75/SUM(SETTINGS!$L$14:$L$17))*SETTINGS!$L$18,0)),"")</f>
        <v/>
      </c>
      <c r="I75" s="105"/>
      <c r="J75" s="106" t="str">
        <f>IFERROR(IF(ISBLANK(I75),"",ROUND((I75/SETTINGS!$L$19)*SETTINGS!$L$20,0)),"")</f>
        <v/>
      </c>
      <c r="K75" s="106" t="str">
        <f t="shared" si="45"/>
        <v/>
      </c>
      <c r="L75" s="103" t="str">
        <f t="shared" si="46"/>
        <v/>
      </c>
      <c r="M75" s="107" t="str">
        <f t="shared" si="47"/>
        <v/>
      </c>
      <c r="N75" s="135"/>
      <c r="O75" s="111"/>
      <c r="P75" s="111"/>
      <c r="Q75" s="111"/>
      <c r="R75" s="111"/>
      <c r="S75" s="97" t="str">
        <f t="shared" si="48"/>
        <v/>
      </c>
      <c r="T75" s="106" t="str">
        <f>IFERROR(IF(S75=0,"",ROUND((S75/SUM(SETTINGS!$L$14:$L$17))*SETTINGS!$L$18,0)),"")</f>
        <v/>
      </c>
      <c r="U75" s="105"/>
      <c r="V75" s="106" t="str">
        <f>IFERROR(IF(ISBLANK(U75),"",ROUND((U75/SETTINGS!$L$19)*SETTINGS!$L$20,0)),"")</f>
        <v/>
      </c>
      <c r="W75" s="106" t="str">
        <f t="shared" si="49"/>
        <v/>
      </c>
      <c r="X75" s="103" t="str">
        <f t="shared" si="50"/>
        <v/>
      </c>
      <c r="Y75" s="107" t="str">
        <f t="shared" si="51"/>
        <v/>
      </c>
      <c r="Z75" s="135"/>
      <c r="AA75" s="111"/>
      <c r="AB75" s="111"/>
      <c r="AC75" s="111"/>
      <c r="AD75" s="111"/>
      <c r="AE75" s="97" t="str">
        <f t="shared" si="52"/>
        <v/>
      </c>
      <c r="AF75" s="106" t="str">
        <f>IFERROR(IF(AE75=0,"",ROUND((AE75/SUM(SETTINGS!$L$14:$L$17))*SETTINGS!$L$18,0)),"")</f>
        <v/>
      </c>
      <c r="AG75" s="105"/>
      <c r="AH75" s="106" t="str">
        <f>IFERROR(IF(ISBLANK(AG75),"",ROUND((AG75/SETTINGS!$L$19)*SETTINGS!$L$20,0)),"")</f>
        <v/>
      </c>
      <c r="AI75" s="106" t="str">
        <f t="shared" si="53"/>
        <v/>
      </c>
      <c r="AJ75" s="103" t="str">
        <f t="shared" si="54"/>
        <v/>
      </c>
      <c r="AK75" s="108" t="str">
        <f t="shared" si="55"/>
        <v/>
      </c>
      <c r="AL75" s="135"/>
      <c r="AM75" s="111"/>
      <c r="AN75" s="111"/>
      <c r="AO75" s="111"/>
      <c r="AP75" s="111"/>
      <c r="AQ75" s="97" t="str">
        <f t="shared" si="56"/>
        <v/>
      </c>
      <c r="AR75" s="106" t="str">
        <f>IFERROR(IF(AQ75=0,"",ROUND((AQ75/SUM(SETTINGS!$L$14:$L$17))*SETTINGS!$L$18,0)),"")</f>
        <v/>
      </c>
      <c r="AS75" s="105"/>
      <c r="AT75" s="106" t="str">
        <f>IFERROR(IF(ISBLANK(AS75),"",ROUND((AS75/SETTINGS!$L$19)*SETTINGS!$L$20,0)),"")</f>
        <v/>
      </c>
      <c r="AU75" s="106" t="str">
        <f t="shared" si="57"/>
        <v/>
      </c>
      <c r="AV75" s="103" t="str">
        <f t="shared" si="58"/>
        <v/>
      </c>
      <c r="AW75" s="107" t="str">
        <f t="shared" si="59"/>
        <v/>
      </c>
      <c r="AX75" s="130"/>
      <c r="AY75" s="111"/>
      <c r="AZ75" s="111"/>
      <c r="BA75" s="111"/>
      <c r="BB75" s="111"/>
      <c r="BC75" s="97" t="str">
        <f t="shared" si="60"/>
        <v/>
      </c>
      <c r="BD75" s="106" t="str">
        <f>IFERROR(IF(BC75=0,"",ROUND((BC75/SUM(SETTINGS!$L$14:$L$17))*SETTINGS!$L$18,0)),"")</f>
        <v/>
      </c>
      <c r="BE75" s="105"/>
      <c r="BF75" s="106" t="str">
        <f>IFERROR(IF(ISBLANK(BE75),"",ROUND((BE75/SETTINGS!$L$19)*SETTINGS!$L$20,0)),"")</f>
        <v/>
      </c>
      <c r="BG75" s="106" t="str">
        <f t="shared" si="61"/>
        <v/>
      </c>
      <c r="BH75" s="103" t="str">
        <f t="shared" si="62"/>
        <v/>
      </c>
      <c r="BI75" s="108" t="str">
        <f t="shared" si="63"/>
        <v/>
      </c>
      <c r="BJ75" s="130"/>
      <c r="BK75" s="111"/>
      <c r="BL75" s="111"/>
      <c r="BM75" s="111"/>
      <c r="BN75" s="111"/>
      <c r="BO75" s="97" t="str">
        <f t="shared" si="64"/>
        <v/>
      </c>
      <c r="BP75" s="106" t="str">
        <f>IFERROR(IF(BO75=0,"",ROUND((BO75/SUM(SETTINGS!$L$14:$L$17))*SETTINGS!$L$18,0)),"")</f>
        <v/>
      </c>
      <c r="BQ75" s="105"/>
      <c r="BR75" s="106" t="str">
        <f>IFERROR(IF(ISBLANK(BQ75),"",ROUND((BQ75/SETTINGS!$L$19)*SETTINGS!$L$20,0)),"")</f>
        <v/>
      </c>
      <c r="BS75" s="106" t="str">
        <f t="shared" si="65"/>
        <v/>
      </c>
      <c r="BT75" s="103" t="str">
        <f t="shared" si="66"/>
        <v/>
      </c>
      <c r="BU75" s="107" t="str">
        <f t="shared" si="67"/>
        <v/>
      </c>
      <c r="BV75" s="130"/>
      <c r="BW75" s="111"/>
      <c r="BX75" s="111"/>
      <c r="BY75" s="111"/>
      <c r="BZ75" s="111"/>
      <c r="CA75" s="97" t="str">
        <f t="shared" si="68"/>
        <v/>
      </c>
      <c r="CB75" s="106" t="str">
        <f>IFERROR(IF(CA75=0,"",ROUND((CA75/SUM(SETTINGS!$L$14:$L$17))*SETTINGS!$L$18,0)),"")</f>
        <v/>
      </c>
      <c r="CC75" s="105"/>
      <c r="CD75" s="106" t="str">
        <f>IFERROR(IF(ISBLANK(CC75),"",ROUND((CC75/SETTINGS!$L$19)*SETTINGS!$L$20,0)),"")</f>
        <v/>
      </c>
      <c r="CE75" s="106" t="str">
        <f t="shared" si="69"/>
        <v/>
      </c>
      <c r="CF75" s="103" t="str">
        <f t="shared" si="70"/>
        <v/>
      </c>
      <c r="CG75" s="107" t="str">
        <f t="shared" si="71"/>
        <v/>
      </c>
      <c r="CH75" s="130"/>
      <c r="CI75" s="111"/>
      <c r="CJ75" s="111"/>
      <c r="CK75" s="111"/>
      <c r="CL75" s="111"/>
      <c r="CM75" s="97" t="str">
        <f t="shared" si="72"/>
        <v/>
      </c>
      <c r="CN75" s="106" t="str">
        <f>IFERROR(IF(CM75=0,"",ROUND((CM75/SUM(SETTINGS!$L$14:$L$17))*SETTINGS!$L$18,0)),"")</f>
        <v/>
      </c>
      <c r="CO75" s="105"/>
      <c r="CP75" s="106" t="str">
        <f>IFERROR(IF(ISBLANK(CO75),"",ROUND((CO75/SETTINGS!$L$19)*SETTINGS!$L$20,0)),"")</f>
        <v/>
      </c>
      <c r="CQ75" s="106" t="str">
        <f t="shared" si="73"/>
        <v/>
      </c>
      <c r="CR75" s="103" t="str">
        <f t="shared" si="74"/>
        <v/>
      </c>
      <c r="CS75" s="107" t="str">
        <f t="shared" si="75"/>
        <v/>
      </c>
      <c r="CT75" s="130"/>
      <c r="CU75" s="111"/>
      <c r="CV75" s="111"/>
      <c r="CW75" s="111"/>
      <c r="CX75" s="111"/>
      <c r="CY75" s="97" t="str">
        <f t="shared" si="76"/>
        <v/>
      </c>
      <c r="CZ75" s="106" t="str">
        <f>IFERROR(IF(CY75=0,"",ROUND((CY75/SUM(SETTINGS!$L$14:$L$17))*SETTINGS!$L$18,0)),"")</f>
        <v/>
      </c>
      <c r="DA75" s="105"/>
      <c r="DB75" s="106" t="str">
        <f>IFERROR(IF(ISBLANK(DA75),"",ROUND((DA75/SETTINGS!$L$19)*SETTINGS!$L$20,0)),"")</f>
        <v/>
      </c>
      <c r="DC75" s="106" t="str">
        <f t="shared" si="77"/>
        <v/>
      </c>
      <c r="DD75" s="103" t="str">
        <f t="shared" si="78"/>
        <v/>
      </c>
      <c r="DE75" s="107" t="str">
        <f t="shared" si="79"/>
        <v/>
      </c>
      <c r="DF75" s="103" t="str">
        <f t="shared" si="80"/>
        <v/>
      </c>
      <c r="DG75" s="103" t="str">
        <f>IFERROR(IF(AND(K75,W75,AI75,AU75,BG75,BS75,CE75,CQ75,DC75)="","",SUM(K75,W75,AI75,AU75,LARGE((BG75,BS75,CE75,CQ75,DC75),{1,2}))),"")</f>
        <v/>
      </c>
      <c r="DH75" s="103" t="str">
        <f>IFERROR(IF(AND(M75,Y75,AK75,AW75,,BI75,BU75,CG75,CS75,DE75)="","",SUM(M75,Y75,AK75,AW75,SMALL((BI75,BU75,CG75,CS75,DE75),{1,2}))),"")</f>
        <v/>
      </c>
      <c r="DI75" s="109" t="str">
        <f>IFERROR(pos&amp;IF(AND(MOD(ABS(18),100)&gt;10,MOD(ABS(pos),100)&lt;14),"th", CHOOSE(MOD(ABS(pos),10)+1,"th","st","nd","rd","th","th","th","th","th","th")),"")</f>
        <v/>
      </c>
      <c r="DJ75" s="62">
        <f>ROWS($B$12:$B75)</f>
        <v>64</v>
      </c>
      <c r="DK75" s="62" t="str">
        <f>IF($B75=REPORT_CARD!$M$12,$DJ75,"")</f>
        <v/>
      </c>
      <c r="DM75" s="65" t="str">
        <f t="shared" si="81"/>
        <v/>
      </c>
    </row>
    <row r="76" spans="1:117" ht="19.5" customHeight="1" thickBot="1">
      <c r="A76" s="140" t="str">
        <f>IFERROR(IF(ISBLANK(#REF!),"",#REF!),"")</f>
        <v/>
      </c>
      <c r="B76" s="140" t="str">
        <f>IFERROR(IF(ISBLANK(#REF!),"",#REF!),"")</f>
        <v/>
      </c>
      <c r="C76" s="112"/>
      <c r="D76" s="112"/>
      <c r="E76" s="112"/>
      <c r="F76" s="112"/>
      <c r="G76" s="113" t="str">
        <f t="shared" ref="G76" si="82">IFERROR(IF(AND(C76:F76)="","",SUM(C76:F76)),"")</f>
        <v/>
      </c>
      <c r="H76" s="106" t="str">
        <f>IFERROR(IF(G76=0,"",ROUND((G76/SUM(SETTINGS!$L$14:$L$17))*SETTINGS!$L$18,0)),"")</f>
        <v/>
      </c>
      <c r="I76" s="115"/>
      <c r="J76" s="106" t="str">
        <f>IFERROR(IF(ISBLANK(I76),"",ROUND((I76/SETTINGS!$L$19)*SETTINGS!$L$20,0)),"")</f>
        <v/>
      </c>
      <c r="K76" s="114" t="str">
        <f t="shared" ref="K76" si="83">IFERROR(IF(AND(H76,J76)="","",SUM(H76,J76)),"")</f>
        <v/>
      </c>
      <c r="L76" s="116" t="str">
        <f t="shared" ref="L76" si="84">IFERROR(IF(K76="","",RANK(K76,K$12:K$76)),"")</f>
        <v/>
      </c>
      <c r="M76" s="117" t="str">
        <f t="shared" si="47"/>
        <v/>
      </c>
      <c r="N76" s="135"/>
      <c r="O76" s="112"/>
      <c r="P76" s="112"/>
      <c r="Q76" s="112"/>
      <c r="R76" s="112"/>
      <c r="S76" s="113" t="str">
        <f t="shared" ref="S76" si="85">IFERROR(IF(AND(O76:R76)="","",SUM(O76:R76)),"")</f>
        <v/>
      </c>
      <c r="T76" s="106" t="str">
        <f>IFERROR(IF(S76=0,"",ROUND((S76/SUM(SETTINGS!$L$14:$L$17))*SETTINGS!$L$18,0)),"")</f>
        <v/>
      </c>
      <c r="U76" s="115"/>
      <c r="V76" s="106" t="str">
        <f>IFERROR(IF(ISBLANK(U76),"",ROUND((U76/SETTINGS!$L$19)*SETTINGS!$L$20,0)),"")</f>
        <v/>
      </c>
      <c r="W76" s="114" t="str">
        <f t="shared" ref="W76" si="86">IFERROR(IF(AND(T76,V76)="","",SUM(T76,V76)),"")</f>
        <v/>
      </c>
      <c r="X76" s="116" t="str">
        <f t="shared" ref="X76" si="87">IFERROR(IF(W76="","",RANK(W76,W$12:W$76)),"")</f>
        <v/>
      </c>
      <c r="Y76" s="117" t="str">
        <f t="shared" si="51"/>
        <v/>
      </c>
      <c r="Z76" s="135"/>
      <c r="AA76" s="112"/>
      <c r="AB76" s="112"/>
      <c r="AC76" s="112"/>
      <c r="AD76" s="112"/>
      <c r="AE76" s="113" t="str">
        <f t="shared" ref="AE76" si="88">IFERROR(IF(AND(AA76:AD76)="","",SUM(AA76:AD76)),"")</f>
        <v/>
      </c>
      <c r="AF76" s="106" t="str">
        <f>IFERROR(IF(AE76=0,"",ROUND((AE76/SUM(SETTINGS!$L$14:$L$17))*SETTINGS!$L$18,0)),"")</f>
        <v/>
      </c>
      <c r="AG76" s="115"/>
      <c r="AH76" s="106" t="str">
        <f>IFERROR(IF(ISBLANK(AG76),"",ROUND((AG76/SETTINGS!$L$19)*SETTINGS!$L$20,0)),"")</f>
        <v/>
      </c>
      <c r="AI76" s="114" t="str">
        <f t="shared" ref="AI76" si="89">IFERROR(IF(AND(AF76,AH76)="","",SUM(AF76,AH76)),"")</f>
        <v/>
      </c>
      <c r="AJ76" s="116" t="str">
        <f t="shared" ref="AJ76" si="90">IFERROR(IF(AI76="","",RANK(AI76,AI$12:AI$76)),"")</f>
        <v/>
      </c>
      <c r="AK76" s="118" t="str">
        <f t="shared" si="55"/>
        <v/>
      </c>
      <c r="AL76" s="135"/>
      <c r="AM76" s="112"/>
      <c r="AN76" s="112"/>
      <c r="AO76" s="112"/>
      <c r="AP76" s="112"/>
      <c r="AQ76" s="113" t="str">
        <f t="shared" ref="AQ76" si="91">IFERROR(IF(AND(AM76:AP76)="","",SUM(AM76:AP76)),"")</f>
        <v/>
      </c>
      <c r="AR76" s="106" t="str">
        <f>IFERROR(IF(AQ76=0,"",ROUND((AQ76/SUM(SETTINGS!$L$14:$L$17))*SETTINGS!$L$18,0)),"")</f>
        <v/>
      </c>
      <c r="AS76" s="115"/>
      <c r="AT76" s="106" t="str">
        <f>IFERROR(IF(ISBLANK(AS76),"",ROUND((AS76/SETTINGS!$L$19)*SETTINGS!$L$20,0)),"")</f>
        <v/>
      </c>
      <c r="AU76" s="114" t="str">
        <f t="shared" ref="AU76" si="92">IFERROR(IF(AND(AR76,AT76)="","",SUM(AR76,AT76)),"")</f>
        <v/>
      </c>
      <c r="AV76" s="116" t="str">
        <f t="shared" ref="AV76" si="93">IFERROR(IF(AU76="","",RANK(AU76,AU$12:AU$76)),"")</f>
        <v/>
      </c>
      <c r="AW76" s="117" t="str">
        <f t="shared" si="59"/>
        <v/>
      </c>
      <c r="AX76" s="130"/>
      <c r="AY76" s="112"/>
      <c r="AZ76" s="112"/>
      <c r="BA76" s="112"/>
      <c r="BB76" s="112"/>
      <c r="BC76" s="113" t="str">
        <f t="shared" ref="BC76" si="94">IFERROR(IF(AND(AY76:BB76)="","",SUM(AY76:BB76)),"")</f>
        <v/>
      </c>
      <c r="BD76" s="106" t="str">
        <f>IFERROR(IF(BC76=0,"",ROUND((BC76/SUM(SETTINGS!$L$14:$L$17))*SETTINGS!$L$18,0)),"")</f>
        <v/>
      </c>
      <c r="BE76" s="115"/>
      <c r="BF76" s="106" t="str">
        <f>IFERROR(IF(ISBLANK(BE76),"",ROUND((BE76/SETTINGS!$L$19)*SETTINGS!$L$20,0)),"")</f>
        <v/>
      </c>
      <c r="BG76" s="114" t="str">
        <f t="shared" ref="BG76" si="95">IFERROR(IF(AND(BD76,BF76)="","",SUM(BD76,BF76)),"")</f>
        <v/>
      </c>
      <c r="BH76" s="116" t="str">
        <f t="shared" ref="BH76" si="96">IFERROR(IF(BG76="","",RANK(BG76,BG$12:BG$76)),"")</f>
        <v/>
      </c>
      <c r="BI76" s="118" t="str">
        <f t="shared" si="63"/>
        <v/>
      </c>
      <c r="BJ76" s="130"/>
      <c r="BK76" s="112"/>
      <c r="BL76" s="112"/>
      <c r="BM76" s="112"/>
      <c r="BN76" s="112"/>
      <c r="BO76" s="113" t="str">
        <f t="shared" ref="BO76" si="97">IFERROR(IF(AND(BK76:BN76)="","",SUM(BK76:BN76)),"")</f>
        <v/>
      </c>
      <c r="BP76" s="106" t="str">
        <f>IFERROR(IF(BO76=0,"",ROUND((BO76/SUM(SETTINGS!$L$14:$L$17))*SETTINGS!$L$18,0)),"")</f>
        <v/>
      </c>
      <c r="BQ76" s="115"/>
      <c r="BR76" s="106" t="str">
        <f>IFERROR(IF(ISBLANK(BQ76),"",ROUND((BQ76/SETTINGS!$L$19)*SETTINGS!$L$20,0)),"")</f>
        <v/>
      </c>
      <c r="BS76" s="114" t="str">
        <f t="shared" ref="BS76" si="98">IFERROR(IF(AND(BP76,BR76)="","",SUM(BP76,BR76)),"")</f>
        <v/>
      </c>
      <c r="BT76" s="116" t="str">
        <f t="shared" ref="BT76" si="99">IFERROR(IF(BS76="","",RANK(BS76,BS$12:BS$76)),"")</f>
        <v/>
      </c>
      <c r="BU76" s="117" t="str">
        <f t="shared" si="67"/>
        <v/>
      </c>
      <c r="BV76" s="130"/>
      <c r="BW76" s="112"/>
      <c r="BX76" s="112"/>
      <c r="BY76" s="112"/>
      <c r="BZ76" s="112"/>
      <c r="CA76" s="113" t="str">
        <f t="shared" ref="CA76" si="100">IFERROR(IF(AND(BW76:BZ76)="","",SUM(BW76:BZ76)),"")</f>
        <v/>
      </c>
      <c r="CB76" s="106" t="str">
        <f>IFERROR(IF(CA76=0,"",ROUND((CA76/SUM(SETTINGS!$L$14:$L$17))*SETTINGS!$L$18,0)),"")</f>
        <v/>
      </c>
      <c r="CC76" s="115"/>
      <c r="CD76" s="106" t="str">
        <f>IFERROR(IF(ISBLANK(CC76),"",ROUND((CC76/SETTINGS!$L$19)*SETTINGS!$L$20,0)),"")</f>
        <v/>
      </c>
      <c r="CE76" s="114" t="str">
        <f t="shared" ref="CE76" si="101">IFERROR(IF(AND(CB76,CD76)="","",SUM(CB76,CD76)),"")</f>
        <v/>
      </c>
      <c r="CF76" s="116" t="str">
        <f t="shared" ref="CF76" si="102">IFERROR(IF(CE76="","",RANK(CE76,CE$12:CE$76)),"")</f>
        <v/>
      </c>
      <c r="CG76" s="117" t="str">
        <f t="shared" si="71"/>
        <v/>
      </c>
      <c r="CH76" s="130"/>
      <c r="CI76" s="112"/>
      <c r="CJ76" s="112"/>
      <c r="CK76" s="112"/>
      <c r="CL76" s="112"/>
      <c r="CM76" s="113" t="str">
        <f t="shared" ref="CM76" si="103">IFERROR(IF(AND(CI76:CL76)="","",SUM(CI76:CL76)),"")</f>
        <v/>
      </c>
      <c r="CN76" s="106" t="str">
        <f>IFERROR(IF(CM76=0,"",ROUND((CM76/SUM(SETTINGS!$L$14:$L$17))*SETTINGS!$L$18,0)),"")</f>
        <v/>
      </c>
      <c r="CO76" s="115"/>
      <c r="CP76" s="106" t="str">
        <f>IFERROR(IF(ISBLANK(CO76),"",ROUND((CO76/SETTINGS!$L$19)*SETTINGS!$L$20,0)),"")</f>
        <v/>
      </c>
      <c r="CQ76" s="114" t="str">
        <f t="shared" ref="CQ76" si="104">IFERROR(IF(AND(CN76,CP76)="","",SUM(CN76,CP76)),"")</f>
        <v/>
      </c>
      <c r="CR76" s="116" t="str">
        <f t="shared" ref="CR76" si="105">IFERROR(IF(CQ76="","",RANK(CQ76,CQ$12:CQ$76)),"")</f>
        <v/>
      </c>
      <c r="CS76" s="117" t="str">
        <f t="shared" si="75"/>
        <v/>
      </c>
      <c r="CT76" s="130"/>
      <c r="CU76" s="112"/>
      <c r="CV76" s="112"/>
      <c r="CW76" s="112"/>
      <c r="CX76" s="112"/>
      <c r="CY76" s="113" t="str">
        <f t="shared" ref="CY76" si="106">IFERROR(IF(AND(CU76:CX76)="","",SUM(CU76:CX76)),"")</f>
        <v/>
      </c>
      <c r="CZ76" s="106" t="str">
        <f>IFERROR(IF(CY76=0,"",ROUND((CY76/SUM(SETTINGS!$L$14:$L$17))*SETTINGS!$L$18,0)),"")</f>
        <v/>
      </c>
      <c r="DA76" s="115"/>
      <c r="DB76" s="106" t="str">
        <f>IFERROR(IF(ISBLANK(DA76),"",ROUND((DA76/SETTINGS!$L$19)*SETTINGS!$L$20,0)),"")</f>
        <v/>
      </c>
      <c r="DC76" s="114" t="str">
        <f t="shared" ref="DC76" si="107">IFERROR(IF(AND(CZ76,DB76)="","",SUM(CZ76,DB76)),"")</f>
        <v/>
      </c>
      <c r="DD76" s="116" t="str">
        <f t="shared" ref="DD76" si="108">IFERROR(IF(DC76="","",RANK(DC76,DC$12:DC$76)),"")</f>
        <v/>
      </c>
      <c r="DE76" s="117" t="str">
        <f t="shared" si="79"/>
        <v/>
      </c>
      <c r="DF76" s="116" t="str">
        <f t="shared" si="80"/>
        <v/>
      </c>
      <c r="DG76" s="103" t="str">
        <f>IFERROR(IF(AND(K76,W76,AI76,AU76,BG76,BS76,CE76,CQ76,DC76)="","",SUM(K76,W76,AI76,AU76,LARGE((BG76,BS76,CE76,CQ76,DC76),{1,2}))),"")</f>
        <v/>
      </c>
      <c r="DH76" s="103" t="str">
        <f>IFERROR(IF(AND(M76,Y76,AK76,AW76,,BI76,BU76,CG76,CS76,DE76)="","",SUM(M76,Y76,AK76,AW76,SMALL((BI76,BU76,CG76,CS76,DE76),{1,2}))),"")</f>
        <v/>
      </c>
      <c r="DI76" s="119" t="str">
        <f>IFERROR(pos&amp;IF(AND(MOD(ABS(18),100)&gt;10,MOD(ABS(pos),100)&lt;14),"th", CHOOSE(MOD(ABS(pos),10)+1,"th","st","nd","rd","th","th","th","th","th","th")),"")</f>
        <v/>
      </c>
      <c r="DJ76" s="62">
        <f>ROWS($B$12:$B76)</f>
        <v>65</v>
      </c>
      <c r="DK76" s="62" t="str">
        <f>IF($B76=REPORT_CARD!$M$12,$DJ76,"")</f>
        <v/>
      </c>
      <c r="DM76" s="65" t="str">
        <f t="shared" si="81"/>
        <v/>
      </c>
    </row>
    <row r="77" spans="1:117" ht="19.5" customHeight="1" thickBot="1">
      <c r="A77" s="66"/>
      <c r="B77" s="120" t="s">
        <v>50</v>
      </c>
      <c r="C77" s="66">
        <f>IFERROR(IF(OR(C12:C76)="","",SUM(C12:C76)),"")</f>
        <v>735</v>
      </c>
      <c r="D77" s="66">
        <f t="shared" ref="D77:K77" si="109">IFERROR(IF(OR(D12:D76)="","",SUM(D12:D76)),"")</f>
        <v>729</v>
      </c>
      <c r="E77" s="66">
        <f t="shared" si="109"/>
        <v>691</v>
      </c>
      <c r="F77" s="66">
        <f t="shared" si="109"/>
        <v>601</v>
      </c>
      <c r="G77" s="66">
        <f>IFERROR(IF(OR(G12:G76)="","",SUM(G12:G76)),"")</f>
        <v>2756</v>
      </c>
      <c r="H77" s="66" t="str">
        <f t="shared" ref="H77:J77" si="110">IFERROR(IF(OR(H12:H76)="","",SUM(H12:H76)),"")</f>
        <v/>
      </c>
      <c r="I77" s="66">
        <f t="shared" si="110"/>
        <v>2307</v>
      </c>
      <c r="J77" s="66" t="str">
        <f t="shared" si="110"/>
        <v/>
      </c>
      <c r="K77" s="66" t="str">
        <f t="shared" si="109"/>
        <v/>
      </c>
      <c r="L77" s="66"/>
      <c r="M77" s="66"/>
      <c r="N77" s="128"/>
      <c r="O77" s="66">
        <f>IFERROR(IF(OR(O12:O76)="","",SUM(O12:O76)),"")</f>
        <v>427</v>
      </c>
      <c r="P77" s="66">
        <f t="shared" ref="P77:W77" si="111">IFERROR(IF(OR(P12:P76)="","",SUM(P12:P76)),"")</f>
        <v>717</v>
      </c>
      <c r="Q77" s="66">
        <f t="shared" si="111"/>
        <v>461</v>
      </c>
      <c r="R77" s="66">
        <f t="shared" si="111"/>
        <v>611</v>
      </c>
      <c r="S77" s="66">
        <f t="shared" si="111"/>
        <v>2216</v>
      </c>
      <c r="T77" s="66" t="str">
        <f t="shared" si="111"/>
        <v/>
      </c>
      <c r="U77" s="66">
        <f t="shared" si="111"/>
        <v>2234</v>
      </c>
      <c r="V77" s="66" t="str">
        <f t="shared" si="111"/>
        <v/>
      </c>
      <c r="W77" s="66" t="str">
        <f t="shared" si="111"/>
        <v/>
      </c>
      <c r="X77" s="66"/>
      <c r="Y77" s="66"/>
      <c r="Z77" s="128"/>
      <c r="AA77" s="66">
        <f>IFERROR(IF(OR(AA12:AA76)="","",SUM(AA12:AA76)),"")</f>
        <v>567</v>
      </c>
      <c r="AB77" s="66">
        <f t="shared" ref="AB77:AI77" si="112">IFERROR(IF(OR(AB12:AB76)="","",SUM(AB12:AB76)),"")</f>
        <v>600</v>
      </c>
      <c r="AC77" s="66">
        <f t="shared" si="112"/>
        <v>582</v>
      </c>
      <c r="AD77" s="66">
        <f t="shared" si="112"/>
        <v>662</v>
      </c>
      <c r="AE77" s="66">
        <f t="shared" si="112"/>
        <v>2411</v>
      </c>
      <c r="AF77" s="66" t="str">
        <f t="shared" si="112"/>
        <v/>
      </c>
      <c r="AG77" s="66">
        <f t="shared" si="112"/>
        <v>2763</v>
      </c>
      <c r="AH77" s="66" t="str">
        <f t="shared" si="112"/>
        <v/>
      </c>
      <c r="AI77" s="66" t="str">
        <f t="shared" si="112"/>
        <v/>
      </c>
      <c r="AJ77" s="66"/>
      <c r="AK77" s="66"/>
      <c r="AL77" s="128"/>
      <c r="AM77" s="66">
        <f>IFERROR(IF(OR(AM12:AM76)="","",SUM(AM12:AM76)),"")</f>
        <v>543</v>
      </c>
      <c r="AN77" s="66">
        <f t="shared" ref="AN77:AU77" si="113">IFERROR(IF(OR(AN12:AN76)="","",SUM(AN12:AN76)),"")</f>
        <v>542</v>
      </c>
      <c r="AO77" s="66">
        <f t="shared" si="113"/>
        <v>567</v>
      </c>
      <c r="AP77" s="66">
        <f t="shared" si="113"/>
        <v>837</v>
      </c>
      <c r="AQ77" s="66">
        <f t="shared" si="113"/>
        <v>2489</v>
      </c>
      <c r="AR77" s="66" t="str">
        <f t="shared" si="113"/>
        <v/>
      </c>
      <c r="AS77" s="66">
        <f t="shared" si="113"/>
        <v>2068</v>
      </c>
      <c r="AT77" s="66" t="str">
        <f t="shared" si="113"/>
        <v/>
      </c>
      <c r="AU77" s="66" t="str">
        <f t="shared" si="113"/>
        <v/>
      </c>
      <c r="AV77" s="66"/>
      <c r="AW77" s="66"/>
      <c r="AX77" s="125"/>
      <c r="AY77" s="66">
        <f>IFERROR(IF(OR(AY12:AY76)="","",SUM(AY12:AY76)),"")</f>
        <v>671</v>
      </c>
      <c r="AZ77" s="66">
        <f t="shared" ref="AZ77:BG77" si="114">IFERROR(IF(OR(AZ12:AZ76)="","",SUM(AZ12:AZ76)),"")</f>
        <v>612</v>
      </c>
      <c r="BA77" s="66">
        <f t="shared" si="114"/>
        <v>615</v>
      </c>
      <c r="BB77" s="66">
        <f t="shared" si="114"/>
        <v>633</v>
      </c>
      <c r="BC77" s="66">
        <f t="shared" si="114"/>
        <v>2531</v>
      </c>
      <c r="BD77" s="66" t="str">
        <f t="shared" si="114"/>
        <v/>
      </c>
      <c r="BE77" s="66">
        <f t="shared" si="114"/>
        <v>3219</v>
      </c>
      <c r="BF77" s="66" t="str">
        <f t="shared" si="114"/>
        <v/>
      </c>
      <c r="BG77" s="66" t="str">
        <f t="shared" si="114"/>
        <v/>
      </c>
      <c r="BH77" s="66"/>
      <c r="BI77" s="66"/>
      <c r="BJ77" s="125"/>
      <c r="BK77" s="66">
        <f>IFERROR(IF(OR(BK12:BK76)="","",SUM(BK12:BK76)),"")</f>
        <v>646</v>
      </c>
      <c r="BL77" s="66">
        <f t="shared" ref="BL77:BS77" si="115">IFERROR(IF(OR(BL12:BL76)="","",SUM(BL12:BL76)),"")</f>
        <v>496</v>
      </c>
      <c r="BM77" s="66">
        <f t="shared" si="115"/>
        <v>256</v>
      </c>
      <c r="BN77" s="66">
        <f t="shared" si="115"/>
        <v>847</v>
      </c>
      <c r="BO77" s="66">
        <f t="shared" si="115"/>
        <v>2245</v>
      </c>
      <c r="BP77" s="66" t="str">
        <f t="shared" si="115"/>
        <v/>
      </c>
      <c r="BQ77" s="66">
        <f t="shared" si="115"/>
        <v>2380</v>
      </c>
      <c r="BR77" s="66" t="str">
        <f t="shared" si="115"/>
        <v/>
      </c>
      <c r="BS77" s="66" t="str">
        <f t="shared" si="115"/>
        <v/>
      </c>
      <c r="BT77" s="66"/>
      <c r="BU77" s="66"/>
      <c r="BV77" s="125"/>
      <c r="BW77" s="66">
        <f>IFERROR(IF(OR(BW12:BW76)="","",SUM(BW12:BW76)),"")</f>
        <v>609</v>
      </c>
      <c r="BX77" s="66">
        <f t="shared" ref="BX77:CE77" si="116">IFERROR(IF(OR(BX12:BX76)="","",SUM(BX12:BX76)),"")</f>
        <v>559</v>
      </c>
      <c r="BY77" s="66">
        <f t="shared" si="116"/>
        <v>705</v>
      </c>
      <c r="BZ77" s="66">
        <f t="shared" si="116"/>
        <v>634</v>
      </c>
      <c r="CA77" s="66">
        <f t="shared" si="116"/>
        <v>2507</v>
      </c>
      <c r="CB77" s="66" t="str">
        <f t="shared" si="116"/>
        <v/>
      </c>
      <c r="CC77" s="66">
        <f t="shared" si="116"/>
        <v>2778</v>
      </c>
      <c r="CD77" s="66" t="str">
        <f t="shared" si="116"/>
        <v/>
      </c>
      <c r="CE77" s="66" t="str">
        <f t="shared" si="116"/>
        <v/>
      </c>
      <c r="CF77" s="66"/>
      <c r="CG77" s="66"/>
      <c r="CH77" s="125"/>
      <c r="CI77" s="66">
        <f>IFERROR(IF(OR(CI12:CI76)="","",SUM(CI12:CI76)),"")</f>
        <v>673</v>
      </c>
      <c r="CJ77" s="66">
        <f t="shared" ref="CJ77:CQ77" si="117">IFERROR(IF(OR(CJ12:CJ76)="","",SUM(CJ12:CJ76)),"")</f>
        <v>789</v>
      </c>
      <c r="CK77" s="66">
        <f t="shared" si="117"/>
        <v>593</v>
      </c>
      <c r="CL77" s="66">
        <f t="shared" si="117"/>
        <v>728</v>
      </c>
      <c r="CM77" s="66">
        <f t="shared" si="117"/>
        <v>2783</v>
      </c>
      <c r="CN77" s="66" t="str">
        <f t="shared" si="117"/>
        <v/>
      </c>
      <c r="CO77" s="66">
        <f t="shared" si="117"/>
        <v>1872</v>
      </c>
      <c r="CP77" s="66" t="str">
        <f t="shared" si="117"/>
        <v/>
      </c>
      <c r="CQ77" s="66" t="str">
        <f t="shared" si="117"/>
        <v/>
      </c>
      <c r="CR77" s="66"/>
      <c r="CS77" s="66"/>
      <c r="CT77" s="125"/>
      <c r="CU77" s="66">
        <f>IFERROR(IF(OR(CU12:CU76)="","",SUM(CU12:CU76)),"")</f>
        <v>603</v>
      </c>
      <c r="CV77" s="66">
        <f t="shared" ref="CV77:DC77" si="118">IFERROR(IF(OR(CV12:CV76)="","",SUM(CV12:CV76)),"")</f>
        <v>568</v>
      </c>
      <c r="CW77" s="66">
        <f t="shared" si="118"/>
        <v>552</v>
      </c>
      <c r="CX77" s="66">
        <f t="shared" si="118"/>
        <v>496</v>
      </c>
      <c r="CY77" s="66">
        <f t="shared" si="118"/>
        <v>2219</v>
      </c>
      <c r="CZ77" s="66" t="str">
        <f t="shared" si="118"/>
        <v/>
      </c>
      <c r="DA77" s="66">
        <f t="shared" si="118"/>
        <v>2149</v>
      </c>
      <c r="DB77" s="66" t="str">
        <f t="shared" si="118"/>
        <v/>
      </c>
      <c r="DC77" s="66" t="str">
        <f t="shared" si="118"/>
        <v/>
      </c>
      <c r="DD77" s="66"/>
      <c r="DE77" s="66"/>
      <c r="DF77" s="67"/>
      <c r="DG77" s="67"/>
      <c r="DH77" s="67"/>
      <c r="DI77" s="67"/>
      <c r="DM77" s="65"/>
    </row>
    <row r="78" spans="1:117" ht="19.5" customHeight="1" thickBot="1">
      <c r="A78" s="66"/>
      <c r="B78" s="120" t="s">
        <v>54</v>
      </c>
      <c r="C78" s="66">
        <f>IFERROR(IF(OR(C12:C76)="","",AVERAGE(C12:C76)),"")</f>
        <v>12.672413793103448</v>
      </c>
      <c r="D78" s="66">
        <f t="shared" ref="D78:K78" si="119">IFERROR(IF(OR(D12:D76)="","",AVERAGE(D12:D76)),"")</f>
        <v>12.568965517241379</v>
      </c>
      <c r="E78" s="66">
        <f t="shared" si="119"/>
        <v>11.913793103448276</v>
      </c>
      <c r="F78" s="66">
        <f t="shared" si="119"/>
        <v>10.362068965517242</v>
      </c>
      <c r="G78" s="66">
        <f>IFERROR(IF(OR(G12:G76)="","",AVERAGE(G12:G76)),"")</f>
        <v>47.517241379310342</v>
      </c>
      <c r="H78" s="66" t="str">
        <f t="shared" ref="H78:J78" si="120">IFERROR(IF(OR(H12:H76)="","",AVERAGE(H12:H76)),"")</f>
        <v/>
      </c>
      <c r="I78" s="66">
        <f t="shared" si="120"/>
        <v>39.775862068965516</v>
      </c>
      <c r="J78" s="66" t="str">
        <f t="shared" si="120"/>
        <v/>
      </c>
      <c r="K78" s="66" t="str">
        <f t="shared" si="119"/>
        <v/>
      </c>
      <c r="L78" s="66"/>
      <c r="M78" s="66"/>
      <c r="N78" s="128"/>
      <c r="O78" s="66">
        <f>IFERROR(IF(OR(O12:O76)="","",AVERAGE(O12:O76)),"")</f>
        <v>7.3620689655172411</v>
      </c>
      <c r="P78" s="66">
        <f t="shared" ref="P78:W78" si="121">IFERROR(IF(OR(P12:P76)="","",AVERAGE(P12:P76)),"")</f>
        <v>12.362068965517242</v>
      </c>
      <c r="Q78" s="66">
        <f t="shared" si="121"/>
        <v>7.9482758620689653</v>
      </c>
      <c r="R78" s="66">
        <f t="shared" si="121"/>
        <v>10.53448275862069</v>
      </c>
      <c r="S78" s="66">
        <f t="shared" si="121"/>
        <v>38.206896551724135</v>
      </c>
      <c r="T78" s="66" t="str">
        <f t="shared" si="121"/>
        <v/>
      </c>
      <c r="U78" s="66">
        <f t="shared" si="121"/>
        <v>38.517241379310342</v>
      </c>
      <c r="V78" s="66" t="str">
        <f t="shared" si="121"/>
        <v/>
      </c>
      <c r="W78" s="66" t="str">
        <f t="shared" si="121"/>
        <v/>
      </c>
      <c r="X78" s="66"/>
      <c r="Y78" s="66"/>
      <c r="Z78" s="128"/>
      <c r="AA78" s="66">
        <f>IFERROR(IF(OR(AA12:AA76)="","",AVERAGE(AA12:AA76)),"")</f>
        <v>9.7758620689655178</v>
      </c>
      <c r="AB78" s="66">
        <f t="shared" ref="AB78:AI78" si="122">IFERROR(IF(OR(AB12:AB76)="","",AVERAGE(AB12:AB76)),"")</f>
        <v>10.344827586206897</v>
      </c>
      <c r="AC78" s="66">
        <f t="shared" si="122"/>
        <v>10.03448275862069</v>
      </c>
      <c r="AD78" s="66">
        <f t="shared" si="122"/>
        <v>11.413793103448276</v>
      </c>
      <c r="AE78" s="66">
        <f t="shared" si="122"/>
        <v>41.568965517241381</v>
      </c>
      <c r="AF78" s="66" t="str">
        <f t="shared" si="122"/>
        <v/>
      </c>
      <c r="AG78" s="66">
        <f t="shared" si="122"/>
        <v>47.637931034482762</v>
      </c>
      <c r="AH78" s="66" t="str">
        <f t="shared" si="122"/>
        <v/>
      </c>
      <c r="AI78" s="66" t="str">
        <f t="shared" si="122"/>
        <v/>
      </c>
      <c r="AJ78" s="66"/>
      <c r="AK78" s="66"/>
      <c r="AL78" s="128"/>
      <c r="AM78" s="66">
        <f>IFERROR(IF(OR(AM12:AM76)="","",AVERAGE(AM12:AM76)),"")</f>
        <v>9.362068965517242</v>
      </c>
      <c r="AN78" s="66">
        <f t="shared" ref="AN78:AU78" si="123">IFERROR(IF(OR(AN12:AN76)="","",AVERAGE(AN12:AN76)),"")</f>
        <v>9.3448275862068968</v>
      </c>
      <c r="AO78" s="66">
        <f t="shared" si="123"/>
        <v>9.7758620689655178</v>
      </c>
      <c r="AP78" s="66">
        <f t="shared" si="123"/>
        <v>14.431034482758621</v>
      </c>
      <c r="AQ78" s="66">
        <f t="shared" si="123"/>
        <v>42.913793103448278</v>
      </c>
      <c r="AR78" s="66" t="str">
        <f t="shared" si="123"/>
        <v/>
      </c>
      <c r="AS78" s="66">
        <f t="shared" si="123"/>
        <v>35.655172413793103</v>
      </c>
      <c r="AT78" s="66" t="str">
        <f t="shared" si="123"/>
        <v/>
      </c>
      <c r="AU78" s="66" t="str">
        <f t="shared" si="123"/>
        <v/>
      </c>
      <c r="AV78" s="66"/>
      <c r="AW78" s="66"/>
      <c r="AX78" s="125"/>
      <c r="AY78" s="66">
        <f>IFERROR(IF(OR(AY12:AY76)="","",AVERAGE(AY12:AY76)),"")</f>
        <v>11.568965517241379</v>
      </c>
      <c r="AZ78" s="66">
        <f t="shared" ref="AZ78:BG78" si="124">IFERROR(IF(OR(AZ12:AZ76)="","",AVERAGE(AZ12:AZ76)),"")</f>
        <v>10.551724137931034</v>
      </c>
      <c r="BA78" s="66">
        <f t="shared" si="124"/>
        <v>10.603448275862069</v>
      </c>
      <c r="BB78" s="66">
        <f t="shared" si="124"/>
        <v>10.913793103448276</v>
      </c>
      <c r="BC78" s="66">
        <f t="shared" si="124"/>
        <v>43.637931034482762</v>
      </c>
      <c r="BD78" s="66" t="str">
        <f t="shared" si="124"/>
        <v/>
      </c>
      <c r="BE78" s="66">
        <f t="shared" si="124"/>
        <v>55.5</v>
      </c>
      <c r="BF78" s="66" t="str">
        <f t="shared" si="124"/>
        <v/>
      </c>
      <c r="BG78" s="66" t="str">
        <f t="shared" si="124"/>
        <v/>
      </c>
      <c r="BH78" s="66"/>
      <c r="BI78" s="66"/>
      <c r="BJ78" s="125"/>
      <c r="BK78" s="66">
        <f>IFERROR(IF(OR(BK12:BK76)="","",AVERAGE(BK12:BK76)),"")</f>
        <v>11.137931034482758</v>
      </c>
      <c r="BL78" s="66">
        <f t="shared" ref="BL78:BS78" si="125">IFERROR(IF(OR(BL12:BL76)="","",AVERAGE(BL12:BL76)),"")</f>
        <v>8.5517241379310338</v>
      </c>
      <c r="BM78" s="66">
        <f t="shared" si="125"/>
        <v>4.4137931034482758</v>
      </c>
      <c r="BN78" s="66">
        <f t="shared" si="125"/>
        <v>14.603448275862069</v>
      </c>
      <c r="BO78" s="66">
        <f t="shared" si="125"/>
        <v>38.706896551724135</v>
      </c>
      <c r="BP78" s="66" t="str">
        <f t="shared" si="125"/>
        <v/>
      </c>
      <c r="BQ78" s="66">
        <f t="shared" si="125"/>
        <v>41.03448275862069</v>
      </c>
      <c r="BR78" s="66" t="str">
        <f t="shared" si="125"/>
        <v/>
      </c>
      <c r="BS78" s="66" t="str">
        <f t="shared" si="125"/>
        <v/>
      </c>
      <c r="BT78" s="66"/>
      <c r="BU78" s="66"/>
      <c r="BV78" s="125"/>
      <c r="BW78" s="66">
        <f>IFERROR(IF(OR(BW12:BW76)="","",AVERAGE(BW12:BW76)),"")</f>
        <v>10.5</v>
      </c>
      <c r="BX78" s="66">
        <f t="shared" ref="BX78:CE78" si="126">IFERROR(IF(OR(BX12:BX76)="","",AVERAGE(BX12:BX76)),"")</f>
        <v>9.637931034482758</v>
      </c>
      <c r="BY78" s="66">
        <f t="shared" si="126"/>
        <v>12.155172413793103</v>
      </c>
      <c r="BZ78" s="66">
        <f t="shared" si="126"/>
        <v>10.931034482758621</v>
      </c>
      <c r="CA78" s="66">
        <f t="shared" si="126"/>
        <v>43.224137931034484</v>
      </c>
      <c r="CB78" s="66" t="str">
        <f t="shared" si="126"/>
        <v/>
      </c>
      <c r="CC78" s="66">
        <f t="shared" si="126"/>
        <v>47.896551724137929</v>
      </c>
      <c r="CD78" s="66" t="str">
        <f t="shared" si="126"/>
        <v/>
      </c>
      <c r="CE78" s="66" t="str">
        <f t="shared" si="126"/>
        <v/>
      </c>
      <c r="CF78" s="66"/>
      <c r="CG78" s="66"/>
      <c r="CH78" s="125"/>
      <c r="CI78" s="66">
        <f>IFERROR(IF(OR(CI12:CI76)="","",AVERAGE(CI12:CI76)),"")</f>
        <v>11.603448275862069</v>
      </c>
      <c r="CJ78" s="66">
        <f t="shared" ref="CJ78:CQ78" si="127">IFERROR(IF(OR(CJ12:CJ76)="","",AVERAGE(CJ12:CJ76)),"")</f>
        <v>13.603448275862069</v>
      </c>
      <c r="CK78" s="66">
        <f t="shared" si="127"/>
        <v>10.403508771929825</v>
      </c>
      <c r="CL78" s="66">
        <f t="shared" si="127"/>
        <v>12.551724137931034</v>
      </c>
      <c r="CM78" s="66">
        <f t="shared" si="127"/>
        <v>47.982758620689658</v>
      </c>
      <c r="CN78" s="66" t="str">
        <f t="shared" si="127"/>
        <v/>
      </c>
      <c r="CO78" s="66">
        <f t="shared" si="127"/>
        <v>32.275862068965516</v>
      </c>
      <c r="CP78" s="66" t="str">
        <f t="shared" si="127"/>
        <v/>
      </c>
      <c r="CQ78" s="66" t="str">
        <f t="shared" si="127"/>
        <v/>
      </c>
      <c r="CR78" s="66"/>
      <c r="CS78" s="66"/>
      <c r="CT78" s="125"/>
      <c r="CU78" s="66">
        <f>IFERROR(IF(OR(CU12:CU76)="","",AVERAGE(CU12:CU76)),"")</f>
        <v>10.396551724137931</v>
      </c>
      <c r="CV78" s="66">
        <f t="shared" ref="CV78:DC78" si="128">IFERROR(IF(OR(CV12:CV76)="","",AVERAGE(CV12:CV76)),"")</f>
        <v>9.7931034482758612</v>
      </c>
      <c r="CW78" s="66">
        <f t="shared" si="128"/>
        <v>9.5172413793103452</v>
      </c>
      <c r="CX78" s="66">
        <f t="shared" si="128"/>
        <v>8.5517241379310338</v>
      </c>
      <c r="CY78" s="66">
        <f t="shared" si="128"/>
        <v>38.258620689655174</v>
      </c>
      <c r="CZ78" s="66" t="str">
        <f t="shared" si="128"/>
        <v/>
      </c>
      <c r="DA78" s="66">
        <f t="shared" si="128"/>
        <v>37.051724137931032</v>
      </c>
      <c r="DB78" s="66" t="str">
        <f t="shared" si="128"/>
        <v/>
      </c>
      <c r="DC78" s="66" t="str">
        <f t="shared" si="128"/>
        <v/>
      </c>
      <c r="DD78" s="66"/>
      <c r="DE78" s="66"/>
      <c r="DF78" s="67"/>
      <c r="DG78" s="67"/>
      <c r="DH78" s="67"/>
      <c r="DI78" s="67"/>
      <c r="DM78" s="65"/>
    </row>
    <row r="79" spans="1:117" ht="19.5" customHeight="1" thickBot="1">
      <c r="A79" s="128"/>
      <c r="B79" s="133"/>
      <c r="C79" s="133"/>
      <c r="D79" s="133"/>
      <c r="E79" s="133"/>
      <c r="F79" s="133"/>
      <c r="G79" s="133"/>
      <c r="H79" s="133"/>
      <c r="I79" s="133"/>
      <c r="J79" s="133"/>
      <c r="K79" s="133"/>
      <c r="L79" s="133"/>
      <c r="M79" s="133"/>
      <c r="N79" s="128"/>
      <c r="O79" s="128"/>
      <c r="P79" s="128"/>
      <c r="Q79" s="128"/>
      <c r="R79" s="133"/>
      <c r="S79" s="133"/>
      <c r="T79" s="128"/>
      <c r="U79" s="133"/>
      <c r="V79" s="133"/>
      <c r="W79" s="128"/>
      <c r="X79" s="133"/>
      <c r="Y79" s="133"/>
      <c r="Z79" s="128"/>
      <c r="AA79" s="133"/>
      <c r="AB79" s="133"/>
      <c r="AC79" s="128"/>
      <c r="AD79" s="133"/>
      <c r="AE79" s="133"/>
      <c r="AF79" s="128"/>
      <c r="AG79" s="133"/>
      <c r="AH79" s="133"/>
      <c r="AI79" s="128"/>
      <c r="AJ79" s="133"/>
      <c r="AK79" s="133"/>
      <c r="AL79" s="128"/>
      <c r="AM79" s="133"/>
      <c r="AN79" s="133"/>
      <c r="AO79" s="133"/>
      <c r="AP79" s="128"/>
      <c r="AQ79" s="128"/>
      <c r="AR79" s="125"/>
      <c r="AS79" s="125"/>
      <c r="AT79" s="125"/>
      <c r="AU79" s="125"/>
      <c r="AV79" s="127"/>
      <c r="AW79" s="125"/>
      <c r="AX79" s="125"/>
      <c r="AY79" s="125"/>
      <c r="AZ79" s="125"/>
      <c r="BA79" s="125"/>
      <c r="BB79" s="125"/>
      <c r="BC79" s="125"/>
      <c r="BD79" s="125"/>
      <c r="BE79" s="125"/>
      <c r="BF79" s="125"/>
      <c r="BG79" s="125"/>
      <c r="BH79" s="125"/>
      <c r="BI79" s="125"/>
      <c r="BJ79" s="125"/>
      <c r="BK79" s="125"/>
      <c r="BL79" s="125"/>
      <c r="BM79" s="125"/>
      <c r="BN79" s="125"/>
      <c r="BO79" s="125"/>
      <c r="BP79" s="125"/>
      <c r="BQ79" s="125"/>
      <c r="BR79" s="125"/>
      <c r="BS79" s="125"/>
      <c r="BT79" s="125"/>
      <c r="BU79" s="125"/>
      <c r="BV79" s="125"/>
      <c r="BW79" s="125"/>
      <c r="BX79" s="125"/>
      <c r="BY79" s="125"/>
      <c r="BZ79" s="125"/>
      <c r="CA79" s="125"/>
      <c r="CB79" s="125"/>
      <c r="CC79" s="125"/>
      <c r="CD79" s="125"/>
      <c r="CE79" s="125"/>
      <c r="CF79" s="125"/>
      <c r="CG79" s="125"/>
      <c r="CH79" s="125"/>
      <c r="CI79" s="125"/>
      <c r="CJ79" s="125"/>
      <c r="CK79" s="125"/>
      <c r="CL79" s="125"/>
      <c r="CM79" s="125"/>
      <c r="CN79" s="125"/>
      <c r="CO79" s="125"/>
      <c r="CP79" s="125"/>
      <c r="CQ79" s="125"/>
      <c r="CR79" s="125"/>
      <c r="CS79" s="125"/>
      <c r="CT79" s="125"/>
      <c r="CU79" s="125"/>
      <c r="CV79" s="125"/>
      <c r="CW79" s="125"/>
      <c r="CX79" s="125"/>
      <c r="CY79" s="125"/>
      <c r="CZ79" s="125"/>
      <c r="DA79" s="125"/>
      <c r="DB79" s="125"/>
      <c r="DC79" s="125"/>
      <c r="DD79" s="125"/>
      <c r="DE79" s="125"/>
      <c r="DF79" s="127"/>
      <c r="DG79" s="127"/>
      <c r="DH79" s="127"/>
      <c r="DI79" s="127"/>
    </row>
    <row r="80" spans="1:117" ht="19.5" customHeight="1" thickBot="1">
      <c r="A80" s="128"/>
      <c r="B80" s="133"/>
      <c r="C80" s="301"/>
      <c r="D80" s="302"/>
      <c r="E80" s="309" t="s">
        <v>56</v>
      </c>
      <c r="F80" s="309"/>
      <c r="G80" s="309" t="s">
        <v>57</v>
      </c>
      <c r="H80" s="309"/>
      <c r="I80" s="309"/>
      <c r="J80" s="133"/>
      <c r="K80" s="133"/>
      <c r="L80" s="133"/>
      <c r="M80" s="133"/>
      <c r="N80" s="128"/>
      <c r="O80" s="301"/>
      <c r="P80" s="302"/>
      <c r="Q80" s="309" t="s">
        <v>56</v>
      </c>
      <c r="R80" s="309"/>
      <c r="S80" s="309" t="s">
        <v>57</v>
      </c>
      <c r="T80" s="309"/>
      <c r="U80" s="309"/>
      <c r="V80" s="133"/>
      <c r="W80" s="128"/>
      <c r="X80" s="133"/>
      <c r="Y80" s="133"/>
      <c r="Z80" s="128"/>
      <c r="AA80" s="301"/>
      <c r="AB80" s="302"/>
      <c r="AC80" s="309" t="s">
        <v>56</v>
      </c>
      <c r="AD80" s="309"/>
      <c r="AE80" s="309" t="s">
        <v>57</v>
      </c>
      <c r="AF80" s="309"/>
      <c r="AG80" s="309"/>
      <c r="AH80" s="133"/>
      <c r="AI80" s="128"/>
      <c r="AJ80" s="133"/>
      <c r="AK80" s="133"/>
      <c r="AL80" s="128"/>
      <c r="AM80" s="301"/>
      <c r="AN80" s="302"/>
      <c r="AO80" s="309" t="s">
        <v>56</v>
      </c>
      <c r="AP80" s="309"/>
      <c r="AQ80" s="309" t="s">
        <v>57</v>
      </c>
      <c r="AR80" s="309"/>
      <c r="AS80" s="309"/>
      <c r="AT80" s="125"/>
      <c r="AU80" s="125"/>
      <c r="AV80" s="127"/>
      <c r="AW80" s="125"/>
      <c r="AX80" s="125"/>
      <c r="AY80" s="301"/>
      <c r="AZ80" s="302"/>
      <c r="BA80" s="309" t="s">
        <v>56</v>
      </c>
      <c r="BB80" s="309"/>
      <c r="BC80" s="309" t="s">
        <v>57</v>
      </c>
      <c r="BD80" s="309"/>
      <c r="BE80" s="309"/>
      <c r="BF80" s="125"/>
      <c r="BG80" s="125"/>
      <c r="BH80" s="125"/>
      <c r="BI80" s="125"/>
      <c r="BJ80" s="125"/>
      <c r="BK80" s="301"/>
      <c r="BL80" s="302"/>
      <c r="BM80" s="309" t="s">
        <v>56</v>
      </c>
      <c r="BN80" s="309"/>
      <c r="BO80" s="309" t="s">
        <v>57</v>
      </c>
      <c r="BP80" s="309"/>
      <c r="BQ80" s="309"/>
      <c r="BR80" s="125"/>
      <c r="BS80" s="125"/>
      <c r="BT80" s="125"/>
      <c r="BU80" s="125"/>
      <c r="BV80" s="125"/>
      <c r="BW80" s="301"/>
      <c r="BX80" s="302"/>
      <c r="BY80" s="309" t="s">
        <v>56</v>
      </c>
      <c r="BZ80" s="309"/>
      <c r="CA80" s="309" t="s">
        <v>57</v>
      </c>
      <c r="CB80" s="309"/>
      <c r="CC80" s="309"/>
      <c r="CD80" s="125"/>
      <c r="CE80" s="125"/>
      <c r="CF80" s="125"/>
      <c r="CG80" s="125"/>
      <c r="CH80" s="125"/>
      <c r="CI80" s="301"/>
      <c r="CJ80" s="302"/>
      <c r="CK80" s="309" t="s">
        <v>56</v>
      </c>
      <c r="CL80" s="309"/>
      <c r="CM80" s="309" t="s">
        <v>57</v>
      </c>
      <c r="CN80" s="309"/>
      <c r="CO80" s="309"/>
      <c r="CP80" s="125"/>
      <c r="CQ80" s="125"/>
      <c r="CR80" s="125"/>
      <c r="CS80" s="125"/>
      <c r="CT80" s="125"/>
      <c r="CU80" s="301"/>
      <c r="CV80" s="302"/>
      <c r="CW80" s="309" t="s">
        <v>56</v>
      </c>
      <c r="CX80" s="309"/>
      <c r="CY80" s="309" t="s">
        <v>57</v>
      </c>
      <c r="CZ80" s="309"/>
      <c r="DA80" s="309"/>
      <c r="DB80" s="125"/>
      <c r="DC80" s="125"/>
      <c r="DD80" s="125"/>
      <c r="DE80" s="125"/>
      <c r="DF80" s="310" t="s">
        <v>63</v>
      </c>
      <c r="DG80" s="311"/>
      <c r="DH80" s="69" t="s">
        <v>61</v>
      </c>
      <c r="DI80" s="131" t="s">
        <v>62</v>
      </c>
      <c r="DJ80" s="70"/>
      <c r="DK80" s="71"/>
      <c r="DL80" s="71"/>
    </row>
    <row r="81" spans="1:116" ht="19.5" customHeight="1" thickBot="1">
      <c r="A81" s="128"/>
      <c r="B81" s="133"/>
      <c r="C81" s="72" t="s">
        <v>55</v>
      </c>
      <c r="D81" s="73"/>
      <c r="E81" s="272">
        <f>COUNTIF(K12:K76,"&gt;=50")</f>
        <v>0</v>
      </c>
      <c r="F81" s="273"/>
      <c r="G81" s="274">
        <f>E81/COUNTA($B$12:$B$76)</f>
        <v>0</v>
      </c>
      <c r="H81" s="275"/>
      <c r="I81" s="276"/>
      <c r="J81" s="133"/>
      <c r="K81" s="133"/>
      <c r="L81" s="133"/>
      <c r="M81" s="133"/>
      <c r="N81" s="128"/>
      <c r="O81" s="72" t="s">
        <v>55</v>
      </c>
      <c r="P81" s="73"/>
      <c r="Q81" s="272">
        <f>COUNTIF(W12:W76,"&gt;=50")</f>
        <v>0</v>
      </c>
      <c r="R81" s="273"/>
      <c r="S81" s="274">
        <f>Q81/COUNTA($B$12:$B$76)</f>
        <v>0</v>
      </c>
      <c r="T81" s="275"/>
      <c r="U81" s="276"/>
      <c r="V81" s="133"/>
      <c r="W81" s="128"/>
      <c r="X81" s="133"/>
      <c r="Y81" s="133"/>
      <c r="Z81" s="128"/>
      <c r="AA81" s="72" t="s">
        <v>55</v>
      </c>
      <c r="AB81" s="73"/>
      <c r="AC81" s="272">
        <f>COUNTIF(AI12:AI76,"&gt;=50")</f>
        <v>0</v>
      </c>
      <c r="AD81" s="273"/>
      <c r="AE81" s="274">
        <f>AC81/COUNTA($B$12:$B$76)</f>
        <v>0</v>
      </c>
      <c r="AF81" s="275"/>
      <c r="AG81" s="276"/>
      <c r="AH81" s="133"/>
      <c r="AI81" s="128"/>
      <c r="AJ81" s="133"/>
      <c r="AK81" s="133"/>
      <c r="AL81" s="128"/>
      <c r="AM81" s="72" t="s">
        <v>55</v>
      </c>
      <c r="AN81" s="73"/>
      <c r="AO81" s="272">
        <f>COUNTIF(AU12:AU76,"&gt;=50")</f>
        <v>0</v>
      </c>
      <c r="AP81" s="273"/>
      <c r="AQ81" s="274">
        <f>AO81/COUNTA($B$12:$B$76)</f>
        <v>0</v>
      </c>
      <c r="AR81" s="275"/>
      <c r="AS81" s="276"/>
      <c r="AT81" s="125"/>
      <c r="AU81" s="125"/>
      <c r="AV81" s="127"/>
      <c r="AW81" s="125"/>
      <c r="AX81" s="125"/>
      <c r="AY81" s="72" t="s">
        <v>55</v>
      </c>
      <c r="AZ81" s="73"/>
      <c r="BA81" s="272">
        <f>COUNTIF(BG12:BG76,"&gt;=50")</f>
        <v>0</v>
      </c>
      <c r="BB81" s="273"/>
      <c r="BC81" s="274">
        <f>BA81/COUNTA($B$12:$B$76)</f>
        <v>0</v>
      </c>
      <c r="BD81" s="275"/>
      <c r="BE81" s="276"/>
      <c r="BF81" s="125"/>
      <c r="BG81" s="125"/>
      <c r="BH81" s="125"/>
      <c r="BI81" s="125"/>
      <c r="BJ81" s="125"/>
      <c r="BK81" s="72" t="s">
        <v>55</v>
      </c>
      <c r="BL81" s="73"/>
      <c r="BM81" s="272">
        <f>COUNTIF(BS12:BS76,"&gt;=50")</f>
        <v>0</v>
      </c>
      <c r="BN81" s="273"/>
      <c r="BO81" s="274">
        <f>BM81/COUNTA($B$12:$B$76)</f>
        <v>0</v>
      </c>
      <c r="BP81" s="275"/>
      <c r="BQ81" s="276"/>
      <c r="BR81" s="125"/>
      <c r="BS81" s="125"/>
      <c r="BT81" s="125"/>
      <c r="BU81" s="125"/>
      <c r="BV81" s="125"/>
      <c r="BW81" s="72" t="s">
        <v>55</v>
      </c>
      <c r="BX81" s="73"/>
      <c r="BY81" s="272">
        <f>COUNTIF(CE12:CE76,"&gt;=50")</f>
        <v>0</v>
      </c>
      <c r="BZ81" s="273"/>
      <c r="CA81" s="274">
        <f>BY81/COUNTA($B$12:$B$76)</f>
        <v>0</v>
      </c>
      <c r="CB81" s="275"/>
      <c r="CC81" s="276"/>
      <c r="CD81" s="125"/>
      <c r="CE81" s="125"/>
      <c r="CF81" s="125"/>
      <c r="CG81" s="125"/>
      <c r="CH81" s="125"/>
      <c r="CI81" s="72" t="s">
        <v>55</v>
      </c>
      <c r="CJ81" s="73"/>
      <c r="CK81" s="272">
        <f>COUNTIF(CQ12:CQ76,"&gt;=50")</f>
        <v>0</v>
      </c>
      <c r="CL81" s="273"/>
      <c r="CM81" s="274">
        <f>CK81/COUNTA($B$12:$B$76)</f>
        <v>0</v>
      </c>
      <c r="CN81" s="275"/>
      <c r="CO81" s="276"/>
      <c r="CP81" s="125"/>
      <c r="CQ81" s="125"/>
      <c r="CR81" s="125"/>
      <c r="CS81" s="125"/>
      <c r="CT81" s="125"/>
      <c r="CU81" s="72" t="s">
        <v>55</v>
      </c>
      <c r="CV81" s="73"/>
      <c r="CW81" s="272">
        <f>COUNTIF(DC12:DC76,"&gt;=50")</f>
        <v>0</v>
      </c>
      <c r="CX81" s="273"/>
      <c r="CY81" s="274">
        <f>CW81/COUNTA($B$12:$B$76)</f>
        <v>0</v>
      </c>
      <c r="CZ81" s="275"/>
      <c r="DA81" s="276"/>
      <c r="DB81" s="125"/>
      <c r="DC81" s="125"/>
      <c r="DD81" s="125"/>
      <c r="DE81" s="125"/>
      <c r="DF81" s="72" t="s">
        <v>55</v>
      </c>
      <c r="DG81" s="73"/>
      <c r="DH81" s="74">
        <f>COUNTIF(DF12:DF76,"&gt;=450")</f>
        <v>0</v>
      </c>
      <c r="DI81" s="132">
        <f>DH81/COUNTA($B$12:$B$76)</f>
        <v>0</v>
      </c>
      <c r="DJ81" s="70"/>
      <c r="DK81" s="71"/>
      <c r="DL81" s="71"/>
    </row>
    <row r="82" spans="1:116" ht="19.5" customHeight="1" thickBot="1">
      <c r="A82" s="128"/>
      <c r="B82" s="133"/>
      <c r="C82" s="303" t="s">
        <v>58</v>
      </c>
      <c r="D82" s="304"/>
      <c r="E82" s="272">
        <f>COUNTIF(K12:K76,"&lt;50")</f>
        <v>0</v>
      </c>
      <c r="F82" s="273"/>
      <c r="G82" s="274">
        <f>E82/COUNTA($B$12:$B$76)</f>
        <v>0</v>
      </c>
      <c r="H82" s="275"/>
      <c r="I82" s="276"/>
      <c r="J82" s="133"/>
      <c r="K82" s="133"/>
      <c r="L82" s="133"/>
      <c r="M82" s="133"/>
      <c r="N82" s="128"/>
      <c r="O82" s="303" t="s">
        <v>58</v>
      </c>
      <c r="P82" s="304"/>
      <c r="Q82" s="272">
        <f>COUNTIF(W12:W76,"&lt;50")</f>
        <v>0</v>
      </c>
      <c r="R82" s="273"/>
      <c r="S82" s="274">
        <f>Q82/COUNTA($B$12:$B$76)</f>
        <v>0</v>
      </c>
      <c r="T82" s="275"/>
      <c r="U82" s="276"/>
      <c r="V82" s="133"/>
      <c r="W82" s="128"/>
      <c r="X82" s="133"/>
      <c r="Y82" s="133"/>
      <c r="Z82" s="128"/>
      <c r="AA82" s="303" t="s">
        <v>58</v>
      </c>
      <c r="AB82" s="304"/>
      <c r="AC82" s="272">
        <f>COUNTIF(AI12:AI76,"&lt;50")</f>
        <v>0</v>
      </c>
      <c r="AD82" s="273"/>
      <c r="AE82" s="274">
        <f>AC82/COUNTA($B$12:$B$76)</f>
        <v>0</v>
      </c>
      <c r="AF82" s="275"/>
      <c r="AG82" s="276"/>
      <c r="AH82" s="133"/>
      <c r="AI82" s="128"/>
      <c r="AJ82" s="133"/>
      <c r="AK82" s="133"/>
      <c r="AL82" s="128"/>
      <c r="AM82" s="303" t="s">
        <v>58</v>
      </c>
      <c r="AN82" s="304"/>
      <c r="AO82" s="272">
        <f>COUNTIF(AU12:AU76,"&lt;50")</f>
        <v>0</v>
      </c>
      <c r="AP82" s="273"/>
      <c r="AQ82" s="274">
        <f>AO82/COUNTA($B$12:$B$76)</f>
        <v>0</v>
      </c>
      <c r="AR82" s="275"/>
      <c r="AS82" s="276"/>
      <c r="AT82" s="125"/>
      <c r="AU82" s="125"/>
      <c r="AV82" s="127"/>
      <c r="AW82" s="125"/>
      <c r="AX82" s="125"/>
      <c r="AY82" s="303" t="s">
        <v>58</v>
      </c>
      <c r="AZ82" s="304"/>
      <c r="BA82" s="272">
        <f>COUNTIF(BG12:BG76,"&lt;50")</f>
        <v>0</v>
      </c>
      <c r="BB82" s="273"/>
      <c r="BC82" s="274">
        <f>BA82/COUNTA($B$12:$B$76)</f>
        <v>0</v>
      </c>
      <c r="BD82" s="275"/>
      <c r="BE82" s="276"/>
      <c r="BF82" s="125"/>
      <c r="BG82" s="125"/>
      <c r="BH82" s="125"/>
      <c r="BI82" s="125"/>
      <c r="BJ82" s="125"/>
      <c r="BK82" s="303" t="s">
        <v>58</v>
      </c>
      <c r="BL82" s="304"/>
      <c r="BM82" s="272">
        <f>COUNTIF(BS12:BS76,"&lt;50")</f>
        <v>0</v>
      </c>
      <c r="BN82" s="273"/>
      <c r="BO82" s="274">
        <f>BM82/COUNTA($B$12:$B$76)</f>
        <v>0</v>
      </c>
      <c r="BP82" s="275"/>
      <c r="BQ82" s="276"/>
      <c r="BR82" s="125"/>
      <c r="BS82" s="125"/>
      <c r="BT82" s="125"/>
      <c r="BU82" s="125"/>
      <c r="BV82" s="125"/>
      <c r="BW82" s="303" t="s">
        <v>58</v>
      </c>
      <c r="BX82" s="304"/>
      <c r="BY82" s="272">
        <f>COUNTIF(CE12:CE76,"&lt;50")</f>
        <v>0</v>
      </c>
      <c r="BZ82" s="273"/>
      <c r="CA82" s="274">
        <f>BY82/COUNTA($B$12:$B$76)</f>
        <v>0</v>
      </c>
      <c r="CB82" s="275"/>
      <c r="CC82" s="276"/>
      <c r="CD82" s="125"/>
      <c r="CE82" s="125"/>
      <c r="CF82" s="125"/>
      <c r="CG82" s="125"/>
      <c r="CH82" s="125"/>
      <c r="CI82" s="303" t="s">
        <v>58</v>
      </c>
      <c r="CJ82" s="304"/>
      <c r="CK82" s="272">
        <f>COUNTIF(CQ12:CQ76,"&lt;50")</f>
        <v>0</v>
      </c>
      <c r="CL82" s="273"/>
      <c r="CM82" s="274">
        <f>CK82/COUNTA($B$12:$B$76)</f>
        <v>0</v>
      </c>
      <c r="CN82" s="275"/>
      <c r="CO82" s="276"/>
      <c r="CP82" s="125"/>
      <c r="CQ82" s="125"/>
      <c r="CR82" s="125"/>
      <c r="CS82" s="125"/>
      <c r="CT82" s="125"/>
      <c r="CU82" s="303" t="s">
        <v>58</v>
      </c>
      <c r="CV82" s="304"/>
      <c r="CW82" s="272">
        <f>COUNTIF(DC12:DC76,"&lt;50")</f>
        <v>0</v>
      </c>
      <c r="CX82" s="273"/>
      <c r="CY82" s="274">
        <f>CW82/COUNTA($B$12:$B$76)</f>
        <v>0</v>
      </c>
      <c r="CZ82" s="275"/>
      <c r="DA82" s="276"/>
      <c r="DB82" s="125"/>
      <c r="DC82" s="125"/>
      <c r="DD82" s="125"/>
      <c r="DE82" s="125"/>
      <c r="DF82" s="303" t="s">
        <v>58</v>
      </c>
      <c r="DG82" s="304"/>
      <c r="DH82" s="74">
        <f>COUNTIF(DF12:DF76,"&lt;450")</f>
        <v>0</v>
      </c>
      <c r="DI82" s="132">
        <f>DH82/COUNTA($B$12:$B$76)</f>
        <v>0</v>
      </c>
      <c r="DJ82" s="70"/>
      <c r="DK82" s="71"/>
      <c r="DL82" s="71"/>
    </row>
  </sheetData>
  <sortState ref="A12:B76">
    <sortCondition descending="1" ref="A12"/>
  </sortState>
  <mergeCells count="296">
    <mergeCell ref="C2:M2"/>
    <mergeCell ref="O2:Y2"/>
    <mergeCell ref="AA2:AK2"/>
    <mergeCell ref="AM2:AW2"/>
    <mergeCell ref="AY2:BI2"/>
    <mergeCell ref="BK2:BU2"/>
    <mergeCell ref="BW2:CG2"/>
    <mergeCell ref="CI2:CS2"/>
    <mergeCell ref="CU2:DE2"/>
    <mergeCell ref="DF80:DG80"/>
    <mergeCell ref="DF82:DG82"/>
    <mergeCell ref="CM80:CO80"/>
    <mergeCell ref="CK81:CL81"/>
    <mergeCell ref="CM81:CO81"/>
    <mergeCell ref="CI82:CJ82"/>
    <mergeCell ref="CK82:CL82"/>
    <mergeCell ref="CM82:CO82"/>
    <mergeCell ref="CU80:CV80"/>
    <mergeCell ref="CW80:CX80"/>
    <mergeCell ref="CY80:DA80"/>
    <mergeCell ref="CW81:CX81"/>
    <mergeCell ref="CY81:DA81"/>
    <mergeCell ref="CU82:CV82"/>
    <mergeCell ref="CW82:CX82"/>
    <mergeCell ref="CY82:DA82"/>
    <mergeCell ref="BY80:BZ80"/>
    <mergeCell ref="CA80:CC80"/>
    <mergeCell ref="BY81:BZ81"/>
    <mergeCell ref="CA81:CC81"/>
    <mergeCell ref="BW82:BX82"/>
    <mergeCell ref="BY82:BZ82"/>
    <mergeCell ref="CA82:CC82"/>
    <mergeCell ref="CI80:CJ80"/>
    <mergeCell ref="CK80:CL80"/>
    <mergeCell ref="BK80:BL80"/>
    <mergeCell ref="BM80:BN80"/>
    <mergeCell ref="BO80:BQ80"/>
    <mergeCell ref="BM81:BN81"/>
    <mergeCell ref="BO81:BQ81"/>
    <mergeCell ref="BK82:BL82"/>
    <mergeCell ref="BM82:BN82"/>
    <mergeCell ref="BO82:BQ82"/>
    <mergeCell ref="BW80:BX80"/>
    <mergeCell ref="AQ80:AS80"/>
    <mergeCell ref="AO81:AP81"/>
    <mergeCell ref="AQ81:AS81"/>
    <mergeCell ref="AM82:AN82"/>
    <mergeCell ref="AO82:AP82"/>
    <mergeCell ref="AQ82:AS82"/>
    <mergeCell ref="AY80:AZ80"/>
    <mergeCell ref="BA80:BB80"/>
    <mergeCell ref="BC80:BE80"/>
    <mergeCell ref="BA81:BB81"/>
    <mergeCell ref="BC81:BE81"/>
    <mergeCell ref="AY82:AZ82"/>
    <mergeCell ref="BA82:BB82"/>
    <mergeCell ref="BC82:BE82"/>
    <mergeCell ref="AC80:AD80"/>
    <mergeCell ref="AE80:AG80"/>
    <mergeCell ref="AC81:AD81"/>
    <mergeCell ref="AE81:AG81"/>
    <mergeCell ref="AA82:AB82"/>
    <mergeCell ref="AC82:AD82"/>
    <mergeCell ref="AE82:AG82"/>
    <mergeCell ref="AM80:AN80"/>
    <mergeCell ref="AO80:AP80"/>
    <mergeCell ref="O80:P80"/>
    <mergeCell ref="Q80:R80"/>
    <mergeCell ref="S80:U80"/>
    <mergeCell ref="Q81:R81"/>
    <mergeCell ref="S81:U81"/>
    <mergeCell ref="O82:P82"/>
    <mergeCell ref="Q82:R82"/>
    <mergeCell ref="S82:U82"/>
    <mergeCell ref="AA80:AB80"/>
    <mergeCell ref="C80:D80"/>
    <mergeCell ref="C82:D82"/>
    <mergeCell ref="DF10:DF11"/>
    <mergeCell ref="DG10:DG11"/>
    <mergeCell ref="DH10:DH11"/>
    <mergeCell ref="DI10:DI11"/>
    <mergeCell ref="E80:F80"/>
    <mergeCell ref="G80:I80"/>
    <mergeCell ref="DD8:DD11"/>
    <mergeCell ref="DE8:DE11"/>
    <mergeCell ref="CU8:CU11"/>
    <mergeCell ref="CV8:CV11"/>
    <mergeCell ref="CW8:CW11"/>
    <mergeCell ref="CX8:CX11"/>
    <mergeCell ref="CY8:CY11"/>
    <mergeCell ref="CZ8:CZ11"/>
    <mergeCell ref="DA8:DA11"/>
    <mergeCell ref="DB8:DB11"/>
    <mergeCell ref="DC8:DC11"/>
    <mergeCell ref="CK8:CK11"/>
    <mergeCell ref="CL8:CL11"/>
    <mergeCell ref="CM8:CM11"/>
    <mergeCell ref="CN8:CN11"/>
    <mergeCell ref="CO8:CO11"/>
    <mergeCell ref="CP8:CP11"/>
    <mergeCell ref="CQ8:CQ11"/>
    <mergeCell ref="CR8:CR11"/>
    <mergeCell ref="CS8:CS11"/>
    <mergeCell ref="CA8:CA11"/>
    <mergeCell ref="CB8:CB11"/>
    <mergeCell ref="CC8:CC11"/>
    <mergeCell ref="CD8:CD11"/>
    <mergeCell ref="CE8:CE11"/>
    <mergeCell ref="CF8:CF11"/>
    <mergeCell ref="CG8:CG11"/>
    <mergeCell ref="CI8:CI11"/>
    <mergeCell ref="CJ8:CJ11"/>
    <mergeCell ref="BQ8:BQ11"/>
    <mergeCell ref="BR8:BR11"/>
    <mergeCell ref="BS8:BS11"/>
    <mergeCell ref="BT8:BT11"/>
    <mergeCell ref="BU8:BU11"/>
    <mergeCell ref="BW8:BW11"/>
    <mergeCell ref="BX8:BX11"/>
    <mergeCell ref="BY8:BY11"/>
    <mergeCell ref="BZ8:BZ11"/>
    <mergeCell ref="BG8:BG11"/>
    <mergeCell ref="BH8:BH11"/>
    <mergeCell ref="BI8:BI11"/>
    <mergeCell ref="BK8:BK11"/>
    <mergeCell ref="BL8:BL11"/>
    <mergeCell ref="BM8:BM11"/>
    <mergeCell ref="BN8:BN11"/>
    <mergeCell ref="BO8:BO11"/>
    <mergeCell ref="BP8:BP11"/>
    <mergeCell ref="AW8:AW11"/>
    <mergeCell ref="AY8:AY11"/>
    <mergeCell ref="AZ8:AZ11"/>
    <mergeCell ref="BA8:BA11"/>
    <mergeCell ref="BB8:BB11"/>
    <mergeCell ref="BC8:BC11"/>
    <mergeCell ref="BD8:BD11"/>
    <mergeCell ref="BE8:BE11"/>
    <mergeCell ref="BF8:BF11"/>
    <mergeCell ref="AN8:AN11"/>
    <mergeCell ref="AO8:AO11"/>
    <mergeCell ref="AP8:AP11"/>
    <mergeCell ref="AQ8:AQ11"/>
    <mergeCell ref="AR8:AR11"/>
    <mergeCell ref="AS8:AS11"/>
    <mergeCell ref="AT8:AT11"/>
    <mergeCell ref="AU8:AU11"/>
    <mergeCell ref="AV8:AV11"/>
    <mergeCell ref="AD8:AD11"/>
    <mergeCell ref="AE8:AE11"/>
    <mergeCell ref="AF8:AF11"/>
    <mergeCell ref="AG8:AG11"/>
    <mergeCell ref="AH8:AH11"/>
    <mergeCell ref="AI8:AI11"/>
    <mergeCell ref="AJ8:AJ11"/>
    <mergeCell ref="AK8:AK11"/>
    <mergeCell ref="AM8:AM11"/>
    <mergeCell ref="T8:T11"/>
    <mergeCell ref="U8:U11"/>
    <mergeCell ref="V8:V11"/>
    <mergeCell ref="W8:W11"/>
    <mergeCell ref="X8:X11"/>
    <mergeCell ref="Y8:Y11"/>
    <mergeCell ref="AA8:AA11"/>
    <mergeCell ref="AB8:AB11"/>
    <mergeCell ref="AC8:AC11"/>
    <mergeCell ref="J8:J11"/>
    <mergeCell ref="K8:K11"/>
    <mergeCell ref="L8:L11"/>
    <mergeCell ref="M8:M11"/>
    <mergeCell ref="O8:O11"/>
    <mergeCell ref="P8:P11"/>
    <mergeCell ref="Q8:Q11"/>
    <mergeCell ref="R8:R11"/>
    <mergeCell ref="S8:S11"/>
    <mergeCell ref="A8:A11"/>
    <mergeCell ref="B8:B11"/>
    <mergeCell ref="C8:C11"/>
    <mergeCell ref="D8:D11"/>
    <mergeCell ref="E8:E11"/>
    <mergeCell ref="F8:F11"/>
    <mergeCell ref="G8:G11"/>
    <mergeCell ref="H8:H11"/>
    <mergeCell ref="I8:I11"/>
    <mergeCell ref="F6:J6"/>
    <mergeCell ref="C6:E6"/>
    <mergeCell ref="R6:V6"/>
    <mergeCell ref="O6:Q6"/>
    <mergeCell ref="AA6:AC6"/>
    <mergeCell ref="AD6:AH6"/>
    <mergeCell ref="AV6:AW6"/>
    <mergeCell ref="BH6:BI6"/>
    <mergeCell ref="BT6:BU6"/>
    <mergeCell ref="AM6:AO6"/>
    <mergeCell ref="AP6:AT6"/>
    <mergeCell ref="AY6:BA6"/>
    <mergeCell ref="BB6:BF6"/>
    <mergeCell ref="BK6:BM6"/>
    <mergeCell ref="BN6:BR6"/>
    <mergeCell ref="DD5:DE5"/>
    <mergeCell ref="BW5:BY5"/>
    <mergeCell ref="BZ5:CD5"/>
    <mergeCell ref="CI5:CK5"/>
    <mergeCell ref="CL5:CP5"/>
    <mergeCell ref="CU5:CW5"/>
    <mergeCell ref="CX5:DB5"/>
    <mergeCell ref="L6:M6"/>
    <mergeCell ref="X6:Y6"/>
    <mergeCell ref="AJ6:AK6"/>
    <mergeCell ref="CF6:CG6"/>
    <mergeCell ref="CR6:CS6"/>
    <mergeCell ref="DD6:DE6"/>
    <mergeCell ref="BW6:BY6"/>
    <mergeCell ref="BZ6:CD6"/>
    <mergeCell ref="CI6:CK6"/>
    <mergeCell ref="CL6:CP6"/>
    <mergeCell ref="CU6:CW6"/>
    <mergeCell ref="CX6:DB6"/>
    <mergeCell ref="BT5:BU5"/>
    <mergeCell ref="AM5:AO5"/>
    <mergeCell ref="AP5:AT5"/>
    <mergeCell ref="AY5:BA5"/>
    <mergeCell ref="BB5:BF5"/>
    <mergeCell ref="BK5:BM5"/>
    <mergeCell ref="BN5:BR5"/>
    <mergeCell ref="CF5:CG5"/>
    <mergeCell ref="CR5:CS5"/>
    <mergeCell ref="AJ5:AK5"/>
    <mergeCell ref="F5:J5"/>
    <mergeCell ref="C5:E5"/>
    <mergeCell ref="O5:Q5"/>
    <mergeCell ref="R5:V5"/>
    <mergeCell ref="AA5:AC5"/>
    <mergeCell ref="AD5:AH5"/>
    <mergeCell ref="AV5:AW5"/>
    <mergeCell ref="BH5:BI5"/>
    <mergeCell ref="CF4:CG4"/>
    <mergeCell ref="CR4:CS4"/>
    <mergeCell ref="DD4:DE4"/>
    <mergeCell ref="BW4:BY4"/>
    <mergeCell ref="BZ4:CD4"/>
    <mergeCell ref="CI4:CK4"/>
    <mergeCell ref="CL4:CP4"/>
    <mergeCell ref="CU4:CW4"/>
    <mergeCell ref="CX4:DB4"/>
    <mergeCell ref="AV4:AW4"/>
    <mergeCell ref="BH4:BI4"/>
    <mergeCell ref="BT4:BU4"/>
    <mergeCell ref="AM4:AO4"/>
    <mergeCell ref="AP4:AT4"/>
    <mergeCell ref="AY4:BA4"/>
    <mergeCell ref="BB4:BF4"/>
    <mergeCell ref="BK4:BM4"/>
    <mergeCell ref="BN4:BR4"/>
    <mergeCell ref="CF3:CG3"/>
    <mergeCell ref="CR3:CS3"/>
    <mergeCell ref="DD3:DE3"/>
    <mergeCell ref="BW3:BY3"/>
    <mergeCell ref="BZ3:CD3"/>
    <mergeCell ref="CI3:CK3"/>
    <mergeCell ref="CL3:CP3"/>
    <mergeCell ref="CU3:CW3"/>
    <mergeCell ref="CX3:DB3"/>
    <mergeCell ref="AV3:AW3"/>
    <mergeCell ref="BH3:BI3"/>
    <mergeCell ref="BT3:BU3"/>
    <mergeCell ref="AM3:AO3"/>
    <mergeCell ref="AP3:AT3"/>
    <mergeCell ref="AY3:BA3"/>
    <mergeCell ref="BB3:BF3"/>
    <mergeCell ref="BK3:BM3"/>
    <mergeCell ref="BN3:BR3"/>
    <mergeCell ref="E81:F81"/>
    <mergeCell ref="E82:F82"/>
    <mergeCell ref="G81:I81"/>
    <mergeCell ref="G82:I82"/>
    <mergeCell ref="L3:M3"/>
    <mergeCell ref="X3:Y3"/>
    <mergeCell ref="AJ3:AK3"/>
    <mergeCell ref="F3:J3"/>
    <mergeCell ref="C3:E3"/>
    <mergeCell ref="O3:Q3"/>
    <mergeCell ref="R3:V3"/>
    <mergeCell ref="AA3:AC3"/>
    <mergeCell ref="AD3:AH3"/>
    <mergeCell ref="L4:M4"/>
    <mergeCell ref="X4:Y4"/>
    <mergeCell ref="AJ4:AK4"/>
    <mergeCell ref="F4:J4"/>
    <mergeCell ref="C4:E4"/>
    <mergeCell ref="O4:Q4"/>
    <mergeCell ref="R4:V4"/>
    <mergeCell ref="AA4:AC4"/>
    <mergeCell ref="AD4:AH4"/>
    <mergeCell ref="L5:M5"/>
    <mergeCell ref="X5:Y5"/>
  </mergeCells>
  <conditionalFormatting sqref="C77:M78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2">
      <colorScale>
        <cfvo type="min"/>
        <cfvo type="max"/>
        <color rgb="FFFF7128"/>
        <color rgb="FFFFEF9C"/>
      </colorScale>
    </cfRule>
  </conditionalFormatting>
  <conditionalFormatting sqref="C77:K78">
    <cfRule type="colorScale" priority="121">
      <colorScale>
        <cfvo type="min"/>
        <cfvo type="max"/>
        <color theme="6" tint="-0.249977111117893"/>
        <color rgb="FFFFEF9C"/>
      </colorScale>
    </cfRule>
  </conditionalFormatting>
  <conditionalFormatting sqref="O77:Y78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9">
      <colorScale>
        <cfvo type="min"/>
        <cfvo type="max"/>
        <color rgb="FFFF7128"/>
        <color rgb="FFFFEF9C"/>
      </colorScale>
    </cfRule>
  </conditionalFormatting>
  <conditionalFormatting sqref="O77:W78">
    <cfRule type="colorScale" priority="118">
      <colorScale>
        <cfvo type="min"/>
        <cfvo type="max"/>
        <color theme="6" tint="-0.249977111117893"/>
        <color rgb="FFFFEF9C"/>
      </colorScale>
    </cfRule>
  </conditionalFormatting>
  <conditionalFormatting sqref="AA77:AK78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6">
      <colorScale>
        <cfvo type="min"/>
        <cfvo type="max"/>
        <color rgb="FFFF7128"/>
        <color rgb="FFFFEF9C"/>
      </colorScale>
    </cfRule>
  </conditionalFormatting>
  <conditionalFormatting sqref="AA77:AI78">
    <cfRule type="colorScale" priority="115">
      <colorScale>
        <cfvo type="min"/>
        <cfvo type="max"/>
        <color theme="6" tint="-0.249977111117893"/>
        <color rgb="FFFFEF9C"/>
      </colorScale>
    </cfRule>
  </conditionalFormatting>
  <conditionalFormatting sqref="AM77:AW78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3">
      <colorScale>
        <cfvo type="min"/>
        <cfvo type="max"/>
        <color rgb="FFFF7128"/>
        <color rgb="FFFFEF9C"/>
      </colorScale>
    </cfRule>
  </conditionalFormatting>
  <conditionalFormatting sqref="AM77:AU78">
    <cfRule type="colorScale" priority="112">
      <colorScale>
        <cfvo type="min"/>
        <cfvo type="max"/>
        <color theme="6" tint="-0.249977111117893"/>
        <color rgb="FFFFEF9C"/>
      </colorScale>
    </cfRule>
  </conditionalFormatting>
  <conditionalFormatting sqref="AY77:BI78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0">
      <colorScale>
        <cfvo type="min"/>
        <cfvo type="max"/>
        <color rgb="FFFF7128"/>
        <color rgb="FFFFEF9C"/>
      </colorScale>
    </cfRule>
  </conditionalFormatting>
  <conditionalFormatting sqref="AY77:BG78">
    <cfRule type="colorScale" priority="109">
      <colorScale>
        <cfvo type="min"/>
        <cfvo type="max"/>
        <color theme="6" tint="-0.249977111117893"/>
        <color rgb="FFFFEF9C"/>
      </colorScale>
    </cfRule>
  </conditionalFormatting>
  <conditionalFormatting sqref="BK77:BU78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7">
      <colorScale>
        <cfvo type="min"/>
        <cfvo type="max"/>
        <color rgb="FFFF7128"/>
        <color rgb="FFFFEF9C"/>
      </colorScale>
    </cfRule>
  </conditionalFormatting>
  <conditionalFormatting sqref="BK77:BS78">
    <cfRule type="colorScale" priority="106">
      <colorScale>
        <cfvo type="min"/>
        <cfvo type="max"/>
        <color theme="6" tint="-0.249977111117893"/>
        <color rgb="FFFFEF9C"/>
      </colorScale>
    </cfRule>
  </conditionalFormatting>
  <conditionalFormatting sqref="BW77:CG78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">
      <colorScale>
        <cfvo type="min"/>
        <cfvo type="max"/>
        <color rgb="FFFF7128"/>
        <color rgb="FFFFEF9C"/>
      </colorScale>
    </cfRule>
  </conditionalFormatting>
  <conditionalFormatting sqref="BW77:CE78">
    <cfRule type="colorScale" priority="103">
      <colorScale>
        <cfvo type="min"/>
        <cfvo type="max"/>
        <color theme="6" tint="-0.249977111117893"/>
        <color rgb="FFFFEF9C"/>
      </colorScale>
    </cfRule>
  </conditionalFormatting>
  <conditionalFormatting sqref="CI77:CS78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1">
      <colorScale>
        <cfvo type="min"/>
        <cfvo type="max"/>
        <color rgb="FFFF7128"/>
        <color rgb="FFFFEF9C"/>
      </colorScale>
    </cfRule>
  </conditionalFormatting>
  <conditionalFormatting sqref="CI77:CQ78">
    <cfRule type="colorScale" priority="100">
      <colorScale>
        <cfvo type="min"/>
        <cfvo type="max"/>
        <color theme="6" tint="-0.249977111117893"/>
        <color rgb="FFFFEF9C"/>
      </colorScale>
    </cfRule>
  </conditionalFormatting>
  <conditionalFormatting sqref="CU77:DE78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8">
      <colorScale>
        <cfvo type="min"/>
        <cfvo type="max"/>
        <color rgb="FFFF7128"/>
        <color rgb="FFFFEF9C"/>
      </colorScale>
    </cfRule>
  </conditionalFormatting>
  <conditionalFormatting sqref="CU77:DC78">
    <cfRule type="colorScale" priority="97">
      <colorScale>
        <cfvo type="min"/>
        <cfvo type="max"/>
        <color theme="6" tint="-0.249977111117893"/>
        <color rgb="FFFFEF9C"/>
      </colorScale>
    </cfRule>
  </conditionalFormatting>
  <conditionalFormatting sqref="DF77:DG78">
    <cfRule type="colorScale" priority="94">
      <colorScale>
        <cfvo type="num" val="0"/>
        <cfvo type="max"/>
        <color rgb="FF00B050"/>
        <color rgb="FFFFEF9C"/>
      </colorScale>
    </cfRule>
    <cfRule type="dataBar" priority="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{3E8B0E89-94A9-484D-AF32-B54D4CE26175}</x14:id>
        </ext>
      </extLst>
    </cfRule>
  </conditionalFormatting>
  <conditionalFormatting sqref="O12:S76 U12:U76 W12:Y76">
    <cfRule type="expression" dxfId="218" priority="81">
      <formula>MOD(ROW(),5)=0</formula>
    </cfRule>
    <cfRule type="expression" dxfId="217" priority="92">
      <formula>MOD(ROW(),2)=0</formula>
    </cfRule>
  </conditionalFormatting>
  <conditionalFormatting sqref="AA13:AE76 AG13:AG76 AI13:AK76">
    <cfRule type="expression" dxfId="216" priority="80">
      <formula>MOD(ROW(),5)=0</formula>
    </cfRule>
    <cfRule type="expression" dxfId="215" priority="91">
      <formula>MOD(ROW(),2)=0</formula>
    </cfRule>
  </conditionalFormatting>
  <conditionalFormatting sqref="AM13:AQ76 AS13:AS76 AU13:AW76">
    <cfRule type="expression" dxfId="214" priority="79">
      <formula>MOD(ROW(),5)=0</formula>
    </cfRule>
    <cfRule type="expression" dxfId="213" priority="90">
      <formula>MOD(ROW(),2)=0</formula>
    </cfRule>
  </conditionalFormatting>
  <conditionalFormatting sqref="AY70:BC76 BC13:BC69 BE70:BE76 BG13:BI76">
    <cfRule type="expression" dxfId="212" priority="78">
      <formula>MOD(ROW(),5)=0</formula>
    </cfRule>
    <cfRule type="expression" dxfId="211" priority="89">
      <formula>MOD(ROW(),2)=0</formula>
    </cfRule>
  </conditionalFormatting>
  <conditionalFormatting sqref="BK70:BO76 BO13:BO69 BQ70:BQ76 BS13:BU76">
    <cfRule type="expression" dxfId="210" priority="77">
      <formula>MOD(ROW(),5)=0</formula>
    </cfRule>
    <cfRule type="expression" dxfId="209" priority="88">
      <formula>MOD(ROW(),2)=0</formula>
    </cfRule>
  </conditionalFormatting>
  <conditionalFormatting sqref="BW13:CA76 CC13:CC76 CE13:CG76">
    <cfRule type="expression" dxfId="208" priority="76">
      <formula>MOD(ROW(),5)=0</formula>
    </cfRule>
    <cfRule type="expression" dxfId="207" priority="87">
      <formula>MOD(ROW(),2)=0</formula>
    </cfRule>
  </conditionalFormatting>
  <conditionalFormatting sqref="CI70:CM76 CM13:CM69 CO13:CO76 CQ13:CS76">
    <cfRule type="expression" dxfId="206" priority="75">
      <formula>MOD(ROW(),5)=0</formula>
    </cfRule>
    <cfRule type="expression" dxfId="205" priority="86">
      <formula>MOD(ROW(),2)=0</formula>
    </cfRule>
  </conditionalFormatting>
  <conditionalFormatting sqref="CU13:CY76 DA13:DA76 DC13:DE76">
    <cfRule type="expression" dxfId="204" priority="74">
      <formula>MOD(ROW(),5)=0</formula>
    </cfRule>
    <cfRule type="expression" dxfId="203" priority="85">
      <formula>MOD(ROW(),2)=0</formula>
    </cfRule>
  </conditionalFormatting>
  <conditionalFormatting sqref="C70:G76 G12:H12 G13:G69 I70:I76 H13:H76 J12:M76">
    <cfRule type="expression" dxfId="202" priority="84">
      <formula>MOD(ROW(),2)=0</formula>
    </cfRule>
  </conditionalFormatting>
  <conditionalFormatting sqref="DF12:DI76">
    <cfRule type="expression" dxfId="201" priority="73">
      <formula>MOD(ROW(),5)=0</formula>
    </cfRule>
    <cfRule type="expression" dxfId="200" priority="83">
      <formula>MOD(ROW(),2)=0</formula>
    </cfRule>
  </conditionalFormatting>
  <conditionalFormatting sqref="G12:H12 G13:G69 I70:I76 H13:H76 J12:M76 A70:G76 A12:B76">
    <cfRule type="expression" dxfId="199" priority="82">
      <formula>MOD(ROW(),5)=0</formula>
    </cfRule>
  </conditionalFormatting>
  <conditionalFormatting sqref="AY13:BB69">
    <cfRule type="expression" dxfId="198" priority="71">
      <formula>MOD(ROW(),5)=0</formula>
    </cfRule>
    <cfRule type="expression" dxfId="197" priority="72">
      <formula>MOD(ROW(),2)=0</formula>
    </cfRule>
  </conditionalFormatting>
  <conditionalFormatting sqref="BE13:BE69">
    <cfRule type="expression" dxfId="196" priority="69">
      <formula>MOD(ROW(),5)=0</formula>
    </cfRule>
    <cfRule type="expression" dxfId="195" priority="70">
      <formula>MOD(ROW(),2)=0</formula>
    </cfRule>
  </conditionalFormatting>
  <conditionalFormatting sqref="CI13:CL69">
    <cfRule type="expression" dxfId="194" priority="67">
      <formula>MOD(ROW(),5)=0</formula>
    </cfRule>
    <cfRule type="expression" dxfId="193" priority="68">
      <formula>MOD(ROW(),2)=0</formula>
    </cfRule>
  </conditionalFormatting>
  <conditionalFormatting sqref="C12:F69">
    <cfRule type="expression" dxfId="192" priority="66">
      <formula>MOD(ROW(),2)=0</formula>
    </cfRule>
  </conditionalFormatting>
  <conditionalFormatting sqref="C12:F69">
    <cfRule type="expression" dxfId="191" priority="65">
      <formula>MOD(ROW(),5)=0</formula>
    </cfRule>
  </conditionalFormatting>
  <conditionalFormatting sqref="I12:I69">
    <cfRule type="expression" dxfId="190" priority="64">
      <formula>MOD(ROW(),2)=0</formula>
    </cfRule>
  </conditionalFormatting>
  <conditionalFormatting sqref="I12:I69">
    <cfRule type="expression" dxfId="189" priority="63">
      <formula>MOD(ROW(),5)=0</formula>
    </cfRule>
  </conditionalFormatting>
  <conditionalFormatting sqref="BK13:BN69">
    <cfRule type="expression" dxfId="188" priority="61">
      <formula>MOD(ROW(),5)=0</formula>
    </cfRule>
    <cfRule type="expression" dxfId="187" priority="62">
      <formula>MOD(ROW(),2)=0</formula>
    </cfRule>
  </conditionalFormatting>
  <conditionalFormatting sqref="BQ13:BQ69">
    <cfRule type="expression" dxfId="186" priority="59">
      <formula>MOD(ROW(),5)=0</formula>
    </cfRule>
    <cfRule type="expression" dxfId="185" priority="60">
      <formula>MOD(ROW(),2)=0</formula>
    </cfRule>
  </conditionalFormatting>
  <conditionalFormatting sqref="DG12:DH76">
    <cfRule type="expression" dxfId="184" priority="57">
      <formula>MOD(ROW(),5)=0</formula>
    </cfRule>
    <cfRule type="expression" dxfId="183" priority="58">
      <formula>MOD(ROW(),2)=0</formula>
    </cfRule>
  </conditionalFormatting>
  <conditionalFormatting sqref="DG12:DH76">
    <cfRule type="expression" dxfId="182" priority="55">
      <formula>MOD(ROW(),5)=0</formula>
    </cfRule>
    <cfRule type="expression" dxfId="181" priority="56">
      <formula>MOD(ROW(),2)=0</formula>
    </cfRule>
  </conditionalFormatting>
  <conditionalFormatting sqref="DG12:DH76">
    <cfRule type="expression" dxfId="180" priority="53">
      <formula>MOD(ROW(),5)=0</formula>
    </cfRule>
    <cfRule type="expression" dxfId="179" priority="54">
      <formula>MOD(ROW(),2)=0</formula>
    </cfRule>
  </conditionalFormatting>
  <conditionalFormatting sqref="DG12:DH76">
    <cfRule type="expression" dxfId="178" priority="51">
      <formula>MOD(ROW(),5)=0</formula>
    </cfRule>
    <cfRule type="expression" dxfId="177" priority="52">
      <formula>MOD(ROW(),2)=0</formula>
    </cfRule>
  </conditionalFormatting>
  <conditionalFormatting sqref="DG12:DH76">
    <cfRule type="expression" dxfId="176" priority="49">
      <formula>MOD(ROW(),5)=0</formula>
    </cfRule>
    <cfRule type="expression" dxfId="175" priority="50">
      <formula>MOD(ROW(),2)=0</formula>
    </cfRule>
  </conditionalFormatting>
  <conditionalFormatting sqref="DA12">
    <cfRule type="expression" dxfId="174" priority="2">
      <formula>MOD(ROW(),2)=0</formula>
    </cfRule>
  </conditionalFormatting>
  <conditionalFormatting sqref="DA12">
    <cfRule type="expression" dxfId="173" priority="1">
      <formula>MOD(ROW(),5)=0</formula>
    </cfRule>
  </conditionalFormatting>
  <conditionalFormatting sqref="T12:T76">
    <cfRule type="expression" dxfId="172" priority="46">
      <formula>MOD(ROW(),2)=0</formula>
    </cfRule>
  </conditionalFormatting>
  <conditionalFormatting sqref="T12:T76">
    <cfRule type="expression" dxfId="171" priority="45">
      <formula>MOD(ROW(),5)=0</formula>
    </cfRule>
  </conditionalFormatting>
  <conditionalFormatting sqref="V12:V76">
    <cfRule type="expression" dxfId="170" priority="44">
      <formula>MOD(ROW(),2)=0</formula>
    </cfRule>
  </conditionalFormatting>
  <conditionalFormatting sqref="V12:V76">
    <cfRule type="expression" dxfId="169" priority="43">
      <formula>MOD(ROW(),5)=0</formula>
    </cfRule>
  </conditionalFormatting>
  <conditionalFormatting sqref="AE12:AF12 AH12:AK12 AF13:AF76 AH13:AH76">
    <cfRule type="expression" dxfId="168" priority="42">
      <formula>MOD(ROW(),2)=0</formula>
    </cfRule>
  </conditionalFormatting>
  <conditionalFormatting sqref="AE12:AF12 AH12:AK12 AF13:AF76 AH13:AH76">
    <cfRule type="expression" dxfId="167" priority="41">
      <formula>MOD(ROW(),5)=0</formula>
    </cfRule>
  </conditionalFormatting>
  <conditionalFormatting sqref="AA12:AD12">
    <cfRule type="expression" dxfId="166" priority="40">
      <formula>MOD(ROW(),2)=0</formula>
    </cfRule>
  </conditionalFormatting>
  <conditionalFormatting sqref="AA12:AD12">
    <cfRule type="expression" dxfId="165" priority="39">
      <formula>MOD(ROW(),5)=0</formula>
    </cfRule>
  </conditionalFormatting>
  <conditionalFormatting sqref="AG12">
    <cfRule type="expression" dxfId="164" priority="38">
      <formula>MOD(ROW(),2)=0</formula>
    </cfRule>
  </conditionalFormatting>
  <conditionalFormatting sqref="AG12">
    <cfRule type="expression" dxfId="163" priority="37">
      <formula>MOD(ROW(),5)=0</formula>
    </cfRule>
  </conditionalFormatting>
  <conditionalFormatting sqref="AQ12:AR12 AT12:AW12 AR13:AR76 AT13:AT76">
    <cfRule type="expression" dxfId="162" priority="36">
      <formula>MOD(ROW(),2)=0</formula>
    </cfRule>
  </conditionalFormatting>
  <conditionalFormatting sqref="AQ12:AR12 AT12:AW12 AR13:AR76 AT13:AT76">
    <cfRule type="expression" dxfId="161" priority="35">
      <formula>MOD(ROW(),5)=0</formula>
    </cfRule>
  </conditionalFormatting>
  <conditionalFormatting sqref="AM12:AP12">
    <cfRule type="expression" dxfId="160" priority="34">
      <formula>MOD(ROW(),2)=0</formula>
    </cfRule>
  </conditionalFormatting>
  <conditionalFormatting sqref="AM12:AP12">
    <cfRule type="expression" dxfId="159" priority="33">
      <formula>MOD(ROW(),5)=0</formula>
    </cfRule>
  </conditionalFormatting>
  <conditionalFormatting sqref="AS12">
    <cfRule type="expression" dxfId="158" priority="32">
      <formula>MOD(ROW(),2)=0</formula>
    </cfRule>
  </conditionalFormatting>
  <conditionalFormatting sqref="AS12">
    <cfRule type="expression" dxfId="157" priority="31">
      <formula>MOD(ROW(),5)=0</formula>
    </cfRule>
  </conditionalFormatting>
  <conditionalFormatting sqref="BC12:BD12 BF12:BI12 BD13:BD76 BF13:BF76">
    <cfRule type="expression" dxfId="156" priority="30">
      <formula>MOD(ROW(),2)=0</formula>
    </cfRule>
  </conditionalFormatting>
  <conditionalFormatting sqref="BC12:BD12 BF12:BI12 BD13:BD76 BF13:BF76">
    <cfRule type="expression" dxfId="155" priority="29">
      <formula>MOD(ROW(),5)=0</formula>
    </cfRule>
  </conditionalFormatting>
  <conditionalFormatting sqref="AY12:BB12">
    <cfRule type="expression" dxfId="154" priority="28">
      <formula>MOD(ROW(),2)=0</formula>
    </cfRule>
  </conditionalFormatting>
  <conditionalFormatting sqref="AY12:BB12">
    <cfRule type="expression" dxfId="153" priority="27">
      <formula>MOD(ROW(),5)=0</formula>
    </cfRule>
  </conditionalFormatting>
  <conditionalFormatting sqref="BE12">
    <cfRule type="expression" dxfId="152" priority="26">
      <formula>MOD(ROW(),2)=0</formula>
    </cfRule>
  </conditionalFormatting>
  <conditionalFormatting sqref="BE12">
    <cfRule type="expression" dxfId="151" priority="25">
      <formula>MOD(ROW(),5)=0</formula>
    </cfRule>
  </conditionalFormatting>
  <conditionalFormatting sqref="BO12:BP12 BR12:BU12 BP13:BP76 BR13:BR76">
    <cfRule type="expression" dxfId="150" priority="24">
      <formula>MOD(ROW(),2)=0</formula>
    </cfRule>
  </conditionalFormatting>
  <conditionalFormatting sqref="BO12:BP12 BR12:BU12 BP13:BP76 BR13:BR76">
    <cfRule type="expression" dxfId="149" priority="23">
      <formula>MOD(ROW(),5)=0</formula>
    </cfRule>
  </conditionalFormatting>
  <conditionalFormatting sqref="BK12:BN12">
    <cfRule type="expression" dxfId="148" priority="22">
      <formula>MOD(ROW(),2)=0</formula>
    </cfRule>
  </conditionalFormatting>
  <conditionalFormatting sqref="BK12:BN12">
    <cfRule type="expression" dxfId="147" priority="21">
      <formula>MOD(ROW(),5)=0</formula>
    </cfRule>
  </conditionalFormatting>
  <conditionalFormatting sqref="BQ12">
    <cfRule type="expression" dxfId="146" priority="20">
      <formula>MOD(ROW(),2)=0</formula>
    </cfRule>
  </conditionalFormatting>
  <conditionalFormatting sqref="BQ12">
    <cfRule type="expression" dxfId="145" priority="19">
      <formula>MOD(ROW(),5)=0</formula>
    </cfRule>
  </conditionalFormatting>
  <conditionalFormatting sqref="CA12:CB12 CD12:CG12 CB13:CB76 CD13:CD76">
    <cfRule type="expression" dxfId="144" priority="18">
      <formula>MOD(ROW(),2)=0</formula>
    </cfRule>
  </conditionalFormatting>
  <conditionalFormatting sqref="CA12:CB12 CD12:CG12 CB13:CB76 CD13:CD76">
    <cfRule type="expression" dxfId="143" priority="17">
      <formula>MOD(ROW(),5)=0</formula>
    </cfRule>
  </conditionalFormatting>
  <conditionalFormatting sqref="BW12:BZ12">
    <cfRule type="expression" dxfId="142" priority="16">
      <formula>MOD(ROW(),2)=0</formula>
    </cfRule>
  </conditionalFormatting>
  <conditionalFormatting sqref="BW12:BZ12">
    <cfRule type="expression" dxfId="141" priority="15">
      <formula>MOD(ROW(),5)=0</formula>
    </cfRule>
  </conditionalFormatting>
  <conditionalFormatting sqref="CC12">
    <cfRule type="expression" dxfId="140" priority="14">
      <formula>MOD(ROW(),2)=0</formula>
    </cfRule>
  </conditionalFormatting>
  <conditionalFormatting sqref="CC12">
    <cfRule type="expression" dxfId="139" priority="13">
      <formula>MOD(ROW(),5)=0</formula>
    </cfRule>
  </conditionalFormatting>
  <conditionalFormatting sqref="CM12:CN12 CP12:CS12 CN13:CN76 CP13:CP76">
    <cfRule type="expression" dxfId="138" priority="12">
      <formula>MOD(ROW(),2)=0</formula>
    </cfRule>
  </conditionalFormatting>
  <conditionalFormatting sqref="CM12:CN12 CP12:CS12 CN13:CN76 CP13:CP76">
    <cfRule type="expression" dxfId="137" priority="11">
      <formula>MOD(ROW(),5)=0</formula>
    </cfRule>
  </conditionalFormatting>
  <conditionalFormatting sqref="CI12:CL12">
    <cfRule type="expression" dxfId="136" priority="10">
      <formula>MOD(ROW(),2)=0</formula>
    </cfRule>
  </conditionalFormatting>
  <conditionalFormatting sqref="CI12:CL12">
    <cfRule type="expression" dxfId="135" priority="9">
      <formula>MOD(ROW(),5)=0</formula>
    </cfRule>
  </conditionalFormatting>
  <conditionalFormatting sqref="CO12">
    <cfRule type="expression" dxfId="134" priority="8">
      <formula>MOD(ROW(),2)=0</formula>
    </cfRule>
  </conditionalFormatting>
  <conditionalFormatting sqref="CO12">
    <cfRule type="expression" dxfId="133" priority="7">
      <formula>MOD(ROW(),5)=0</formula>
    </cfRule>
  </conditionalFormatting>
  <conditionalFormatting sqref="CY12:CZ12 DB12:DE12 CZ13:CZ76 DB13:DB76">
    <cfRule type="expression" dxfId="132" priority="6">
      <formula>MOD(ROW(),2)=0</formula>
    </cfRule>
  </conditionalFormatting>
  <conditionalFormatting sqref="CY12:CZ12 DB12:DE12 CZ13:CZ76 DB13:DB76">
    <cfRule type="expression" dxfId="131" priority="5">
      <formula>MOD(ROW(),5)=0</formula>
    </cfRule>
  </conditionalFormatting>
  <conditionalFormatting sqref="CU12:CX12">
    <cfRule type="expression" dxfId="130" priority="4">
      <formula>MOD(ROW(),2)=0</formula>
    </cfRule>
  </conditionalFormatting>
  <conditionalFormatting sqref="CU12:CX12">
    <cfRule type="expression" dxfId="129" priority="3">
      <formula>MOD(ROW(),5)=0</formula>
    </cfRule>
  </conditionalFormatting>
  <pageMargins left="0.78749999999999998" right="0.78749999999999998" top="1.05277777777778" bottom="1.05277777777778" header="0.78749999999999998" footer="0.78749999999999998"/>
  <pageSetup firstPageNumber="0" orientation="portrait" r:id="rId1"/>
  <headerFooter>
    <oddHeader>&amp;C&amp;"Times New Roman,Regular"&amp;12&amp;A</oddHeader>
    <oddFooter>&amp;C&amp;"Times New Roman,Regular"&amp;12Page &amp;P</oddFooter>
  </headerFooter>
  <ignoredErrors>
    <ignoredError sqref="F4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owMarksEntryForm">
                <anchor moveWithCells="1" sizeWithCells="1">
                  <from>
                    <xdr:col>1</xdr:col>
                    <xdr:colOff>241300</xdr:colOff>
                    <xdr:row>3</xdr:row>
                    <xdr:rowOff>95250</xdr:rowOff>
                  </from>
                  <to>
                    <xdr:col>1</xdr:col>
                    <xdr:colOff>2336800</xdr:colOff>
                    <xdr:row>5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E8B0E89-94A9-484D-AF32-B54D4CE2617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DF77:DG78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07950-0EE6-41F0-99C5-172FD164315E}">
  <sheetPr codeName="Sheet6"/>
  <dimension ref="A1:AMJ83"/>
  <sheetViews>
    <sheetView zoomScale="69" zoomScaleNormal="69" workbookViewId="0">
      <pane xSplit="2" ySplit="11" topLeftCell="C12" activePane="bottomRight" state="frozen"/>
      <selection pane="topRight" activeCell="C1" sqref="C1"/>
      <selection pane="bottomLeft" activeCell="A12" sqref="A12"/>
      <selection pane="bottomRight" activeCell="E22" sqref="E22"/>
    </sheetView>
  </sheetViews>
  <sheetFormatPr defaultColWidth="9.1796875" defaultRowHeight="19.5" customHeight="1"/>
  <cols>
    <col min="1" max="1" width="10.08984375" style="182" customWidth="1"/>
    <col min="2" max="2" width="50.7265625" style="183" customWidth="1"/>
    <col min="3" max="3" width="7.54296875" style="183" customWidth="1"/>
    <col min="4" max="4" width="7.90625" style="183" customWidth="1"/>
    <col min="5" max="5" width="8.36328125" style="183" customWidth="1"/>
    <col min="6" max="6" width="10.453125" style="183" customWidth="1"/>
    <col min="7" max="7" width="7.6328125" style="183" customWidth="1"/>
    <col min="8" max="8" width="10.36328125" style="183" customWidth="1"/>
    <col min="9" max="9" width="8.453125" style="183" customWidth="1"/>
    <col min="10" max="10" width="9.90625" style="183" customWidth="1"/>
    <col min="11" max="11" width="8.90625" style="183" customWidth="1"/>
    <col min="12" max="12" width="5.90625" style="183" customWidth="1"/>
    <col min="13" max="13" width="8.453125" style="183" bestFit="1" customWidth="1"/>
    <col min="14" max="14" width="9.1796875" style="182"/>
    <col min="15" max="15" width="8.08984375" style="182" customWidth="1"/>
    <col min="16" max="16" width="7.90625" style="182" customWidth="1"/>
    <col min="17" max="17" width="6.7265625" style="182" customWidth="1"/>
    <col min="18" max="18" width="5.453125" style="183" customWidth="1"/>
    <col min="19" max="19" width="7.90625" style="183" customWidth="1"/>
    <col min="20" max="20" width="9" style="182" customWidth="1"/>
    <col min="21" max="21" width="6" style="183" bestFit="1" customWidth="1"/>
    <col min="22" max="22" width="8.36328125" style="183" customWidth="1"/>
    <col min="23" max="23" width="9.1796875" style="182"/>
    <col min="24" max="24" width="5.26953125" style="183" customWidth="1"/>
    <col min="25" max="25" width="6.1796875" style="183" customWidth="1"/>
    <col min="26" max="26" width="9.1796875" style="182"/>
    <col min="27" max="27" width="7.26953125" style="183" customWidth="1"/>
    <col min="28" max="28" width="7.36328125" style="183" customWidth="1"/>
    <col min="29" max="29" width="7.36328125" style="182" customWidth="1"/>
    <col min="30" max="30" width="5.453125" style="183" customWidth="1"/>
    <col min="31" max="31" width="6.81640625" style="183" customWidth="1"/>
    <col min="32" max="32" width="8.26953125" style="182" customWidth="1"/>
    <col min="33" max="33" width="9.1796875" style="183"/>
    <col min="34" max="34" width="7.36328125" style="183" customWidth="1"/>
    <col min="35" max="35" width="8.453125" style="182" customWidth="1"/>
    <col min="36" max="36" width="6" style="183" customWidth="1"/>
    <col min="37" max="37" width="7.453125" style="183" customWidth="1"/>
    <col min="38" max="38" width="9.1796875" style="182"/>
    <col min="39" max="39" width="7.453125" style="183" customWidth="1"/>
    <col min="40" max="40" width="7.90625" style="183" customWidth="1"/>
    <col min="41" max="41" width="7" style="183" customWidth="1"/>
    <col min="42" max="42" width="5.26953125" style="182" customWidth="1"/>
    <col min="43" max="43" width="6.7265625" style="182" customWidth="1"/>
    <col min="44" max="44" width="8.81640625" style="184" customWidth="1"/>
    <col min="45" max="45" width="6" style="184" bestFit="1" customWidth="1"/>
    <col min="46" max="46" width="8" style="184" customWidth="1"/>
    <col min="47" max="47" width="7" style="184" customWidth="1"/>
    <col min="48" max="48" width="5.54296875" style="185" customWidth="1"/>
    <col min="49" max="49" width="7" style="184" customWidth="1"/>
    <col min="50" max="50" width="9.1796875" style="184"/>
    <col min="51" max="51" width="7.08984375" style="184" customWidth="1"/>
    <col min="52" max="52" width="7.7265625" style="184" customWidth="1"/>
    <col min="53" max="53" width="6.7265625" style="184" customWidth="1"/>
    <col min="54" max="54" width="5.54296875" style="184" customWidth="1"/>
    <col min="55" max="55" width="7" style="184" customWidth="1"/>
    <col min="56" max="56" width="8.7265625" style="184" customWidth="1"/>
    <col min="57" max="57" width="6.1796875" style="184" customWidth="1"/>
    <col min="58" max="58" width="8.1796875" style="184" customWidth="1"/>
    <col min="59" max="59" width="7" style="184" customWidth="1"/>
    <col min="60" max="60" width="5.453125" style="184" customWidth="1"/>
    <col min="61" max="61" width="7" style="184" customWidth="1"/>
    <col min="62" max="62" width="9.1796875" style="184"/>
    <col min="63" max="63" width="6.7265625" style="184" customWidth="1"/>
    <col min="64" max="64" width="8.6328125" style="184" customWidth="1"/>
    <col min="65" max="65" width="8.1796875" style="184" customWidth="1"/>
    <col min="66" max="66" width="5.54296875" style="184" customWidth="1"/>
    <col min="67" max="67" width="7.7265625" style="184" customWidth="1"/>
    <col min="68" max="68" width="8.453125" style="184" customWidth="1"/>
    <col min="69" max="69" width="7" style="184" customWidth="1"/>
    <col min="70" max="70" width="8.7265625" style="184" customWidth="1"/>
    <col min="71" max="71" width="6.453125" style="184" customWidth="1"/>
    <col min="72" max="72" width="6.26953125" style="184" customWidth="1"/>
    <col min="73" max="73" width="7" style="184" customWidth="1"/>
    <col min="74" max="74" width="4.7265625" style="184" customWidth="1"/>
    <col min="75" max="75" width="7" style="184" customWidth="1"/>
    <col min="76" max="76" width="8.1796875" style="184" customWidth="1"/>
    <col min="77" max="77" width="8.08984375" style="184" customWidth="1"/>
    <col min="78" max="78" width="5.81640625" style="184" customWidth="1"/>
    <col min="79" max="79" width="7.90625" style="184" customWidth="1"/>
    <col min="80" max="80" width="8.6328125" style="184" customWidth="1"/>
    <col min="81" max="81" width="6" style="184" customWidth="1"/>
    <col min="82" max="82" width="8.08984375" style="184" customWidth="1"/>
    <col min="83" max="83" width="6.7265625" style="184" customWidth="1"/>
    <col min="84" max="84" width="5.90625" style="184" customWidth="1"/>
    <col min="85" max="85" width="7.1796875" style="184" customWidth="1"/>
    <col min="86" max="86" width="9.1796875" style="184"/>
    <col min="87" max="87" width="6.6328125" style="184" customWidth="1"/>
    <col min="88" max="88" width="7.7265625" style="184" customWidth="1"/>
    <col min="89" max="89" width="7.54296875" style="184" customWidth="1"/>
    <col min="90" max="90" width="5.54296875" style="184" customWidth="1"/>
    <col min="91" max="91" width="6.81640625" style="184" customWidth="1"/>
    <col min="92" max="92" width="9.453125" style="184" customWidth="1"/>
    <col min="93" max="93" width="6" style="184" bestFit="1" customWidth="1"/>
    <col min="94" max="94" width="7.90625" style="184" customWidth="1"/>
    <col min="95" max="95" width="6.7265625" style="184" customWidth="1"/>
    <col min="96" max="96" width="5.54296875" style="184" customWidth="1"/>
    <col min="97" max="97" width="7.81640625" style="184" customWidth="1"/>
    <col min="98" max="98" width="3.7265625" style="184" customWidth="1"/>
    <col min="99" max="99" width="7.26953125" style="184" customWidth="1"/>
    <col min="100" max="100" width="7.54296875" style="184" customWidth="1"/>
    <col min="101" max="101" width="9.1796875" style="184" customWidth="1"/>
    <col min="102" max="102" width="5.453125" style="184" customWidth="1"/>
    <col min="103" max="103" width="6.54296875" style="184" customWidth="1"/>
    <col min="104" max="104" width="9.36328125" style="184" customWidth="1"/>
    <col min="105" max="105" width="6.1796875" style="184" customWidth="1"/>
    <col min="106" max="106" width="8.1796875" style="184" customWidth="1"/>
    <col min="107" max="107" width="7.1796875" style="184" customWidth="1"/>
    <col min="108" max="108" width="4.7265625" style="184" customWidth="1"/>
    <col min="109" max="109" width="7.1796875" style="184" customWidth="1"/>
    <col min="110" max="110" width="8.26953125" style="185" customWidth="1"/>
    <col min="111" max="111" width="9.08984375" style="185" customWidth="1"/>
    <col min="112" max="112" width="8.54296875" style="185" customWidth="1"/>
    <col min="113" max="113" width="7.453125" style="185" customWidth="1"/>
    <col min="114" max="114" width="8.81640625" style="184" hidden="1" customWidth="1"/>
    <col min="115" max="115" width="8.453125" style="184" hidden="1" customWidth="1"/>
    <col min="116" max="116" width="8.54296875" style="184" hidden="1" customWidth="1"/>
    <col min="117" max="16384" width="9.1796875" style="184"/>
  </cols>
  <sheetData>
    <row r="1" spans="1:1024" ht="22.5" customHeight="1" thickBot="1">
      <c r="A1" s="128"/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28"/>
      <c r="O1" s="128"/>
      <c r="P1" s="128"/>
      <c r="Q1" s="128"/>
      <c r="R1" s="133"/>
      <c r="S1" s="133"/>
      <c r="T1" s="128"/>
      <c r="U1" s="133"/>
      <c r="V1" s="133"/>
      <c r="W1" s="128"/>
      <c r="X1" s="133"/>
      <c r="Y1" s="133"/>
      <c r="Z1" s="128"/>
      <c r="AA1" s="133"/>
      <c r="AB1" s="133"/>
      <c r="AC1" s="128"/>
      <c r="AD1" s="133"/>
      <c r="AE1" s="133"/>
      <c r="AF1" s="128"/>
      <c r="AG1" s="133"/>
      <c r="AH1" s="133"/>
      <c r="AI1" s="128"/>
      <c r="AJ1" s="133"/>
      <c r="AK1" s="133"/>
      <c r="AL1" s="128"/>
      <c r="AM1" s="133"/>
      <c r="AN1" s="133"/>
      <c r="AO1" s="133"/>
      <c r="AP1" s="128"/>
      <c r="AQ1" s="128"/>
      <c r="AR1" s="125"/>
      <c r="AS1" s="125"/>
      <c r="AT1" s="125"/>
      <c r="AU1" s="125"/>
      <c r="AV1" s="127"/>
      <c r="AW1" s="125"/>
      <c r="AX1" s="125"/>
      <c r="AY1" s="125"/>
      <c r="AZ1" s="125"/>
      <c r="BA1" s="125"/>
      <c r="BB1" s="125"/>
      <c r="BC1" s="125"/>
      <c r="BD1" s="125"/>
      <c r="BE1" s="125"/>
      <c r="BF1" s="125"/>
      <c r="BG1" s="125"/>
      <c r="BH1" s="125"/>
      <c r="BI1" s="125"/>
      <c r="BJ1" s="125"/>
      <c r="BK1" s="125"/>
      <c r="BL1" s="125"/>
      <c r="BM1" s="125"/>
      <c r="BN1" s="125"/>
      <c r="BO1" s="125"/>
      <c r="BP1" s="125"/>
      <c r="BQ1" s="125"/>
      <c r="BR1" s="125"/>
      <c r="BS1" s="125"/>
      <c r="BT1" s="125"/>
      <c r="BU1" s="125"/>
      <c r="BV1" s="125"/>
      <c r="BW1" s="125"/>
      <c r="BX1" s="125"/>
      <c r="BY1" s="125"/>
      <c r="BZ1" s="125"/>
      <c r="CA1" s="125"/>
      <c r="CB1" s="125"/>
      <c r="CC1" s="125"/>
      <c r="CD1" s="125"/>
      <c r="CE1" s="125"/>
      <c r="CF1" s="125"/>
      <c r="CG1" s="125"/>
      <c r="CH1" s="125"/>
      <c r="CI1" s="125"/>
      <c r="CJ1" s="125"/>
      <c r="CK1" s="125"/>
      <c r="CL1" s="125"/>
      <c r="CM1" s="125"/>
      <c r="CN1" s="125"/>
      <c r="CO1" s="125"/>
      <c r="CP1" s="125"/>
      <c r="CQ1" s="125"/>
      <c r="CR1" s="125"/>
      <c r="CS1" s="125"/>
      <c r="CT1" s="125"/>
      <c r="CU1" s="125"/>
      <c r="CV1" s="125"/>
      <c r="CW1" s="125"/>
      <c r="CX1" s="125"/>
      <c r="CY1" s="125"/>
      <c r="CZ1" s="125"/>
      <c r="DA1" s="125"/>
      <c r="DB1" s="125"/>
      <c r="DC1" s="125"/>
      <c r="DD1" s="125"/>
      <c r="DE1" s="125"/>
      <c r="DF1" s="127"/>
      <c r="DG1" s="127"/>
      <c r="DH1" s="127"/>
      <c r="DI1" s="127"/>
      <c r="DJ1" s="62"/>
      <c r="DK1" s="62"/>
      <c r="DL1" s="62"/>
      <c r="DM1" s="180"/>
    </row>
    <row r="2" spans="1:1024" ht="24.5" customHeight="1" thickBot="1">
      <c r="A2" s="121"/>
      <c r="B2" s="122"/>
      <c r="C2" s="314" t="s">
        <v>312</v>
      </c>
      <c r="D2" s="312"/>
      <c r="E2" s="312"/>
      <c r="F2" s="312"/>
      <c r="G2" s="312"/>
      <c r="H2" s="312"/>
      <c r="I2" s="312"/>
      <c r="J2" s="312"/>
      <c r="K2" s="312"/>
      <c r="L2" s="312"/>
      <c r="M2" s="313"/>
      <c r="N2" s="134"/>
      <c r="O2" s="314" t="s">
        <v>313</v>
      </c>
      <c r="P2" s="312"/>
      <c r="Q2" s="312"/>
      <c r="R2" s="312"/>
      <c r="S2" s="312"/>
      <c r="T2" s="312"/>
      <c r="U2" s="312"/>
      <c r="V2" s="312"/>
      <c r="W2" s="312"/>
      <c r="X2" s="312"/>
      <c r="Y2" s="313"/>
      <c r="Z2" s="134"/>
      <c r="AA2" s="314" t="s">
        <v>314</v>
      </c>
      <c r="AB2" s="312"/>
      <c r="AC2" s="312"/>
      <c r="AD2" s="312"/>
      <c r="AE2" s="312"/>
      <c r="AF2" s="312"/>
      <c r="AG2" s="312"/>
      <c r="AH2" s="312"/>
      <c r="AI2" s="312"/>
      <c r="AJ2" s="312"/>
      <c r="AK2" s="313"/>
      <c r="AL2" s="134"/>
      <c r="AM2" s="314" t="s">
        <v>315</v>
      </c>
      <c r="AN2" s="312"/>
      <c r="AO2" s="312"/>
      <c r="AP2" s="312"/>
      <c r="AQ2" s="312"/>
      <c r="AR2" s="312"/>
      <c r="AS2" s="312"/>
      <c r="AT2" s="312"/>
      <c r="AU2" s="312"/>
      <c r="AV2" s="312"/>
      <c r="AW2" s="313"/>
      <c r="AX2" s="129"/>
      <c r="AY2" s="314" t="s">
        <v>316</v>
      </c>
      <c r="AZ2" s="312"/>
      <c r="BA2" s="312"/>
      <c r="BB2" s="312"/>
      <c r="BC2" s="312"/>
      <c r="BD2" s="312"/>
      <c r="BE2" s="312"/>
      <c r="BF2" s="312"/>
      <c r="BG2" s="312"/>
      <c r="BH2" s="312"/>
      <c r="BI2" s="313"/>
      <c r="BJ2" s="129"/>
      <c r="BK2" s="314" t="s">
        <v>317</v>
      </c>
      <c r="BL2" s="312"/>
      <c r="BM2" s="312"/>
      <c r="BN2" s="312"/>
      <c r="BO2" s="312"/>
      <c r="BP2" s="312"/>
      <c r="BQ2" s="312"/>
      <c r="BR2" s="312"/>
      <c r="BS2" s="312"/>
      <c r="BT2" s="312"/>
      <c r="BU2" s="313"/>
      <c r="BV2" s="129"/>
      <c r="BW2" s="314" t="s">
        <v>318</v>
      </c>
      <c r="BX2" s="312"/>
      <c r="BY2" s="312"/>
      <c r="BZ2" s="312"/>
      <c r="CA2" s="312"/>
      <c r="CB2" s="312"/>
      <c r="CC2" s="312"/>
      <c r="CD2" s="312"/>
      <c r="CE2" s="312"/>
      <c r="CF2" s="312"/>
      <c r="CG2" s="313"/>
      <c r="CH2" s="129"/>
      <c r="CI2" s="314" t="s">
        <v>319</v>
      </c>
      <c r="CJ2" s="312"/>
      <c r="CK2" s="312"/>
      <c r="CL2" s="312"/>
      <c r="CM2" s="312"/>
      <c r="CN2" s="312"/>
      <c r="CO2" s="312"/>
      <c r="CP2" s="312"/>
      <c r="CQ2" s="312"/>
      <c r="CR2" s="312"/>
      <c r="CS2" s="313"/>
      <c r="CT2" s="129"/>
      <c r="CU2" s="314" t="s">
        <v>320</v>
      </c>
      <c r="CV2" s="312"/>
      <c r="CW2" s="312"/>
      <c r="CX2" s="312"/>
      <c r="CY2" s="312"/>
      <c r="CZ2" s="312"/>
      <c r="DA2" s="312"/>
      <c r="DB2" s="312"/>
      <c r="DC2" s="312"/>
      <c r="DD2" s="312"/>
      <c r="DE2" s="313"/>
      <c r="DF2" s="127"/>
      <c r="DG2" s="127"/>
      <c r="DH2" s="127"/>
      <c r="DI2" s="127"/>
      <c r="DJ2" s="62"/>
      <c r="DK2" s="62"/>
      <c r="DL2" s="62"/>
      <c r="DM2" s="180"/>
    </row>
    <row r="3" spans="1:1024" ht="19.5" customHeight="1" thickBot="1">
      <c r="A3" s="121"/>
      <c r="B3" s="123"/>
      <c r="C3" s="282" t="s">
        <v>51</v>
      </c>
      <c r="D3" s="280"/>
      <c r="E3" s="281"/>
      <c r="F3" s="285" t="str">
        <f>IF(SETTINGS!$P$14="","",SETTINGS!$P$14)</f>
        <v/>
      </c>
      <c r="G3" s="285"/>
      <c r="H3" s="285"/>
      <c r="I3" s="285"/>
      <c r="J3" s="284"/>
      <c r="K3" s="61" t="s">
        <v>12</v>
      </c>
      <c r="L3" s="277" t="str">
        <f>IF(SETTINGS!$C$15="","",SETTINGS!$C$15)</f>
        <v/>
      </c>
      <c r="M3" s="277"/>
      <c r="N3" s="125"/>
      <c r="O3" s="282" t="s">
        <v>51</v>
      </c>
      <c r="P3" s="280"/>
      <c r="Q3" s="281"/>
      <c r="R3" s="285" t="str">
        <f>IF(SETTINGS!$P$15="","",SETTINGS!$P$15)</f>
        <v/>
      </c>
      <c r="S3" s="285"/>
      <c r="T3" s="285"/>
      <c r="U3" s="285"/>
      <c r="V3" s="284"/>
      <c r="W3" s="61" t="s">
        <v>12</v>
      </c>
      <c r="X3" s="277" t="str">
        <f>IF(SETTINGS!$C$15="","",SETTINGS!$C$15)</f>
        <v/>
      </c>
      <c r="Y3" s="277"/>
      <c r="Z3" s="125"/>
      <c r="AA3" s="282" t="s">
        <v>51</v>
      </c>
      <c r="AB3" s="280"/>
      <c r="AC3" s="281"/>
      <c r="AD3" s="285" t="str">
        <f>IF(SETTINGS!$P$16="","",SETTINGS!$P$16)</f>
        <v/>
      </c>
      <c r="AE3" s="285"/>
      <c r="AF3" s="285"/>
      <c r="AG3" s="285"/>
      <c r="AH3" s="284"/>
      <c r="AI3" s="63" t="s">
        <v>12</v>
      </c>
      <c r="AJ3" s="277" t="str">
        <f>IF(SETTINGS!$C$15="","",SETTINGS!$C$15)</f>
        <v/>
      </c>
      <c r="AK3" s="277"/>
      <c r="AL3" s="125"/>
      <c r="AM3" s="282" t="s">
        <v>51</v>
      </c>
      <c r="AN3" s="280"/>
      <c r="AO3" s="281"/>
      <c r="AP3" s="285" t="str">
        <f>IF(SETTINGS!$P$17="","",SETTINGS!$P$17)</f>
        <v/>
      </c>
      <c r="AQ3" s="285"/>
      <c r="AR3" s="285"/>
      <c r="AS3" s="285"/>
      <c r="AT3" s="284"/>
      <c r="AU3" s="63" t="s">
        <v>12</v>
      </c>
      <c r="AV3" s="277" t="str">
        <f>IF(SETTINGS!$C$15="","",SETTINGS!$C$15)</f>
        <v/>
      </c>
      <c r="AW3" s="277"/>
      <c r="AX3" s="125"/>
      <c r="AY3" s="282" t="s">
        <v>51</v>
      </c>
      <c r="AZ3" s="280"/>
      <c r="BA3" s="281"/>
      <c r="BB3" s="285" t="str">
        <f>IF(SETTINGS!$P$18="","",SETTINGS!$P$18)</f>
        <v/>
      </c>
      <c r="BC3" s="285"/>
      <c r="BD3" s="285"/>
      <c r="BE3" s="285"/>
      <c r="BF3" s="284"/>
      <c r="BG3" s="63" t="s">
        <v>12</v>
      </c>
      <c r="BH3" s="277" t="str">
        <f>IF(SETTINGS!$C$15="","",SETTINGS!$C$15)</f>
        <v/>
      </c>
      <c r="BI3" s="277"/>
      <c r="BJ3" s="125"/>
      <c r="BK3" s="282" t="s">
        <v>51</v>
      </c>
      <c r="BL3" s="280"/>
      <c r="BM3" s="281"/>
      <c r="BN3" s="285" t="str">
        <f>IF(SETTINGS!$P$19="","",SETTINGS!$P$19)</f>
        <v/>
      </c>
      <c r="BO3" s="285"/>
      <c r="BP3" s="285"/>
      <c r="BQ3" s="285"/>
      <c r="BR3" s="284"/>
      <c r="BS3" s="63" t="s">
        <v>12</v>
      </c>
      <c r="BT3" s="277" t="str">
        <f>IF(SETTINGS!$C$15="","",SETTINGS!$C$15)</f>
        <v/>
      </c>
      <c r="BU3" s="277"/>
      <c r="BV3" s="125"/>
      <c r="BW3" s="282" t="s">
        <v>51</v>
      </c>
      <c r="BX3" s="280"/>
      <c r="BY3" s="281"/>
      <c r="BZ3" s="285" t="str">
        <f>IF(SETTINGS!$P$20="","",SETTINGS!$P$20)</f>
        <v/>
      </c>
      <c r="CA3" s="285"/>
      <c r="CB3" s="285"/>
      <c r="CC3" s="285"/>
      <c r="CD3" s="284"/>
      <c r="CE3" s="63" t="s">
        <v>12</v>
      </c>
      <c r="CF3" s="277" t="str">
        <f>IF(SETTINGS!$C$15="","",SETTINGS!$C$15)</f>
        <v/>
      </c>
      <c r="CG3" s="277"/>
      <c r="CH3" s="125"/>
      <c r="CI3" s="282" t="s">
        <v>51</v>
      </c>
      <c r="CJ3" s="280"/>
      <c r="CK3" s="281"/>
      <c r="CL3" s="285" t="str">
        <f>IF(SETTINGS!$P$21="","",SETTINGS!$P$21)</f>
        <v/>
      </c>
      <c r="CM3" s="285"/>
      <c r="CN3" s="285"/>
      <c r="CO3" s="285"/>
      <c r="CP3" s="284"/>
      <c r="CQ3" s="63" t="s">
        <v>12</v>
      </c>
      <c r="CR3" s="277" t="str">
        <f>IF(SETTINGS!$C$15="","",SETTINGS!$C$15)</f>
        <v/>
      </c>
      <c r="CS3" s="277"/>
      <c r="CT3" s="125"/>
      <c r="CU3" s="282" t="s">
        <v>51</v>
      </c>
      <c r="CV3" s="280"/>
      <c r="CW3" s="281"/>
      <c r="CX3" s="285" t="str">
        <f>IF(SETTINGS!$P$22="","",SETTINGS!$P$22)</f>
        <v/>
      </c>
      <c r="CY3" s="285"/>
      <c r="CZ3" s="285"/>
      <c r="DA3" s="285"/>
      <c r="DB3" s="284"/>
      <c r="DC3" s="63" t="s">
        <v>12</v>
      </c>
      <c r="DD3" s="277" t="str">
        <f>IF(SETTINGS!$C$15="","",SETTINGS!$C$15)</f>
        <v/>
      </c>
      <c r="DE3" s="277"/>
      <c r="DF3" s="127"/>
      <c r="DG3" s="127"/>
      <c r="DH3" s="127"/>
      <c r="DI3" s="127"/>
      <c r="DJ3" s="62"/>
      <c r="DK3" s="62"/>
      <c r="DL3" s="62"/>
      <c r="DM3" s="180"/>
    </row>
    <row r="4" spans="1:1024" ht="19.5" customHeight="1" thickBot="1">
      <c r="A4" s="121"/>
      <c r="B4" s="123"/>
      <c r="C4" s="282" t="s">
        <v>311</v>
      </c>
      <c r="D4" s="280"/>
      <c r="E4" s="281"/>
      <c r="F4" s="285" t="str">
        <f>IF(SETTINGS!$H$12="","",SETTINGS!$H$12)</f>
        <v/>
      </c>
      <c r="G4" s="285"/>
      <c r="H4" s="285"/>
      <c r="I4" s="285"/>
      <c r="J4" s="284"/>
      <c r="K4" s="61" t="s">
        <v>13</v>
      </c>
      <c r="L4" s="277" t="str">
        <f>IF(SETTINGS!$H$14="","",SETTINGS!$H$14)</f>
        <v/>
      </c>
      <c r="M4" s="277"/>
      <c r="N4" s="125"/>
      <c r="O4" s="282" t="s">
        <v>311</v>
      </c>
      <c r="P4" s="280"/>
      <c r="Q4" s="281"/>
      <c r="R4" s="285" t="str">
        <f>IF(SETTINGS!$H$12="","",SETTINGS!$H$12)</f>
        <v/>
      </c>
      <c r="S4" s="285"/>
      <c r="T4" s="285"/>
      <c r="U4" s="285"/>
      <c r="V4" s="284"/>
      <c r="W4" s="61" t="s">
        <v>13</v>
      </c>
      <c r="X4" s="277" t="str">
        <f>IF(SETTINGS!$H$14="","",SETTINGS!$H$14)</f>
        <v/>
      </c>
      <c r="Y4" s="277"/>
      <c r="Z4" s="125"/>
      <c r="AA4" s="282" t="s">
        <v>311</v>
      </c>
      <c r="AB4" s="280"/>
      <c r="AC4" s="281"/>
      <c r="AD4" s="285" t="str">
        <f>IF(SETTINGS!$H$12="","",SETTINGS!$H$12)</f>
        <v/>
      </c>
      <c r="AE4" s="285"/>
      <c r="AF4" s="285"/>
      <c r="AG4" s="285"/>
      <c r="AH4" s="284"/>
      <c r="AI4" s="63" t="s">
        <v>13</v>
      </c>
      <c r="AJ4" s="277" t="str">
        <f>IF(SETTINGS!$H$14="","",SETTINGS!$H$14)</f>
        <v/>
      </c>
      <c r="AK4" s="277"/>
      <c r="AL4" s="125"/>
      <c r="AM4" s="282" t="s">
        <v>311</v>
      </c>
      <c r="AN4" s="280"/>
      <c r="AO4" s="281"/>
      <c r="AP4" s="285" t="str">
        <f>IF(SETTINGS!$H$12="","",SETTINGS!$H$12)</f>
        <v/>
      </c>
      <c r="AQ4" s="285"/>
      <c r="AR4" s="285"/>
      <c r="AS4" s="285"/>
      <c r="AT4" s="284"/>
      <c r="AU4" s="63" t="s">
        <v>13</v>
      </c>
      <c r="AV4" s="277" t="str">
        <f>IF(SETTINGS!$H$14="","",SETTINGS!$H$14)</f>
        <v/>
      </c>
      <c r="AW4" s="277"/>
      <c r="AX4" s="125"/>
      <c r="AY4" s="282" t="s">
        <v>311</v>
      </c>
      <c r="AZ4" s="280"/>
      <c r="BA4" s="281"/>
      <c r="BB4" s="285" t="str">
        <f>IF(SETTINGS!$H$12="","",SETTINGS!$H$12)</f>
        <v/>
      </c>
      <c r="BC4" s="285"/>
      <c r="BD4" s="285"/>
      <c r="BE4" s="285"/>
      <c r="BF4" s="284"/>
      <c r="BG4" s="63" t="s">
        <v>13</v>
      </c>
      <c r="BH4" s="277" t="str">
        <f>IF(SETTINGS!$H$14="","",SETTINGS!$H$14)</f>
        <v/>
      </c>
      <c r="BI4" s="277"/>
      <c r="BJ4" s="125"/>
      <c r="BK4" s="282" t="s">
        <v>311</v>
      </c>
      <c r="BL4" s="280"/>
      <c r="BM4" s="281"/>
      <c r="BN4" s="285" t="str">
        <f>IF(SETTINGS!$H$12="","",SETTINGS!$H$12)</f>
        <v/>
      </c>
      <c r="BO4" s="285"/>
      <c r="BP4" s="285"/>
      <c r="BQ4" s="285"/>
      <c r="BR4" s="284"/>
      <c r="BS4" s="63" t="s">
        <v>13</v>
      </c>
      <c r="BT4" s="277" t="str">
        <f>IF(SETTINGS!$H$14="","",SETTINGS!$H$14)</f>
        <v/>
      </c>
      <c r="BU4" s="277"/>
      <c r="BV4" s="125"/>
      <c r="BW4" s="282" t="s">
        <v>311</v>
      </c>
      <c r="BX4" s="280"/>
      <c r="BY4" s="281"/>
      <c r="BZ4" s="285" t="str">
        <f>IF(SETTINGS!$H$12="","",SETTINGS!$H$12)</f>
        <v/>
      </c>
      <c r="CA4" s="285"/>
      <c r="CB4" s="285"/>
      <c r="CC4" s="285"/>
      <c r="CD4" s="284"/>
      <c r="CE4" s="63" t="s">
        <v>13</v>
      </c>
      <c r="CF4" s="277" t="str">
        <f>IF(SETTINGS!$H$14="","",SETTINGS!$H$14)</f>
        <v/>
      </c>
      <c r="CG4" s="277"/>
      <c r="CH4" s="125"/>
      <c r="CI4" s="282" t="s">
        <v>311</v>
      </c>
      <c r="CJ4" s="280"/>
      <c r="CK4" s="281"/>
      <c r="CL4" s="285" t="str">
        <f>IF(SETTINGS!$H$12="","",SETTINGS!$H$12)</f>
        <v/>
      </c>
      <c r="CM4" s="285"/>
      <c r="CN4" s="285"/>
      <c r="CO4" s="285"/>
      <c r="CP4" s="284"/>
      <c r="CQ4" s="63" t="s">
        <v>13</v>
      </c>
      <c r="CR4" s="277" t="str">
        <f>IF(SETTINGS!$H$14="","",SETTINGS!$H$14)</f>
        <v/>
      </c>
      <c r="CS4" s="277"/>
      <c r="CT4" s="125"/>
      <c r="CU4" s="282" t="s">
        <v>311</v>
      </c>
      <c r="CV4" s="280"/>
      <c r="CW4" s="281"/>
      <c r="CX4" s="285" t="str">
        <f>IF(SETTINGS!$H$12="","",SETTINGS!$H$12)</f>
        <v/>
      </c>
      <c r="CY4" s="285"/>
      <c r="CZ4" s="285"/>
      <c r="DA4" s="285"/>
      <c r="DB4" s="284"/>
      <c r="DC4" s="63" t="s">
        <v>13</v>
      </c>
      <c r="DD4" s="277" t="str">
        <f>IF(SETTINGS!$H$14="","",SETTINGS!$H$14)</f>
        <v/>
      </c>
      <c r="DE4" s="277"/>
      <c r="DF4" s="127"/>
      <c r="DG4" s="127"/>
      <c r="DH4" s="127"/>
      <c r="DI4" s="127"/>
      <c r="DJ4" s="62"/>
      <c r="DK4" s="62"/>
      <c r="DL4" s="62"/>
      <c r="DM4" s="180"/>
    </row>
    <row r="5" spans="1:1024" ht="19.5" customHeight="1" thickBot="1">
      <c r="A5" s="121"/>
      <c r="B5" s="123"/>
      <c r="C5" s="282" t="s">
        <v>14</v>
      </c>
      <c r="D5" s="280"/>
      <c r="E5" s="281"/>
      <c r="F5" s="285" t="str">
        <f>IF(SETTINGS!$O$14="","",SETTINGS!$O$14)</f>
        <v>ENG. LANGUAGE</v>
      </c>
      <c r="G5" s="285"/>
      <c r="H5" s="285"/>
      <c r="I5" s="285"/>
      <c r="J5" s="284"/>
      <c r="K5" s="61"/>
      <c r="L5" s="277"/>
      <c r="M5" s="277"/>
      <c r="N5" s="125"/>
      <c r="O5" s="282" t="s">
        <v>14</v>
      </c>
      <c r="P5" s="280"/>
      <c r="Q5" s="281"/>
      <c r="R5" s="285" t="str">
        <f>IF(SETTINGS!$O$15="","",SETTINGS!$O$15)</f>
        <v>INT. SCIENCE</v>
      </c>
      <c r="S5" s="285"/>
      <c r="T5" s="285"/>
      <c r="U5" s="285"/>
      <c r="V5" s="284"/>
      <c r="W5" s="61"/>
      <c r="X5" s="277"/>
      <c r="Y5" s="277"/>
      <c r="Z5" s="125"/>
      <c r="AA5" s="282" t="s">
        <v>14</v>
      </c>
      <c r="AB5" s="280"/>
      <c r="AC5" s="281"/>
      <c r="AD5" s="285" t="str">
        <f>IF(SETTINGS!$O$16="","",SETTINGS!$O$16)</f>
        <v>C. MATHEMATICS</v>
      </c>
      <c r="AE5" s="285"/>
      <c r="AF5" s="285"/>
      <c r="AG5" s="285"/>
      <c r="AH5" s="284"/>
      <c r="AI5" s="63"/>
      <c r="AJ5" s="277"/>
      <c r="AK5" s="277"/>
      <c r="AL5" s="125"/>
      <c r="AM5" s="282" t="s">
        <v>14</v>
      </c>
      <c r="AN5" s="280"/>
      <c r="AO5" s="281"/>
      <c r="AP5" s="285" t="str">
        <f>IF(SETTINGS!$O$17="","",SETTINGS!$O$17)</f>
        <v>SOCIAL STUDIES</v>
      </c>
      <c r="AQ5" s="285"/>
      <c r="AR5" s="285"/>
      <c r="AS5" s="285"/>
      <c r="AT5" s="284"/>
      <c r="AU5" s="63"/>
      <c r="AV5" s="283"/>
      <c r="AW5" s="284"/>
      <c r="AX5" s="125"/>
      <c r="AY5" s="282" t="s">
        <v>14</v>
      </c>
      <c r="AZ5" s="280"/>
      <c r="BA5" s="281"/>
      <c r="BB5" s="285" t="str">
        <f>IF(SETTINGS!$O$18="","",SETTINGS!$O$18)</f>
        <v>PHYSICS</v>
      </c>
      <c r="BC5" s="285"/>
      <c r="BD5" s="285"/>
      <c r="BE5" s="285"/>
      <c r="BF5" s="284"/>
      <c r="BG5" s="63"/>
      <c r="BH5" s="283"/>
      <c r="BI5" s="284"/>
      <c r="BJ5" s="125"/>
      <c r="BK5" s="282" t="s">
        <v>14</v>
      </c>
      <c r="BL5" s="280"/>
      <c r="BM5" s="281"/>
      <c r="BN5" s="285" t="str">
        <f>IF(SETTINGS!$O$19="","",SETTINGS!$O$19)</f>
        <v>E. MATHEMATICS</v>
      </c>
      <c r="BO5" s="285"/>
      <c r="BP5" s="285"/>
      <c r="BQ5" s="285"/>
      <c r="BR5" s="284"/>
      <c r="BS5" s="63"/>
      <c r="BT5" s="283"/>
      <c r="BU5" s="284"/>
      <c r="BV5" s="125"/>
      <c r="BW5" s="282" t="s">
        <v>14</v>
      </c>
      <c r="BX5" s="280"/>
      <c r="BY5" s="281"/>
      <c r="BZ5" s="285" t="str">
        <f>IF(SETTINGS!$O$20="","",SETTINGS!$O$20)</f>
        <v>BIOLOGY</v>
      </c>
      <c r="CA5" s="285"/>
      <c r="CB5" s="285"/>
      <c r="CC5" s="285"/>
      <c r="CD5" s="284"/>
      <c r="CE5" s="63"/>
      <c r="CF5" s="283"/>
      <c r="CG5" s="284"/>
      <c r="CH5" s="125"/>
      <c r="CI5" s="282" t="s">
        <v>14</v>
      </c>
      <c r="CJ5" s="280"/>
      <c r="CK5" s="281"/>
      <c r="CL5" s="285" t="str">
        <f>IF(SETTINGS!$O$21="","",SETTINGS!$O$21)</f>
        <v>CHEMISTRY</v>
      </c>
      <c r="CM5" s="285"/>
      <c r="CN5" s="285"/>
      <c r="CO5" s="285"/>
      <c r="CP5" s="284"/>
      <c r="CQ5" s="63"/>
      <c r="CR5" s="283"/>
      <c r="CS5" s="284"/>
      <c r="CT5" s="125"/>
      <c r="CU5" s="282" t="s">
        <v>14</v>
      </c>
      <c r="CV5" s="280"/>
      <c r="CW5" s="281"/>
      <c r="CX5" s="285" t="str">
        <f>IF(SETTINGS!$O$22="","",SETTINGS!$O$22)</f>
        <v>I.C.T</v>
      </c>
      <c r="CY5" s="285"/>
      <c r="CZ5" s="285"/>
      <c r="DA5" s="285"/>
      <c r="DB5" s="284"/>
      <c r="DC5" s="63"/>
      <c r="DD5" s="283"/>
      <c r="DE5" s="284"/>
      <c r="DF5" s="127"/>
      <c r="DG5" s="127"/>
      <c r="DH5" s="127"/>
      <c r="DI5" s="127"/>
      <c r="DJ5" s="62"/>
      <c r="DK5" s="62"/>
      <c r="DL5" s="62"/>
      <c r="DM5" s="180"/>
    </row>
    <row r="6" spans="1:1024" s="182" customFormat="1" ht="19.5" customHeight="1" thickBot="1">
      <c r="A6" s="124"/>
      <c r="B6" s="125"/>
      <c r="C6" s="282" t="s">
        <v>15</v>
      </c>
      <c r="D6" s="280"/>
      <c r="E6" s="281"/>
      <c r="F6" s="285">
        <f>COUNTA($B$12:$B$76)</f>
        <v>65</v>
      </c>
      <c r="G6" s="285"/>
      <c r="H6" s="285"/>
      <c r="I6" s="285"/>
      <c r="J6" s="284"/>
      <c r="K6" s="61"/>
      <c r="L6" s="277"/>
      <c r="M6" s="277"/>
      <c r="N6" s="125"/>
      <c r="O6" s="282" t="s">
        <v>15</v>
      </c>
      <c r="P6" s="280"/>
      <c r="Q6" s="281"/>
      <c r="R6" s="285">
        <f>COUNTA($B$12:$B$76)</f>
        <v>65</v>
      </c>
      <c r="S6" s="285"/>
      <c r="T6" s="285"/>
      <c r="U6" s="285"/>
      <c r="V6" s="284"/>
      <c r="W6" s="61"/>
      <c r="X6" s="277"/>
      <c r="Y6" s="277"/>
      <c r="Z6" s="125"/>
      <c r="AA6" s="282" t="s">
        <v>15</v>
      </c>
      <c r="AB6" s="280"/>
      <c r="AC6" s="281"/>
      <c r="AD6" s="285">
        <f>COUNTA($B$12:$B$76)</f>
        <v>65</v>
      </c>
      <c r="AE6" s="285"/>
      <c r="AF6" s="285"/>
      <c r="AG6" s="285"/>
      <c r="AH6" s="284"/>
      <c r="AI6" s="63"/>
      <c r="AJ6" s="277"/>
      <c r="AK6" s="277"/>
      <c r="AL6" s="125"/>
      <c r="AM6" s="282" t="s">
        <v>15</v>
      </c>
      <c r="AN6" s="280"/>
      <c r="AO6" s="281"/>
      <c r="AP6" s="285">
        <f>COUNTA($B$12:$B$76)</f>
        <v>65</v>
      </c>
      <c r="AQ6" s="285"/>
      <c r="AR6" s="285"/>
      <c r="AS6" s="285"/>
      <c r="AT6" s="284"/>
      <c r="AU6" s="63"/>
      <c r="AV6" s="283"/>
      <c r="AW6" s="284"/>
      <c r="AX6" s="128"/>
      <c r="AY6" s="282" t="s">
        <v>15</v>
      </c>
      <c r="AZ6" s="280"/>
      <c r="BA6" s="281"/>
      <c r="BB6" s="285">
        <f>COUNTA($B$12:$B$76)</f>
        <v>65</v>
      </c>
      <c r="BC6" s="285"/>
      <c r="BD6" s="285"/>
      <c r="BE6" s="285"/>
      <c r="BF6" s="284"/>
      <c r="BG6" s="63"/>
      <c r="BH6" s="283"/>
      <c r="BI6" s="284"/>
      <c r="BJ6" s="128"/>
      <c r="BK6" s="282" t="s">
        <v>15</v>
      </c>
      <c r="BL6" s="280"/>
      <c r="BM6" s="281"/>
      <c r="BN6" s="285">
        <f>COUNTA($B$12:$B$76)</f>
        <v>65</v>
      </c>
      <c r="BO6" s="285"/>
      <c r="BP6" s="285"/>
      <c r="BQ6" s="285"/>
      <c r="BR6" s="284"/>
      <c r="BS6" s="63"/>
      <c r="BT6" s="283"/>
      <c r="BU6" s="284"/>
      <c r="BV6" s="128"/>
      <c r="BW6" s="282" t="s">
        <v>15</v>
      </c>
      <c r="BX6" s="280"/>
      <c r="BY6" s="281"/>
      <c r="BZ6" s="285">
        <f>COUNTA($B$12:$B$76)</f>
        <v>65</v>
      </c>
      <c r="CA6" s="285"/>
      <c r="CB6" s="285"/>
      <c r="CC6" s="285"/>
      <c r="CD6" s="284"/>
      <c r="CE6" s="63"/>
      <c r="CF6" s="283"/>
      <c r="CG6" s="284"/>
      <c r="CH6" s="128"/>
      <c r="CI6" s="282" t="s">
        <v>15</v>
      </c>
      <c r="CJ6" s="280"/>
      <c r="CK6" s="281"/>
      <c r="CL6" s="285">
        <f>COUNTA($B$12:$B$76)</f>
        <v>65</v>
      </c>
      <c r="CM6" s="285"/>
      <c r="CN6" s="285"/>
      <c r="CO6" s="285"/>
      <c r="CP6" s="284"/>
      <c r="CQ6" s="63"/>
      <c r="CR6" s="283"/>
      <c r="CS6" s="284"/>
      <c r="CT6" s="128"/>
      <c r="CU6" s="282" t="s">
        <v>15</v>
      </c>
      <c r="CV6" s="280"/>
      <c r="CW6" s="281"/>
      <c r="CX6" s="285">
        <f>COUNTA($B$12:$B$76)</f>
        <v>65</v>
      </c>
      <c r="CY6" s="285"/>
      <c r="CZ6" s="285"/>
      <c r="DA6" s="285"/>
      <c r="DB6" s="284"/>
      <c r="DC6" s="63"/>
      <c r="DD6" s="283"/>
      <c r="DE6" s="284"/>
      <c r="DF6" s="128"/>
      <c r="DG6" s="128"/>
      <c r="DH6" s="128"/>
      <c r="DI6" s="128"/>
      <c r="DJ6" s="64"/>
      <c r="DK6" s="64"/>
      <c r="DL6" s="64"/>
      <c r="DM6" s="178"/>
      <c r="AMI6" s="184"/>
      <c r="AMJ6" s="184"/>
    </row>
    <row r="7" spans="1:1024" ht="19.5" customHeight="1" thickBot="1">
      <c r="A7" s="124"/>
      <c r="B7" s="125"/>
      <c r="C7" s="125"/>
      <c r="D7" s="125"/>
      <c r="E7" s="125"/>
      <c r="F7" s="125"/>
      <c r="G7" s="125"/>
      <c r="H7" s="125"/>
      <c r="I7" s="126"/>
      <c r="J7" s="126"/>
      <c r="K7" s="125"/>
      <c r="L7" s="125"/>
      <c r="M7" s="137"/>
      <c r="N7" s="125"/>
      <c r="O7" s="125"/>
      <c r="P7" s="125"/>
      <c r="Q7" s="125"/>
      <c r="R7" s="125"/>
      <c r="S7" s="125"/>
      <c r="T7" s="125"/>
      <c r="U7" s="126"/>
      <c r="V7" s="126"/>
      <c r="W7" s="125"/>
      <c r="X7" s="125"/>
      <c r="Y7" s="123"/>
      <c r="Z7" s="123"/>
      <c r="AA7" s="123"/>
      <c r="AB7" s="123"/>
      <c r="AC7" s="123"/>
      <c r="AD7" s="123"/>
      <c r="AE7" s="123"/>
      <c r="AF7" s="123"/>
      <c r="AG7" s="126"/>
      <c r="AH7" s="126"/>
      <c r="AI7" s="123"/>
      <c r="AJ7" s="123"/>
      <c r="AK7" s="123"/>
      <c r="AL7" s="123"/>
      <c r="AM7" s="123"/>
      <c r="AN7" s="123"/>
      <c r="AO7" s="123"/>
      <c r="AP7" s="123"/>
      <c r="AQ7" s="123"/>
      <c r="AR7" s="123"/>
      <c r="AS7" s="126"/>
      <c r="AT7" s="126"/>
      <c r="AU7" s="123"/>
      <c r="AV7" s="123"/>
      <c r="AW7" s="123"/>
      <c r="AX7" s="123"/>
      <c r="AY7" s="123"/>
      <c r="AZ7" s="123"/>
      <c r="BA7" s="123"/>
      <c r="BB7" s="123"/>
      <c r="BC7" s="123"/>
      <c r="BD7" s="123"/>
      <c r="BE7" s="126"/>
      <c r="BF7" s="126"/>
      <c r="BG7" s="123"/>
      <c r="BH7" s="123"/>
      <c r="BI7" s="123"/>
      <c r="BJ7" s="123"/>
      <c r="BK7" s="123"/>
      <c r="BL7" s="123"/>
      <c r="BM7" s="123"/>
      <c r="BN7" s="123"/>
      <c r="BO7" s="123"/>
      <c r="BP7" s="123"/>
      <c r="BQ7" s="126"/>
      <c r="BR7" s="126"/>
      <c r="BS7" s="123"/>
      <c r="BT7" s="123"/>
      <c r="BU7" s="123"/>
      <c r="BV7" s="123"/>
      <c r="BW7" s="123"/>
      <c r="BX7" s="123"/>
      <c r="BY7" s="123"/>
      <c r="BZ7" s="123"/>
      <c r="CA7" s="123"/>
      <c r="CB7" s="123"/>
      <c r="CC7" s="126"/>
      <c r="CD7" s="126"/>
      <c r="CE7" s="123"/>
      <c r="CF7" s="123"/>
      <c r="CG7" s="123"/>
      <c r="CH7" s="123"/>
      <c r="CI7" s="123"/>
      <c r="CJ7" s="123"/>
      <c r="CK7" s="123"/>
      <c r="CL7" s="123"/>
      <c r="CM7" s="123"/>
      <c r="CN7" s="123"/>
      <c r="CO7" s="126"/>
      <c r="CP7" s="126"/>
      <c r="CQ7" s="123"/>
      <c r="CR7" s="123"/>
      <c r="CS7" s="123"/>
      <c r="CT7" s="123"/>
      <c r="CU7" s="123"/>
      <c r="CV7" s="123"/>
      <c r="CW7" s="123"/>
      <c r="CX7" s="123"/>
      <c r="CY7" s="123"/>
      <c r="CZ7" s="123"/>
      <c r="DA7" s="126"/>
      <c r="DB7" s="126"/>
      <c r="DC7" s="123"/>
      <c r="DD7" s="123"/>
      <c r="DE7" s="123"/>
      <c r="DF7" s="138"/>
      <c r="DG7" s="138"/>
      <c r="DH7" s="127"/>
      <c r="DI7" s="127"/>
      <c r="DJ7" s="62"/>
      <c r="DK7" s="62"/>
      <c r="DL7" s="62"/>
      <c r="DM7" s="180"/>
    </row>
    <row r="8" spans="1:1024" ht="19.5" customHeight="1" thickBot="1">
      <c r="A8" s="286" t="s">
        <v>16</v>
      </c>
      <c r="B8" s="287" t="s">
        <v>17</v>
      </c>
      <c r="C8" s="319" t="str">
        <f>"INDIV. TEST" &amp; "  ("&amp;SETTINGS!$L$14*100 &amp;")"</f>
        <v>INDIV. TEST  (0)</v>
      </c>
      <c r="D8" s="319" t="str">
        <f>"GROUP
WORK" &amp; "  (" &amp; SETTINGS!$L$15*100 &amp;")"</f>
        <v>GROUP
WORK  (0)</v>
      </c>
      <c r="E8" s="319" t="str">
        <f xml:space="preserve"> "CLASS TEST" &amp;"  (" &amp; SETTINGS!$L$16*100 &amp;")"</f>
        <v>CLASS TEST  (0)</v>
      </c>
      <c r="F8" s="319" t="str">
        <f>"PROJECT" &amp;"  (" &amp; SETTINGS!$L$17*100 &amp;")"</f>
        <v>PROJECT  (0)</v>
      </c>
      <c r="G8" s="319" t="str">
        <f>"TOTAL "&amp;SUM(SETTINGS!$L$14:$L$17)*100</f>
        <v>TOTAL 0</v>
      </c>
      <c r="H8" s="319" t="str">
        <f xml:space="preserve"> "SCALED TO " &amp; SETTINGS!$L$18*100</f>
        <v>SCALED TO 0</v>
      </c>
      <c r="I8" s="320" t="str">
        <f>"END OF TERM EXAM " &amp; SETTINGS!$L$19*100</f>
        <v>END OF TERM EXAM 0</v>
      </c>
      <c r="J8" s="319" t="str">
        <f xml:space="preserve"> "EXAM SCALED TO " &amp; SETTINGS!$L$20*100</f>
        <v>EXAM SCALED TO 0</v>
      </c>
      <c r="K8" s="320" t="str">
        <f>"OVER ALL TOTAL " &amp; " ("&amp;SETTINGS!$L$18*100  &amp;"+"&amp; SETTINGS!$L$20*100  &amp; ")%"</f>
        <v>OVER ALL TOTAL  (0+0)%</v>
      </c>
      <c r="L8" s="319" t="s">
        <v>18</v>
      </c>
      <c r="M8" s="321" t="s">
        <v>7</v>
      </c>
      <c r="N8" s="125"/>
      <c r="O8" s="291" t="str">
        <f>"INDIV.
TEST" &amp; "  ("&amp;SETTINGS!$L$14*100 &amp;")"</f>
        <v>INDIV.
TEST  (0)</v>
      </c>
      <c r="P8" s="291" t="str">
        <f>"GROUP
WORK" &amp; "  (" &amp; SETTINGS!$L$15*100 &amp;")"</f>
        <v>GROUP
WORK  (0)</v>
      </c>
      <c r="Q8" s="291" t="str">
        <f xml:space="preserve"> "CLASS TEST" &amp;"  (" &amp; SETTINGS!$L$16*100 &amp;")"</f>
        <v>CLASS TEST  (0)</v>
      </c>
      <c r="R8" s="291" t="str">
        <f>"PROJECT" &amp;"  (" &amp; SETTINGS!$L$17*100 &amp;")"</f>
        <v>PROJECT  (0)</v>
      </c>
      <c r="S8" s="288" t="str">
        <f>"TOTAL "&amp;SUM(SETTINGS!$L$14:$L$17)*100</f>
        <v>TOTAL 0</v>
      </c>
      <c r="T8" s="291" t="str">
        <f xml:space="preserve"> "SCALED TO " &amp; SETTINGS!$L$18*100</f>
        <v>SCALED TO 0</v>
      </c>
      <c r="U8" s="295" t="str">
        <f>"END OF TERM EXAM " &amp; SETTINGS!$L$19*100</f>
        <v>END OF TERM EXAM 0</v>
      </c>
      <c r="V8" s="291" t="str">
        <f xml:space="preserve"> "EXAM SCALED TO " &amp; SETTINGS!$L$20*100</f>
        <v>EXAM SCALED TO 0</v>
      </c>
      <c r="W8" s="295" t="str">
        <f>"OVER ALL TOTAL " &amp; " ("&amp;SETTINGS!$L$18*100  &amp;"+"&amp; SETTINGS!$L$20*100  &amp; ")%"</f>
        <v>OVER ALL TOTAL  (0+0)%</v>
      </c>
      <c r="X8" s="291" t="s">
        <v>18</v>
      </c>
      <c r="Y8" s="298" t="s">
        <v>7</v>
      </c>
      <c r="Z8" s="125"/>
      <c r="AA8" s="288" t="str">
        <f>"INDIV. TEST" &amp; "  ("&amp;SETTINGS!$L$14*100 &amp;")"</f>
        <v>INDIV. TEST  (0)</v>
      </c>
      <c r="AB8" s="288" t="str">
        <f>"GROUP
WORK" &amp; "  (" &amp; SETTINGS!$L$15*100 &amp;")"</f>
        <v>GROUP
WORK  (0)</v>
      </c>
      <c r="AC8" s="288" t="str">
        <f xml:space="preserve"> "CLASS TEST" &amp;"  (" &amp; SETTINGS!$L$16*100 &amp;")"</f>
        <v>CLASS TEST  (0)</v>
      </c>
      <c r="AD8" s="288" t="str">
        <f>"PROJECT" &amp;"  (" &amp; SETTINGS!$L$17*100 &amp;")"</f>
        <v>PROJECT  (0)</v>
      </c>
      <c r="AE8" s="288" t="str">
        <f>"TOTAL "&amp;SUM(SETTINGS!$L$14:$L$17)*100</f>
        <v>TOTAL 0</v>
      </c>
      <c r="AF8" s="288" t="str">
        <f xml:space="preserve"> "SCALED TO " &amp; SETTINGS!$L$18*100 &amp; " MARKS"</f>
        <v>SCALED TO 0 MARKS</v>
      </c>
      <c r="AG8" s="289" t="str">
        <f>"END OF TERM EXAM " &amp; SETTINGS!$L$19*100</f>
        <v>END OF TERM EXAM 0</v>
      </c>
      <c r="AH8" s="288" t="str">
        <f xml:space="preserve"> "EXAM SCALED TO " &amp; SETTINGS!$L$20*100</f>
        <v>EXAM SCALED TO 0</v>
      </c>
      <c r="AI8" s="289" t="str">
        <f>"OVER ALL TOTAL " &amp; " ("&amp;SETTINGS!$L$18*100  &amp;"+"&amp; SETTINGS!$L$20*100  &amp; ")%"</f>
        <v>OVER ALL TOTAL  (0+0)%</v>
      </c>
      <c r="AJ8" s="288" t="s">
        <v>18</v>
      </c>
      <c r="AK8" s="290" t="s">
        <v>7</v>
      </c>
      <c r="AL8" s="125"/>
      <c r="AM8" s="288" t="str">
        <f>"INDIV. TEST" &amp; "  ("&amp;SETTINGS!$L$14*100 &amp;")"</f>
        <v>INDIV. TEST  (0)</v>
      </c>
      <c r="AN8" s="288" t="str">
        <f>"GROUP
WORK" &amp; "  (" &amp; SETTINGS!$L$15*100 &amp;")"</f>
        <v>GROUP
WORK  (0)</v>
      </c>
      <c r="AO8" s="288" t="str">
        <f xml:space="preserve"> "CLASS TEST" &amp;"  (" &amp; SETTINGS!$L$16*100 &amp;")"</f>
        <v>CLASS TEST  (0)</v>
      </c>
      <c r="AP8" s="288" t="str">
        <f>"PROJECT" &amp;"  (" &amp; SETTINGS!$L$17*100 &amp;")"</f>
        <v>PROJECT  (0)</v>
      </c>
      <c r="AQ8" s="288" t="str">
        <f>"TOTAL "&amp;SUM(SETTINGS!$L$14:$L$17)*100</f>
        <v>TOTAL 0</v>
      </c>
      <c r="AR8" s="288" t="str">
        <f xml:space="preserve"> "SCALED TO " &amp; SETTINGS!$L$18*100 &amp; " MARKS"</f>
        <v>SCALED TO 0 MARKS</v>
      </c>
      <c r="AS8" s="289" t="str">
        <f>"END OF TERM EXAM " &amp; SETTINGS!$L$19*100</f>
        <v>END OF TERM EXAM 0</v>
      </c>
      <c r="AT8" s="288" t="str">
        <f xml:space="preserve"> "EXAM SCALED TO " &amp; SETTINGS!$L$20*100</f>
        <v>EXAM SCALED TO 0</v>
      </c>
      <c r="AU8" s="289" t="str">
        <f>"OVER ALL TOTAL " &amp; " ("&amp;SETTINGS!$L$18*100  &amp;"+"&amp; SETTINGS!$L$20*100  &amp; ")%"</f>
        <v>OVER ALL TOTAL  (0+0)%</v>
      </c>
      <c r="AV8" s="288" t="s">
        <v>18</v>
      </c>
      <c r="AW8" s="290" t="s">
        <v>7</v>
      </c>
      <c r="AX8" s="125"/>
      <c r="AY8" s="288" t="str">
        <f>"INDIV. TEST" &amp; "  ("&amp;SETTINGS!$L$14*100 &amp;")"</f>
        <v>INDIV. TEST  (0)</v>
      </c>
      <c r="AZ8" s="288" t="str">
        <f>"GROUP
WORK" &amp; "  (" &amp; SETTINGS!$L$15*100 &amp;")"</f>
        <v>GROUP
WORK  (0)</v>
      </c>
      <c r="BA8" s="288" t="str">
        <f xml:space="preserve"> "CLASS TEST" &amp;"  (" &amp; SETTINGS!$L$16*100 &amp;")"</f>
        <v>CLASS TEST  (0)</v>
      </c>
      <c r="BB8" s="288" t="str">
        <f>"PROJECT" &amp;"  (" &amp; SETTINGS!$L$17*100 &amp;")"</f>
        <v>PROJECT  (0)</v>
      </c>
      <c r="BC8" s="288" t="str">
        <f>"TOTAL "&amp;SUM(SETTINGS!$L$14:$L$17)*100</f>
        <v>TOTAL 0</v>
      </c>
      <c r="BD8" s="288" t="str">
        <f xml:space="preserve"> "SCALED TO " &amp; SETTINGS!$L$18*100 &amp; " MARKS"</f>
        <v>SCALED TO 0 MARKS</v>
      </c>
      <c r="BE8" s="289" t="str">
        <f>"END OF TERM EXAM " &amp; SETTINGS!$L$19*100</f>
        <v>END OF TERM EXAM 0</v>
      </c>
      <c r="BF8" s="288" t="str">
        <f xml:space="preserve"> "EXAM SCALED TO " &amp; SETTINGS!$L$20*100</f>
        <v>EXAM SCALED TO 0</v>
      </c>
      <c r="BG8" s="289" t="str">
        <f>"OVER ALL TOTAL " &amp; " ("&amp;SETTINGS!$L$18*100  &amp;"+"&amp; SETTINGS!$L$20*100  &amp; ")%"</f>
        <v>OVER ALL TOTAL  (0+0)%</v>
      </c>
      <c r="BH8" s="288" t="s">
        <v>18</v>
      </c>
      <c r="BI8" s="290" t="s">
        <v>7</v>
      </c>
      <c r="BJ8" s="125"/>
      <c r="BK8" s="288" t="str">
        <f>"INDIV. TEST" &amp; "  ("&amp;SETTINGS!$L$14*100 &amp;")"</f>
        <v>INDIV. TEST  (0)</v>
      </c>
      <c r="BL8" s="288" t="str">
        <f>"GROUP
WORK" &amp; "  (" &amp; SETTINGS!$L$15*100 &amp;")"</f>
        <v>GROUP
WORK  (0)</v>
      </c>
      <c r="BM8" s="288" t="str">
        <f xml:space="preserve"> "CLASS TEST" &amp;"  (" &amp; SETTINGS!$L$16*100 &amp;")"</f>
        <v>CLASS TEST  (0)</v>
      </c>
      <c r="BN8" s="288" t="str">
        <f>"PROJECT" &amp;"  (" &amp; SETTINGS!$L$17*100 &amp;")"</f>
        <v>PROJECT  (0)</v>
      </c>
      <c r="BO8" s="288" t="str">
        <f>"TOTAL "&amp;SUM(SETTINGS!$L$14:$L$17)*100</f>
        <v>TOTAL 0</v>
      </c>
      <c r="BP8" s="288" t="str">
        <f xml:space="preserve"> "SCALED TO " &amp; SETTINGS!$L$18*100 &amp; " MARKS"</f>
        <v>SCALED TO 0 MARKS</v>
      </c>
      <c r="BQ8" s="289" t="str">
        <f>"END OF TERM EXAM " &amp; SETTINGS!$L$19*100</f>
        <v>END OF TERM EXAM 0</v>
      </c>
      <c r="BR8" s="288" t="str">
        <f xml:space="preserve"> "EXAM SCALED TO " &amp; SETTINGS!$L$20*100</f>
        <v>EXAM SCALED TO 0</v>
      </c>
      <c r="BS8" s="289" t="str">
        <f>"OVER ALL TOTAL " &amp; " ("&amp;SETTINGS!$L$18*100  &amp;"+"&amp; SETTINGS!$L$20*100  &amp; ")%"</f>
        <v>OVER ALL TOTAL  (0+0)%</v>
      </c>
      <c r="BT8" s="288" t="s">
        <v>18</v>
      </c>
      <c r="BU8" s="290" t="s">
        <v>7</v>
      </c>
      <c r="BV8" s="125"/>
      <c r="BW8" s="288" t="str">
        <f>"INDIV. TEST" &amp; "  ("&amp;SETTINGS!$L$14*100 &amp;")"</f>
        <v>INDIV. TEST  (0)</v>
      </c>
      <c r="BX8" s="288" t="str">
        <f>"GROUP
WORK" &amp; "  (" &amp; SETTINGS!$L$15*100 &amp;")"</f>
        <v>GROUP
WORK  (0)</v>
      </c>
      <c r="BY8" s="288" t="str">
        <f xml:space="preserve"> "CLASS TEST" &amp;"  (" &amp; SETTINGS!$L$16*100 &amp;")"</f>
        <v>CLASS TEST  (0)</v>
      </c>
      <c r="BZ8" s="288" t="str">
        <f>"PROJECT" &amp;"  (" &amp; SETTINGS!$L$17*100 &amp;")"</f>
        <v>PROJECT  (0)</v>
      </c>
      <c r="CA8" s="288" t="str">
        <f>"TOTAL "&amp;SUM(SETTINGS!$L$14:$L$17)*100</f>
        <v>TOTAL 0</v>
      </c>
      <c r="CB8" s="288" t="str">
        <f xml:space="preserve"> "SCALED TO " &amp; SETTINGS!$L$18*100 &amp; " MARKS"</f>
        <v>SCALED TO 0 MARKS</v>
      </c>
      <c r="CC8" s="289" t="str">
        <f>"END OF TERM EXAM " &amp; SETTINGS!$L$19*100</f>
        <v>END OF TERM EXAM 0</v>
      </c>
      <c r="CD8" s="288" t="str">
        <f xml:space="preserve"> "EXAM SCALED TO " &amp; SETTINGS!$L$20*100</f>
        <v>EXAM SCALED TO 0</v>
      </c>
      <c r="CE8" s="289" t="str">
        <f>"OVER ALL TOTAL " &amp; " ("&amp;SETTINGS!$L$18*100  &amp;"+"&amp; SETTINGS!$L$20*100  &amp; ")%"</f>
        <v>OVER ALL TOTAL  (0+0)%</v>
      </c>
      <c r="CF8" s="288" t="s">
        <v>18</v>
      </c>
      <c r="CG8" s="290" t="s">
        <v>7</v>
      </c>
      <c r="CH8" s="125"/>
      <c r="CI8" s="288" t="str">
        <f>"INDIV. TEST" &amp; "  ("&amp;SETTINGS!$L$14*100 &amp;")"</f>
        <v>INDIV. TEST  (0)</v>
      </c>
      <c r="CJ8" s="288" t="str">
        <f>"GROUP
WORK" &amp; "  (" &amp; SETTINGS!$L$15*100 &amp;")"</f>
        <v>GROUP
WORK  (0)</v>
      </c>
      <c r="CK8" s="288" t="str">
        <f xml:space="preserve"> "CLASS TEST" &amp;"  (" &amp; SETTINGS!$L$16*100 &amp;")"</f>
        <v>CLASS TEST  (0)</v>
      </c>
      <c r="CL8" s="288" t="str">
        <f>"PROJECT" &amp;"  (" &amp; SETTINGS!$L$17*100 &amp;")"</f>
        <v>PROJECT  (0)</v>
      </c>
      <c r="CM8" s="288" t="str">
        <f>"TOTAL "&amp;SUM(SETTINGS!$L$14:$L$17)*100</f>
        <v>TOTAL 0</v>
      </c>
      <c r="CN8" s="288" t="str">
        <f xml:space="preserve"> "SCALED TO " &amp; SETTINGS!$L$18*100 &amp; " MARKS"</f>
        <v>SCALED TO 0 MARKS</v>
      </c>
      <c r="CO8" s="289" t="str">
        <f>"END OF TERM EXAM " &amp; SETTINGS!$L$19*100</f>
        <v>END OF TERM EXAM 0</v>
      </c>
      <c r="CP8" s="288" t="str">
        <f xml:space="preserve"> "EXAM SCALED TO " &amp; SETTINGS!$L$20*100</f>
        <v>EXAM SCALED TO 0</v>
      </c>
      <c r="CQ8" s="289" t="str">
        <f>"OVER ALL TOTAL " &amp; " ("&amp;SETTINGS!$L$18*100  &amp;"+"&amp; SETTINGS!$L$20*100  &amp; ")%"</f>
        <v>OVER ALL TOTAL  (0+0)%</v>
      </c>
      <c r="CR8" s="288" t="s">
        <v>18</v>
      </c>
      <c r="CS8" s="290" t="s">
        <v>7</v>
      </c>
      <c r="CT8" s="125"/>
      <c r="CU8" s="288" t="str">
        <f>"INDIV. TEST" &amp; "  ("&amp;SETTINGS!$L$14*100 &amp;")"</f>
        <v>INDIV. TEST  (0)</v>
      </c>
      <c r="CV8" s="288" t="str">
        <f>"GROUP
WORK" &amp; "  (" &amp; SETTINGS!$L$15*100 &amp;")"</f>
        <v>GROUP
WORK  (0)</v>
      </c>
      <c r="CW8" s="288" t="str">
        <f xml:space="preserve"> "CLASS TEST" &amp;"  (" &amp; SETTINGS!$L$16*100 &amp;")"</f>
        <v>CLASS TEST  (0)</v>
      </c>
      <c r="CX8" s="288" t="str">
        <f>"PROJECT" &amp;"  (" &amp; SETTINGS!$L$17*100 &amp;")"</f>
        <v>PROJECT  (0)</v>
      </c>
      <c r="CY8" s="288" t="str">
        <f>"TOTAL "&amp;SUM(SETTINGS!$L$14:$L$17)*100</f>
        <v>TOTAL 0</v>
      </c>
      <c r="CZ8" s="288" t="str">
        <f xml:space="preserve"> "SCALED TO " &amp; SETTINGS!$L$18*100 &amp; " MARKS"</f>
        <v>SCALED TO 0 MARKS</v>
      </c>
      <c r="DA8" s="289" t="str">
        <f>"END OF TERM EXAM " &amp; SETTINGS!$L$19*100</f>
        <v>END OF TERM EXAM 0</v>
      </c>
      <c r="DB8" s="288" t="str">
        <f xml:space="preserve"> "EXAM SCALED TO " &amp; SETTINGS!$L$20*100</f>
        <v>EXAM SCALED TO 0</v>
      </c>
      <c r="DC8" s="289" t="str">
        <f>"OVER ALL TOTAL " &amp; " ("&amp;SETTINGS!$L$18*100  &amp;"+"&amp; SETTINGS!$L$20*100  &amp; ")%"</f>
        <v>OVER ALL TOTAL  (0+0)%</v>
      </c>
      <c r="DD8" s="288" t="s">
        <v>18</v>
      </c>
      <c r="DE8" s="290" t="s">
        <v>7</v>
      </c>
      <c r="DF8" s="127"/>
      <c r="DG8" s="127"/>
      <c r="DH8" s="127"/>
      <c r="DI8" s="127"/>
      <c r="DJ8" s="62"/>
      <c r="DK8" s="62"/>
      <c r="DL8" s="62"/>
      <c r="DM8" s="180"/>
    </row>
    <row r="9" spans="1:1024" ht="19.5" customHeight="1" thickBot="1">
      <c r="A9" s="286"/>
      <c r="B9" s="287"/>
      <c r="C9" s="319"/>
      <c r="D9" s="319"/>
      <c r="E9" s="319"/>
      <c r="F9" s="319"/>
      <c r="G9" s="319"/>
      <c r="H9" s="319"/>
      <c r="I9" s="320" t="s">
        <v>19</v>
      </c>
      <c r="J9" s="319" t="s">
        <v>19</v>
      </c>
      <c r="K9" s="319" t="s">
        <v>20</v>
      </c>
      <c r="L9" s="319"/>
      <c r="M9" s="321"/>
      <c r="N9" s="125"/>
      <c r="O9" s="292"/>
      <c r="P9" s="292"/>
      <c r="Q9" s="292"/>
      <c r="R9" s="292"/>
      <c r="S9" s="288"/>
      <c r="T9" s="292"/>
      <c r="U9" s="296"/>
      <c r="V9" s="292"/>
      <c r="W9" s="296"/>
      <c r="X9" s="292"/>
      <c r="Y9" s="299"/>
      <c r="Z9" s="125"/>
      <c r="AA9" s="288"/>
      <c r="AB9" s="288"/>
      <c r="AC9" s="288"/>
      <c r="AD9" s="288"/>
      <c r="AE9" s="288"/>
      <c r="AF9" s="288"/>
      <c r="AG9" s="289" t="s">
        <v>19</v>
      </c>
      <c r="AH9" s="288" t="s">
        <v>19</v>
      </c>
      <c r="AI9" s="288" t="s">
        <v>20</v>
      </c>
      <c r="AJ9" s="288"/>
      <c r="AK9" s="290"/>
      <c r="AL9" s="125"/>
      <c r="AM9" s="288"/>
      <c r="AN9" s="288"/>
      <c r="AO9" s="288"/>
      <c r="AP9" s="288"/>
      <c r="AQ9" s="288"/>
      <c r="AR9" s="288"/>
      <c r="AS9" s="289" t="s">
        <v>19</v>
      </c>
      <c r="AT9" s="288" t="s">
        <v>19</v>
      </c>
      <c r="AU9" s="288" t="s">
        <v>20</v>
      </c>
      <c r="AV9" s="288"/>
      <c r="AW9" s="290"/>
      <c r="AX9" s="125"/>
      <c r="AY9" s="288"/>
      <c r="AZ9" s="288"/>
      <c r="BA9" s="288"/>
      <c r="BB9" s="288"/>
      <c r="BC9" s="288"/>
      <c r="BD9" s="288"/>
      <c r="BE9" s="289" t="s">
        <v>19</v>
      </c>
      <c r="BF9" s="288" t="s">
        <v>19</v>
      </c>
      <c r="BG9" s="288" t="s">
        <v>20</v>
      </c>
      <c r="BH9" s="288"/>
      <c r="BI9" s="290"/>
      <c r="BJ9" s="125"/>
      <c r="BK9" s="288"/>
      <c r="BL9" s="288"/>
      <c r="BM9" s="288"/>
      <c r="BN9" s="288"/>
      <c r="BO9" s="288"/>
      <c r="BP9" s="288"/>
      <c r="BQ9" s="289" t="s">
        <v>19</v>
      </c>
      <c r="BR9" s="288" t="s">
        <v>19</v>
      </c>
      <c r="BS9" s="288" t="s">
        <v>20</v>
      </c>
      <c r="BT9" s="288"/>
      <c r="BU9" s="290"/>
      <c r="BV9" s="125"/>
      <c r="BW9" s="288"/>
      <c r="BX9" s="288"/>
      <c r="BY9" s="288"/>
      <c r="BZ9" s="288"/>
      <c r="CA9" s="288"/>
      <c r="CB9" s="288"/>
      <c r="CC9" s="289" t="s">
        <v>19</v>
      </c>
      <c r="CD9" s="288" t="s">
        <v>19</v>
      </c>
      <c r="CE9" s="288" t="s">
        <v>20</v>
      </c>
      <c r="CF9" s="288"/>
      <c r="CG9" s="290"/>
      <c r="CH9" s="125"/>
      <c r="CI9" s="288"/>
      <c r="CJ9" s="288"/>
      <c r="CK9" s="288"/>
      <c r="CL9" s="288"/>
      <c r="CM9" s="288"/>
      <c r="CN9" s="288"/>
      <c r="CO9" s="289" t="s">
        <v>19</v>
      </c>
      <c r="CP9" s="288" t="s">
        <v>19</v>
      </c>
      <c r="CQ9" s="288" t="s">
        <v>20</v>
      </c>
      <c r="CR9" s="288"/>
      <c r="CS9" s="290"/>
      <c r="CT9" s="125"/>
      <c r="CU9" s="288"/>
      <c r="CV9" s="288"/>
      <c r="CW9" s="288"/>
      <c r="CX9" s="288"/>
      <c r="CY9" s="288"/>
      <c r="CZ9" s="288"/>
      <c r="DA9" s="289" t="s">
        <v>19</v>
      </c>
      <c r="DB9" s="288" t="s">
        <v>19</v>
      </c>
      <c r="DC9" s="288" t="s">
        <v>20</v>
      </c>
      <c r="DD9" s="288"/>
      <c r="DE9" s="290"/>
      <c r="DF9" s="127"/>
      <c r="DG9" s="127"/>
      <c r="DH9" s="127"/>
      <c r="DI9" s="127"/>
      <c r="DJ9" s="62"/>
      <c r="DK9" s="62"/>
      <c r="DL9" s="62"/>
      <c r="DM9" s="180"/>
    </row>
    <row r="10" spans="1:1024" ht="19.5" customHeight="1" thickTop="1" thickBot="1">
      <c r="A10" s="286"/>
      <c r="B10" s="287"/>
      <c r="C10" s="319">
        <v>12</v>
      </c>
      <c r="D10" s="319"/>
      <c r="E10" s="319"/>
      <c r="F10" s="319"/>
      <c r="G10" s="319"/>
      <c r="H10" s="319"/>
      <c r="I10" s="320"/>
      <c r="J10" s="319"/>
      <c r="K10" s="319"/>
      <c r="L10" s="319"/>
      <c r="M10" s="321"/>
      <c r="N10" s="125"/>
      <c r="O10" s="292"/>
      <c r="P10" s="292"/>
      <c r="Q10" s="292"/>
      <c r="R10" s="292"/>
      <c r="S10" s="288"/>
      <c r="T10" s="292"/>
      <c r="U10" s="296"/>
      <c r="V10" s="292"/>
      <c r="W10" s="296"/>
      <c r="X10" s="292"/>
      <c r="Y10" s="299"/>
      <c r="Z10" s="125"/>
      <c r="AA10" s="288">
        <v>12</v>
      </c>
      <c r="AB10" s="288"/>
      <c r="AC10" s="288"/>
      <c r="AD10" s="288"/>
      <c r="AE10" s="288"/>
      <c r="AF10" s="288"/>
      <c r="AG10" s="289"/>
      <c r="AH10" s="288"/>
      <c r="AI10" s="288"/>
      <c r="AJ10" s="288"/>
      <c r="AK10" s="290"/>
      <c r="AL10" s="125"/>
      <c r="AM10" s="288">
        <v>12</v>
      </c>
      <c r="AN10" s="288"/>
      <c r="AO10" s="288"/>
      <c r="AP10" s="288"/>
      <c r="AQ10" s="288"/>
      <c r="AR10" s="288"/>
      <c r="AS10" s="289"/>
      <c r="AT10" s="288"/>
      <c r="AU10" s="288"/>
      <c r="AV10" s="288"/>
      <c r="AW10" s="290"/>
      <c r="AX10" s="125"/>
      <c r="AY10" s="288">
        <v>12</v>
      </c>
      <c r="AZ10" s="288"/>
      <c r="BA10" s="288"/>
      <c r="BB10" s="288"/>
      <c r="BC10" s="288"/>
      <c r="BD10" s="288"/>
      <c r="BE10" s="289"/>
      <c r="BF10" s="288"/>
      <c r="BG10" s="288"/>
      <c r="BH10" s="288"/>
      <c r="BI10" s="290"/>
      <c r="BJ10" s="125"/>
      <c r="BK10" s="288">
        <v>12</v>
      </c>
      <c r="BL10" s="288"/>
      <c r="BM10" s="288"/>
      <c r="BN10" s="288"/>
      <c r="BO10" s="288"/>
      <c r="BP10" s="288"/>
      <c r="BQ10" s="289"/>
      <c r="BR10" s="288"/>
      <c r="BS10" s="288"/>
      <c r="BT10" s="288"/>
      <c r="BU10" s="290"/>
      <c r="BV10" s="125"/>
      <c r="BW10" s="288">
        <v>12</v>
      </c>
      <c r="BX10" s="288"/>
      <c r="BY10" s="288"/>
      <c r="BZ10" s="288"/>
      <c r="CA10" s="288"/>
      <c r="CB10" s="288"/>
      <c r="CC10" s="289"/>
      <c r="CD10" s="288"/>
      <c r="CE10" s="288"/>
      <c r="CF10" s="288"/>
      <c r="CG10" s="290"/>
      <c r="CH10" s="125"/>
      <c r="CI10" s="288">
        <v>12</v>
      </c>
      <c r="CJ10" s="288"/>
      <c r="CK10" s="288"/>
      <c r="CL10" s="288"/>
      <c r="CM10" s="288"/>
      <c r="CN10" s="288"/>
      <c r="CO10" s="289"/>
      <c r="CP10" s="288"/>
      <c r="CQ10" s="288"/>
      <c r="CR10" s="288"/>
      <c r="CS10" s="290"/>
      <c r="CT10" s="125"/>
      <c r="CU10" s="288">
        <v>12</v>
      </c>
      <c r="CV10" s="288"/>
      <c r="CW10" s="288"/>
      <c r="CX10" s="288"/>
      <c r="CY10" s="288"/>
      <c r="CZ10" s="288"/>
      <c r="DA10" s="289"/>
      <c r="DB10" s="288"/>
      <c r="DC10" s="288"/>
      <c r="DD10" s="288"/>
      <c r="DE10" s="290"/>
      <c r="DF10" s="315" t="s">
        <v>50</v>
      </c>
      <c r="DG10" s="317" t="s">
        <v>52</v>
      </c>
      <c r="DH10" s="315" t="s">
        <v>53</v>
      </c>
      <c r="DI10" s="315" t="s">
        <v>18</v>
      </c>
      <c r="DJ10" s="62"/>
      <c r="DK10" s="62"/>
      <c r="DL10" s="62"/>
      <c r="DM10" s="180"/>
    </row>
    <row r="11" spans="1:1024" ht="19.5" customHeight="1" thickBot="1">
      <c r="A11" s="286"/>
      <c r="B11" s="287"/>
      <c r="C11" s="319"/>
      <c r="D11" s="319"/>
      <c r="E11" s="319"/>
      <c r="F11" s="319"/>
      <c r="G11" s="319"/>
      <c r="H11" s="319"/>
      <c r="I11" s="320"/>
      <c r="J11" s="319"/>
      <c r="K11" s="319"/>
      <c r="L11" s="319"/>
      <c r="M11" s="321"/>
      <c r="N11" s="125"/>
      <c r="O11" s="293"/>
      <c r="P11" s="293"/>
      <c r="Q11" s="293"/>
      <c r="R11" s="293"/>
      <c r="S11" s="288"/>
      <c r="T11" s="294"/>
      <c r="U11" s="297"/>
      <c r="V11" s="294"/>
      <c r="W11" s="297"/>
      <c r="X11" s="294"/>
      <c r="Y11" s="300"/>
      <c r="Z11" s="125"/>
      <c r="AA11" s="288"/>
      <c r="AB11" s="288"/>
      <c r="AC11" s="288"/>
      <c r="AD11" s="288"/>
      <c r="AE11" s="288"/>
      <c r="AF11" s="288"/>
      <c r="AG11" s="289"/>
      <c r="AH11" s="288"/>
      <c r="AI11" s="288"/>
      <c r="AJ11" s="288"/>
      <c r="AK11" s="290"/>
      <c r="AL11" s="125"/>
      <c r="AM11" s="288"/>
      <c r="AN11" s="288"/>
      <c r="AO11" s="288"/>
      <c r="AP11" s="288"/>
      <c r="AQ11" s="288"/>
      <c r="AR11" s="288"/>
      <c r="AS11" s="289"/>
      <c r="AT11" s="288"/>
      <c r="AU11" s="288"/>
      <c r="AV11" s="288"/>
      <c r="AW11" s="290"/>
      <c r="AX11" s="125"/>
      <c r="AY11" s="288"/>
      <c r="AZ11" s="288"/>
      <c r="BA11" s="288"/>
      <c r="BB11" s="288"/>
      <c r="BC11" s="288"/>
      <c r="BD11" s="288"/>
      <c r="BE11" s="289"/>
      <c r="BF11" s="288"/>
      <c r="BG11" s="288"/>
      <c r="BH11" s="288"/>
      <c r="BI11" s="290"/>
      <c r="BJ11" s="125"/>
      <c r="BK11" s="288"/>
      <c r="BL11" s="288"/>
      <c r="BM11" s="288"/>
      <c r="BN11" s="288"/>
      <c r="BO11" s="288"/>
      <c r="BP11" s="288"/>
      <c r="BQ11" s="289"/>
      <c r="BR11" s="288"/>
      <c r="BS11" s="288"/>
      <c r="BT11" s="288"/>
      <c r="BU11" s="290"/>
      <c r="BV11" s="125"/>
      <c r="BW11" s="288"/>
      <c r="BX11" s="288"/>
      <c r="BY11" s="288"/>
      <c r="BZ11" s="288"/>
      <c r="CA11" s="288"/>
      <c r="CB11" s="288"/>
      <c r="CC11" s="289"/>
      <c r="CD11" s="288"/>
      <c r="CE11" s="288"/>
      <c r="CF11" s="288"/>
      <c r="CG11" s="290"/>
      <c r="CH11" s="125"/>
      <c r="CI11" s="288"/>
      <c r="CJ11" s="288"/>
      <c r="CK11" s="288"/>
      <c r="CL11" s="288"/>
      <c r="CM11" s="288"/>
      <c r="CN11" s="288"/>
      <c r="CO11" s="289"/>
      <c r="CP11" s="288"/>
      <c r="CQ11" s="288"/>
      <c r="CR11" s="288"/>
      <c r="CS11" s="290"/>
      <c r="CT11" s="125"/>
      <c r="CU11" s="288"/>
      <c r="CV11" s="288"/>
      <c r="CW11" s="288"/>
      <c r="CX11" s="288"/>
      <c r="CY11" s="288"/>
      <c r="CZ11" s="288"/>
      <c r="DA11" s="289"/>
      <c r="DB11" s="288"/>
      <c r="DC11" s="288"/>
      <c r="DD11" s="288"/>
      <c r="DE11" s="290"/>
      <c r="DF11" s="316"/>
      <c r="DG11" s="318"/>
      <c r="DH11" s="316"/>
      <c r="DI11" s="316"/>
      <c r="DJ11" s="62"/>
      <c r="DK11" s="62"/>
      <c r="DL11" s="62"/>
      <c r="DM11" s="180"/>
    </row>
    <row r="12" spans="1:1024" ht="19.5" customHeight="1" thickTop="1">
      <c r="A12" s="187" t="str">
        <f>IFERROR(IF(ISBLANK(DATA!$A12),"",DATA!$A12),"")</f>
        <v/>
      </c>
      <c r="B12" s="187" t="str">
        <f>IFERROR(IF(ISBLANK(DATA!$B12),"",DATA!$B12),"")</f>
        <v/>
      </c>
      <c r="C12" s="188" t="str">
        <f>IFERROR(IF(ISBLANK(DATA!C12),"",DATA!C12),"")</f>
        <v/>
      </c>
      <c r="D12" s="188" t="str">
        <f>IFERROR(IF(ISBLANK(DATA!D12),"",DATA!D12),"")</f>
        <v/>
      </c>
      <c r="E12" s="188" t="str">
        <f>IFERROR(IF(ISBLANK(DATA!E12),"",DATA!E12),"")</f>
        <v/>
      </c>
      <c r="F12" s="188" t="str">
        <f>IFERROR(IF(ISBLANK(DATA!F12),"",DATA!F12),"")</f>
        <v/>
      </c>
      <c r="G12" s="97" t="str">
        <f>IFERROR(IF(AND(C12:F12)="","",SUM(C12:F12)),"")</f>
        <v/>
      </c>
      <c r="H12" s="106" t="str">
        <f>IFERROR(IF(G12=0,"",ROUND((G12/SUM(SETTINGS!$L$14:$L$17))*SETTINGS!$L$18,0)),"")</f>
        <v/>
      </c>
      <c r="I12" s="188" t="str">
        <f>IFERROR(IF(ISBLANK(DATA!G12),"",DATA!G12),"")</f>
        <v/>
      </c>
      <c r="J12" s="106" t="str">
        <f>IFERROR(IF(ISBLANK(I12),"",ROUND((I12/SETTINGS!$L$19)*SETTINGS!$L$20,0)),"")</f>
        <v/>
      </c>
      <c r="K12" s="106" t="str">
        <f>IFERROR(IF(AND(H12,J12)="","",SUM(H12,J12)),"")</f>
        <v/>
      </c>
      <c r="L12" s="103" t="str">
        <f t="shared" ref="L12:L75" si="0">IFERROR(IF(K12="","",RANK(K12,K$12:K$76)),"")</f>
        <v/>
      </c>
      <c r="M12" s="107" t="str">
        <f>IFERROR(IF(K12="","",IF(K12&gt;=75,VALUE(1),IF(K12&gt;=70,VALUE(2),IF(K12&gt;=65,VALUE(3),IF(K12&gt;=60,VALUE(4),IF(K12&gt;=55,VALUE(5),IF(K12&gt;=50,VALUE(6),IF(K12&gt;=45,VALUE(7),IF(K12&gt;=40,VALUE(8),VALUE(9)))))))))),"")</f>
        <v/>
      </c>
      <c r="N12" s="136"/>
      <c r="O12" s="188" t="str">
        <f>IFERROR(IF(ISBLANK(DATA!I12),"",DATA!I12),"")</f>
        <v/>
      </c>
      <c r="P12" s="188" t="str">
        <f>IFERROR(IF(ISBLANK(DATA!J12),"",DATA!J12),"")</f>
        <v/>
      </c>
      <c r="Q12" s="188" t="str">
        <f>IFERROR(IF(ISBLANK(DATA!K12),"",DATA!K12),"")</f>
        <v/>
      </c>
      <c r="R12" s="188" t="str">
        <f>IFERROR(IF(ISBLANK(DATA!L12),"",DATA!L12),"")</f>
        <v/>
      </c>
      <c r="S12" s="97" t="str">
        <f>IFERROR(IF(AND(O12:R12)="","",SUM(O12:R12)),"")</f>
        <v/>
      </c>
      <c r="T12" s="106" t="str">
        <f>IFERROR(IF(S12=0,"",ROUND((S12/SUM(SETTINGS!$L$14:$L$17))*SETTINGS!$L$18,0)),"")</f>
        <v/>
      </c>
      <c r="U12" s="189" t="str">
        <f>IFERROR(IF(ISBLANK(DATA!M12),"",DATA!M12),"")</f>
        <v/>
      </c>
      <c r="V12" s="106" t="str">
        <f>IFERROR(IF(ISBLANK(U12),"",ROUND((U12/SETTINGS!$L$19)*SETTINGS!$L$20,0)),"")</f>
        <v/>
      </c>
      <c r="W12" s="106" t="str">
        <f>IFERROR(IF(AND(T12,V12)="","",SUM(T12,V12)),"")</f>
        <v/>
      </c>
      <c r="X12" s="103" t="str">
        <f t="shared" ref="X12" si="1">IFERROR(IF(W12="","",RANK(W12,W$12:W$76)),"")</f>
        <v/>
      </c>
      <c r="Y12" s="107" t="str">
        <f>IFERROR(IF(W12="","",IF(W12&gt;=75,VALUE(1),IF(W12&gt;=70,VALUE(2),IF(W12&gt;=65,VALUE(3),IF(W12&gt;=60,VALUE(4),IF(W12&gt;=55,VALUE(5),IF(W12&gt;=50,VALUE(6),IF(W12&gt;=45,VALUE(7),IF(W12&gt;=40,VALUE(8),VALUE(9)))))))))),"")</f>
        <v/>
      </c>
      <c r="Z12" s="130"/>
      <c r="AA12" s="188" t="str">
        <f>IFERROR(IF(ISBLANK(DATA!O12),"",DATA!O12),"")</f>
        <v/>
      </c>
      <c r="AB12" s="188" t="str">
        <f>IFERROR(IF(ISBLANK(DATA!P12),"",DATA!P12),"")</f>
        <v/>
      </c>
      <c r="AC12" s="188" t="str">
        <f>IFERROR(IF(ISBLANK(DATA!Q12),"",DATA!Q12),"")</f>
        <v/>
      </c>
      <c r="AD12" s="188" t="str">
        <f>IFERROR(IF(ISBLANK(DATA!R12),"",DATA!R12),"")</f>
        <v/>
      </c>
      <c r="AE12" s="97" t="str">
        <f>IFERROR(IF(AND(AA12:AD12)="","",SUM(AA12:AD12)),"")</f>
        <v/>
      </c>
      <c r="AF12" s="106" t="str">
        <f>IFERROR(IF(AE12=0,"",ROUND((AE12/SUM(SETTINGS!$L$14:$L$17))*SETTINGS!$L$18,0)),"")</f>
        <v/>
      </c>
      <c r="AG12" s="188" t="str">
        <f>IFERROR(IF(ISBLANK(DATA!S12),"",DATA!S12),"")</f>
        <v/>
      </c>
      <c r="AH12" s="106" t="str">
        <f>IFERROR(IF(ISBLANK(AG12),"",ROUND((AG12/SETTINGS!$L$19)*SETTINGS!$L$20,0)),"")</f>
        <v/>
      </c>
      <c r="AI12" s="106" t="str">
        <f>IFERROR(IF(AND(AF12,AH12)="","",SUM(AF12,AH12)),"")</f>
        <v/>
      </c>
      <c r="AJ12" s="103" t="str">
        <f t="shared" ref="AJ12:AJ75" si="2">IFERROR(IF(AI12="","",RANK(AI12,AI$12:AI$76)),"")</f>
        <v/>
      </c>
      <c r="AK12" s="107" t="str">
        <f>IFERROR(IF(AI12="","",IF(AI12&gt;=75,VALUE(1),IF(AI12&gt;=70,VALUE(2),IF(AI12&gt;=65,VALUE(3),IF(AI12&gt;=60,VALUE(4),IF(AI12&gt;=55,VALUE(5),IF(AI12&gt;=50,VALUE(6),IF(AI12&gt;=45,VALUE(7),IF(AI12&gt;=40,VALUE(8),VALUE(9)))))))))),"")</f>
        <v/>
      </c>
      <c r="AL12" s="130"/>
      <c r="AM12" s="188" t="str">
        <f>IFERROR(IF(ISBLANK(DATA!U12),"",DATA!U12),"")</f>
        <v/>
      </c>
      <c r="AN12" s="188" t="str">
        <f>IFERROR(IF(ISBLANK(DATA!V12),"",DATA!V12),"")</f>
        <v/>
      </c>
      <c r="AO12" s="188" t="str">
        <f>IFERROR(IF(ISBLANK(DATA!W12),"",DATA!W12),"")</f>
        <v/>
      </c>
      <c r="AP12" s="188" t="str">
        <f>IFERROR(IF(ISBLANK(DATA!X12),"",DATA!X12),"")</f>
        <v/>
      </c>
      <c r="AQ12" s="97" t="str">
        <f>IFERROR(IF(AND(AM12:AP12)="","",SUM(AM12:AP12)),"")</f>
        <v/>
      </c>
      <c r="AR12" s="106" t="str">
        <f>IFERROR(IF(AQ12=0,"",ROUND((AQ12/SUM(SETTINGS!$L$14:$L$17))*SETTINGS!$L$18,0)),"")</f>
        <v/>
      </c>
      <c r="AS12" s="188" t="str">
        <f>IFERROR(IF(ISBLANK(DATA!Y12),"",DATA!Y12),"")</f>
        <v/>
      </c>
      <c r="AT12" s="106" t="str">
        <f>IFERROR(IF(ISBLANK(AS12),"",ROUND((AS12/SETTINGS!$L$19)*SETTINGS!$L$20,0)),"")</f>
        <v/>
      </c>
      <c r="AU12" s="106" t="str">
        <f>IFERROR(IF(AND(AR12,AT12)="","",SUM(AR12,AT12)),"")</f>
        <v/>
      </c>
      <c r="AV12" s="103" t="str">
        <f t="shared" ref="AV12:AV75" si="3">IFERROR(IF(AU12="","",RANK(AU12,AU$12:AU$76)),"")</f>
        <v/>
      </c>
      <c r="AW12" s="107" t="str">
        <f>IFERROR(IF(AU12="","",IF(AU12&gt;=75,VALUE(1),IF(AU12&gt;=70,VALUE(2),IF(AU12&gt;=65,VALUE(3),IF(AU12&gt;=60,VALUE(4),IF(AU12&gt;=55,VALUE(5),IF(AU12&gt;=50,VALUE(6),IF(AU12&gt;=45,VALUE(7),IF(AU12&gt;=40,VALUE(8),VALUE(9)))))))))),"")</f>
        <v/>
      </c>
      <c r="AX12" s="130"/>
      <c r="AY12" s="188" t="str">
        <f>IFERROR(IF(ISBLANK(DATA!AA12),"",DATA!AA12),"")</f>
        <v/>
      </c>
      <c r="AZ12" s="188" t="str">
        <f>IFERROR(IF(ISBLANK(DATA!AB12),"",DATA!AB12),"")</f>
        <v/>
      </c>
      <c r="BA12" s="188" t="str">
        <f>IFERROR(IF(ISBLANK(DATA!AC12),"",DATA!AC12),"")</f>
        <v/>
      </c>
      <c r="BB12" s="188" t="str">
        <f>IFERROR(IF(ISBLANK(DATA!AD12),"",DATA!AD12),"")</f>
        <v/>
      </c>
      <c r="BC12" s="97" t="str">
        <f>IFERROR(IF(AND(AY12:BB12)="","",SUM(AY12:BB12)),"")</f>
        <v/>
      </c>
      <c r="BD12" s="106" t="str">
        <f>IFERROR(IF(BC12=0,"",ROUND((BC12/SUM(SETTINGS!$L$14:$L$17))*SETTINGS!$L$18,0)),"")</f>
        <v/>
      </c>
      <c r="BE12" s="188" t="str">
        <f>IFERROR(IF(ISBLANK(DATA!AE12),"",DATA!AE12),"")</f>
        <v/>
      </c>
      <c r="BF12" s="106" t="str">
        <f>IFERROR(IF(ISBLANK(BE12),"",ROUND((BE12/SETTINGS!$L$19)*SETTINGS!$L$20,0)),"")</f>
        <v/>
      </c>
      <c r="BG12" s="106" t="str">
        <f>IFERROR(IF(AND(BD12,BF12)="","",SUM(BD12,BF12)),"")</f>
        <v/>
      </c>
      <c r="BH12" s="103" t="str">
        <f t="shared" ref="BH12:BH75" si="4">IFERROR(IF(BG12="","",RANK(BG12,BG$12:BG$76)),"")</f>
        <v/>
      </c>
      <c r="BI12" s="107" t="str">
        <f>IFERROR(IF(BG12="","",IF(BG12&gt;=75,VALUE(1),IF(BG12&gt;=70,VALUE(2),IF(BG12&gt;=65,VALUE(3),IF(BG12&gt;=60,VALUE(4),IF(BG12&gt;=55,VALUE(5),IF(BG12&gt;=50,VALUE(6),IF(BG12&gt;=45,VALUE(7),IF(BG12&gt;=40,VALUE(8),VALUE(9)))))))))),"")</f>
        <v/>
      </c>
      <c r="BJ12" s="130"/>
      <c r="BK12" s="188" t="str">
        <f>IFERROR(IF(ISBLANK(DATA!AG12),"",DATA!AG12),"")</f>
        <v/>
      </c>
      <c r="BL12" s="188" t="str">
        <f>IFERROR(IF(ISBLANK(DATA!AH12),"",DATA!AH12),"")</f>
        <v/>
      </c>
      <c r="BM12" s="188" t="str">
        <f>IFERROR(IF(ISBLANK(DATA!AI12),"",DATA!AI12),"")</f>
        <v/>
      </c>
      <c r="BN12" s="188" t="str">
        <f>IFERROR(IF(ISBLANK(DATA!AJ12),"",DATA!AJ12),"")</f>
        <v/>
      </c>
      <c r="BO12" s="97" t="str">
        <f>IFERROR(IF(AND(BK12:BN12)="","",SUM(BK12:BN12)),"")</f>
        <v/>
      </c>
      <c r="BP12" s="106" t="str">
        <f>IFERROR(IF(BO12=0,"",ROUND((BO12/SUM(SETTINGS!$L$14:$L$17))*SETTINGS!$L$18,0)),"")</f>
        <v/>
      </c>
      <c r="BQ12" s="188" t="str">
        <f>IFERROR(IF(ISBLANK(DATA!AK12),"",DATA!AK12),"")</f>
        <v/>
      </c>
      <c r="BR12" s="106" t="str">
        <f>IFERROR(IF(ISBLANK(BQ12),"",ROUND((BQ12/SETTINGS!$L$19)*SETTINGS!$L$20,0)),"")</f>
        <v/>
      </c>
      <c r="BS12" s="106" t="str">
        <f>IFERROR(IF(AND(BP12,BR12)="","",SUM(BP12,BR12)),"")</f>
        <v/>
      </c>
      <c r="BT12" s="103" t="str">
        <f t="shared" ref="BT12:BT75" si="5">IFERROR(IF(BS12="","",RANK(BS12,BS$12:BS$76)),"")</f>
        <v/>
      </c>
      <c r="BU12" s="107" t="str">
        <f>IFERROR(IF(BS12="","",IF(BS12&gt;=75,VALUE(1),IF(BS12&gt;=70,VALUE(2),IF(BS12&gt;=65,VALUE(3),IF(BS12&gt;=60,VALUE(4),IF(BS12&gt;=55,VALUE(5),IF(BS12&gt;=50,VALUE(6),IF(BS12&gt;=45,VALUE(7),IF(BS12&gt;=40,VALUE(8),VALUE(9)))))))))),"")</f>
        <v/>
      </c>
      <c r="BV12" s="130"/>
      <c r="BW12" s="188" t="str">
        <f>IFERROR(IF(ISBLANK(DATA!AM12),"",DATA!AM12),"")</f>
        <v/>
      </c>
      <c r="BX12" s="188" t="str">
        <f>IFERROR(IF(ISBLANK(DATA!AN12),"",DATA!AN12),"")</f>
        <v/>
      </c>
      <c r="BY12" s="188" t="str">
        <f>IFERROR(IF(ISBLANK(DATA!AO12),"",DATA!AO12),"")</f>
        <v/>
      </c>
      <c r="BZ12" s="188" t="str">
        <f>IFERROR(IF(ISBLANK(DATA!AP12),"",DATA!AP12),"")</f>
        <v/>
      </c>
      <c r="CA12" s="97" t="str">
        <f>IFERROR(IF(AND(BW12:BZ12)="","",SUM(BW12:BZ12)),"")</f>
        <v/>
      </c>
      <c r="CB12" s="106" t="str">
        <f>IFERROR(IF(CA12=0,"",ROUND((CA12/SUM(SETTINGS!$L$14:$L$17))*SETTINGS!$L$18,0)),"")</f>
        <v/>
      </c>
      <c r="CC12" s="188" t="str">
        <f>IFERROR(IF(ISBLANK(DATA!AQ12),"",DATA!AQ12),"")</f>
        <v/>
      </c>
      <c r="CD12" s="106" t="str">
        <f>IFERROR(IF(ISBLANK(CC12),"",ROUND((CC12/SETTINGS!$L$19)*SETTINGS!$L$20,0)),"")</f>
        <v/>
      </c>
      <c r="CE12" s="106" t="str">
        <f>IFERROR(IF(AND(CB12,CD12)="","",SUM(CB12,CD12)),"")</f>
        <v/>
      </c>
      <c r="CF12" s="103" t="str">
        <f t="shared" ref="CF12:CF75" si="6">IFERROR(IF(CE12="","",RANK(CE12,CE$12:CE$76)),"")</f>
        <v/>
      </c>
      <c r="CG12" s="107" t="str">
        <f>IFERROR(IF(CE12="","",IF(CE12&gt;=75,VALUE(1),IF(CE12&gt;=70,VALUE(2),IF(CE12&gt;=65,VALUE(3),IF(CE12&gt;=60,VALUE(4),IF(CE12&gt;=55,VALUE(5),IF(CE12&gt;=50,VALUE(6),IF(CE12&gt;=45,VALUE(7),IF(CE12&gt;=40,VALUE(8),VALUE(9)))))))))),"")</f>
        <v/>
      </c>
      <c r="CH12" s="130"/>
      <c r="CI12" s="188" t="str">
        <f>IFERROR(IF(ISBLANK(DATA!AS12),"",DATA!AS12),"")</f>
        <v/>
      </c>
      <c r="CJ12" s="188" t="str">
        <f>IFERROR(IF(ISBLANK(DATA!AT12),"",DATA!AT12),"")</f>
        <v/>
      </c>
      <c r="CK12" s="188" t="str">
        <f>IFERROR(IF(ISBLANK(DATA!AU12),"",DATA!AU12),"")</f>
        <v/>
      </c>
      <c r="CL12" s="188" t="str">
        <f>IFERROR(IF(ISBLANK(DATA!AV12),"",DATA!AV12),"")</f>
        <v/>
      </c>
      <c r="CM12" s="97" t="str">
        <f>IFERROR(IF(AND(CI12:CL12)="","",SUM(CI12:CL12)),"")</f>
        <v/>
      </c>
      <c r="CN12" s="106" t="str">
        <f>IFERROR(IF(CM12=0,"",ROUND((CM12/SUM(SETTINGS!$L$14:$L$17))*SETTINGS!$L$18,0)),"")</f>
        <v/>
      </c>
      <c r="CO12" s="188" t="str">
        <f>IFERROR(IF(ISBLANK(DATA!AW12),"",DATA!AW12),"")</f>
        <v/>
      </c>
      <c r="CP12" s="106" t="str">
        <f>IFERROR(IF(ISBLANK(CO12),"",ROUND((CO12/SETTINGS!$L$19)*SETTINGS!$L$20,0)),"")</f>
        <v/>
      </c>
      <c r="CQ12" s="106" t="str">
        <f>IFERROR(IF(AND(CN12,CP12)="","",SUM(CN12,CP12)),"")</f>
        <v/>
      </c>
      <c r="CR12" s="103" t="str">
        <f t="shared" ref="CR12:CR75" si="7">IFERROR(IF(CQ12="","",RANK(CQ12,CQ$12:CQ$76)),"")</f>
        <v/>
      </c>
      <c r="CS12" s="107" t="str">
        <f>IFERROR(IF(CQ12="","",IF(CQ12&gt;=75,VALUE(1),IF(CQ12&gt;=70,VALUE(2),IF(CQ12&gt;=65,VALUE(3),IF(CQ12&gt;=60,VALUE(4),IF(CQ12&gt;=55,VALUE(5),IF(CQ12&gt;=50,VALUE(6),IF(CQ12&gt;=45,VALUE(7),IF(CQ12&gt;=40,VALUE(8),VALUE(9)))))))))),"")</f>
        <v/>
      </c>
      <c r="CT12" s="130"/>
      <c r="CU12" s="188" t="str">
        <f>IFERROR(IF(ISBLANK(DATA!AY12),"",DATA!AY12),"")</f>
        <v/>
      </c>
      <c r="CV12" s="188" t="str">
        <f>IFERROR(IF(ISBLANK(DATA!AZ12),"",DATA!AZ12),"")</f>
        <v/>
      </c>
      <c r="CW12" s="188" t="str">
        <f>IFERROR(IF(ISBLANK(DATA!BA12),"",DATA!BA12),"")</f>
        <v/>
      </c>
      <c r="CX12" s="188" t="str">
        <f>IFERROR(IF(ISBLANK(DATA!BB12),"",DATA!BB12),"")</f>
        <v/>
      </c>
      <c r="CY12" s="97" t="str">
        <f>IFERROR(IF(AND(CU12:CX12)="","",SUM(CU12:CX12)),"")</f>
        <v/>
      </c>
      <c r="CZ12" s="106" t="str">
        <f>IFERROR(IF(CY12=0,"",ROUND((CY12/SUM(SETTINGS!$L$14:$L$17))*SETTINGS!$L$18,0)),"")</f>
        <v/>
      </c>
      <c r="DA12" s="188" t="str">
        <f>IFERROR(IF(ISBLANK(DATA!BC12),"",DATA!BC12),"")</f>
        <v/>
      </c>
      <c r="DB12" s="106" t="str">
        <f>IFERROR(IF(ISBLANK(DA12),"",ROUND((DA12/SETTINGS!$L$19)*SETTINGS!$L$20,0)),"")</f>
        <v/>
      </c>
      <c r="DC12" s="106" t="str">
        <f>IFERROR(IF(AND(CZ12,DB12)="","",SUM(CZ12,DB12)),"")</f>
        <v/>
      </c>
      <c r="DD12" s="103" t="str">
        <f t="shared" ref="DD12:DD75" si="8">IFERROR(IF(DC12="","",RANK(DC12,DC$12:DC$76)),"")</f>
        <v/>
      </c>
      <c r="DE12" s="107" t="str">
        <f>IFERROR(IF(DC12="","",IF(DC12&gt;=75,VALUE(1),IF(DC12&gt;=70,VALUE(2),IF(DC12&gt;=65,VALUE(3),IF(DC12&gt;=60,VALUE(4),IF(DC12&gt;=55,VALUE(5),IF(DC12&gt;=50,VALUE(6),IF(DC12&gt;=45,VALUE(7),IF(DC12&gt;=40,VALUE(8),VALUE(9)))))))))),"")</f>
        <v/>
      </c>
      <c r="DF12" s="103" t="str">
        <f t="shared" ref="DF12:DF75" si="9">IFERROR(IF(AND(K12,W12,AI12,AU12,BG12,BS12,CE12,CQ12,DC12)="","",SUM(K12,W12,AI12,AU12,BG12,BS12,CE12,CQ12,DC12)),"")</f>
        <v/>
      </c>
      <c r="DG12" s="103" t="str">
        <f>IFERROR(IF(AND(K12,W12,AI12,AU12,BG12,BS12,CE12,CQ12,DC12)="","",SUM(K12,W12,AI12,AU12,LARGE((BG12,BS12,CE12,CQ12,DC12),{1,2}))),"")</f>
        <v/>
      </c>
      <c r="DH12" s="103" t="str">
        <f>IFERROR(IF(AND(M12,Y12,AK12,AW12,,BI12,BU12,CG12,CS12,DE12)="","",SUM(M12,Y12,AK12,AW12,SMALL((BI12,BU12,CG12,CS12,DE12),{1,2}))),"")</f>
        <v/>
      </c>
      <c r="DI12" s="109" t="str">
        <f>IFERROR(IF(ISBLANK($D12),"",pos&amp;IF(AND(MOD(ABS(pos),100)&gt;10,MOD(ABS(pos),100)&lt;14),"th",CHOOSE(MOD(ABS(pos),10)+1,"th","st","nd","rd","th","th","th","th","th","th"))),"")</f>
        <v/>
      </c>
      <c r="DJ12" s="62">
        <f>ROWS($B$12:$B12)</f>
        <v>1</v>
      </c>
      <c r="DK12" s="62" t="str">
        <f>IF($B12=REPORT_CARD!$M$12,$DJ12,"")</f>
        <v/>
      </c>
      <c r="DL12" s="62" t="str">
        <f>IFERROR(SMALL($DK$12:$DK$76,$DJ12),"")</f>
        <v/>
      </c>
      <c r="DM12" s="186"/>
    </row>
    <row r="13" spans="1:1024" ht="19.5" customHeight="1">
      <c r="A13" s="187" t="str">
        <f>IFERROR(IF(ISBLANK(DATA!$A13),"",DATA!$A13),"")</f>
        <v/>
      </c>
      <c r="B13" s="187" t="str">
        <f>IFERROR(IF(ISBLANK(DATA!$B13),"",DATA!$B13),"")</f>
        <v/>
      </c>
      <c r="C13" s="190" t="str">
        <f>IFERROR(IF(ISBLANK(DATA!C13),"",DATA!C13),"")</f>
        <v/>
      </c>
      <c r="D13" s="190" t="str">
        <f>IFERROR(IF(ISBLANK(DATA!D13),"",DATA!D13),"")</f>
        <v/>
      </c>
      <c r="E13" s="190" t="str">
        <f>IFERROR(IF(ISBLANK(DATA!E13),"",DATA!E13),"")</f>
        <v/>
      </c>
      <c r="F13" s="190" t="str">
        <f>IFERROR(IF(ISBLANK(DATA!F13),"",DATA!F13),"")</f>
        <v/>
      </c>
      <c r="G13" s="97" t="str">
        <f>IFERROR(IF(AND(C13:F13)="","",SUM(C13:F13)),"")</f>
        <v/>
      </c>
      <c r="H13" s="106" t="str">
        <f>IFERROR(IF(G13=0,"",ROUND((G13/SUM(SETTINGS!$L$14:$L$17))*SETTINGS!$L$18,0)),"")</f>
        <v/>
      </c>
      <c r="I13" s="190" t="str">
        <f>IFERROR(IF(ISBLANK(DATA!G13),"",DATA!G13),"")</f>
        <v/>
      </c>
      <c r="J13" s="106" t="str">
        <f>IFERROR(IF(ISBLANK(I13),"",ROUND((I13/SETTINGS!$L$19)*SETTINGS!$L$20,0)),"")</f>
        <v/>
      </c>
      <c r="K13" s="106" t="str">
        <f t="shared" ref="K13:K76" si="10">IFERROR(IF(AND(H13,J13)="","",SUM(H13,J13)),"")</f>
        <v/>
      </c>
      <c r="L13" s="103" t="str">
        <f t="shared" si="0"/>
        <v/>
      </c>
      <c r="M13" s="107" t="str">
        <f t="shared" ref="M13:M76" si="11">IFERROR(IF(K13="","",IF(K13&gt;=75,VALUE(1),IF(K13&gt;=70,VALUE(2),IF(K13&gt;=65,VALUE(3),IF(K13&gt;=60,VALUE(4),IF(K13&gt;=55,VALUE(5),IF(K13&gt;=50,VALUE(6),IF(K13&gt;=45,VALUE(7),IF(K13&gt;=40,VALUE(8),VALUE(9)))))))))),"")</f>
        <v/>
      </c>
      <c r="N13" s="136"/>
      <c r="O13" s="190" t="str">
        <f>IFERROR(IF(ISBLANK(DATA!I13),"",DATA!I13),"")</f>
        <v/>
      </c>
      <c r="P13" s="190" t="str">
        <f>IFERROR(IF(ISBLANK(DATA!J13),"",DATA!J13),"")</f>
        <v/>
      </c>
      <c r="Q13" s="190" t="str">
        <f>IFERROR(IF(ISBLANK(DATA!K13),"",DATA!K13),"")</f>
        <v/>
      </c>
      <c r="R13" s="190" t="str">
        <f>IFERROR(IF(ISBLANK(DATA!L13),"",DATA!L13),"")</f>
        <v/>
      </c>
      <c r="S13" s="97" t="str">
        <f t="shared" ref="S13:S43" si="12">IFERROR(IF(AND(O13:R13)="","",SUM(O13:R13)),"")</f>
        <v/>
      </c>
      <c r="T13" s="106" t="str">
        <f>IFERROR(IF(S13=0,"",ROUND((S13/SUM(SETTINGS!$L$14:$L$17))*SETTINGS!$L$18,0)),"")</f>
        <v/>
      </c>
      <c r="U13" s="190" t="str">
        <f>IFERROR(IF(ISBLANK(DATA!M13),"",DATA!M13),"")</f>
        <v/>
      </c>
      <c r="V13" s="106" t="str">
        <f>IFERROR(IF(ISBLANK(U13),"",ROUND((U13/SETTINGS!$L$19)*SETTINGS!$L$20,0)),"")</f>
        <v/>
      </c>
      <c r="W13" s="106" t="str">
        <f t="shared" ref="W13:W75" si="13">IFERROR(IF(AND(T13,V13)="","",SUM(T13,V13)),"")</f>
        <v/>
      </c>
      <c r="X13" s="103" t="str">
        <f t="shared" ref="X13:X75" si="14">IFERROR(IF(W13="","",RANK(W13,W$12:W$76)),"")</f>
        <v/>
      </c>
      <c r="Y13" s="107" t="str">
        <f t="shared" ref="Y13:Y75" si="15">IFERROR(IF(W13="","",IF(W13&gt;=75,VALUE(1),IF(W13&gt;=70,VALUE(2),IF(W13&gt;=65,VALUE(3),IF(W13&gt;=60,VALUE(4),IF(W13&gt;=55,VALUE(5),IF(W13&gt;=50,VALUE(6),IF(W13&gt;=45,VALUE(7),IF(W13&gt;=40,VALUE(8),VALUE(9)))))))))),"")</f>
        <v/>
      </c>
      <c r="Z13" s="130"/>
      <c r="AA13" s="190" t="str">
        <f>IFERROR(IF(ISBLANK(DATA!O13),"",DATA!O13),"")</f>
        <v/>
      </c>
      <c r="AB13" s="190" t="str">
        <f>IFERROR(IF(ISBLANK(DATA!P13),"",DATA!P13),"")</f>
        <v/>
      </c>
      <c r="AC13" s="190" t="str">
        <f>IFERROR(IF(ISBLANK(DATA!Q13),"",DATA!Q13),"")</f>
        <v/>
      </c>
      <c r="AD13" s="190" t="str">
        <f>IFERROR(IF(ISBLANK(DATA!R13),"",DATA!R13),"")</f>
        <v/>
      </c>
      <c r="AE13" s="97" t="str">
        <f t="shared" ref="AE13:AE43" si="16">IFERROR(IF(AND(AA13:AD13)="","",SUM(AA13:AD13)),"")</f>
        <v/>
      </c>
      <c r="AF13" s="106" t="str">
        <f>IFERROR(IF(AE13=0,"",ROUND((AE13/SUM(SETTINGS!$L$14:$L$17))*SETTINGS!$L$18,0)),"")</f>
        <v/>
      </c>
      <c r="AG13" s="190" t="str">
        <f>IFERROR(IF(ISBLANK(DATA!S13),"",DATA!S13),"")</f>
        <v/>
      </c>
      <c r="AH13" s="106" t="str">
        <f>IFERROR(IF(ISBLANK(AG13),"",ROUND((AG13/SETTINGS!$L$19)*SETTINGS!$L$20,0)),"")</f>
        <v/>
      </c>
      <c r="AI13" s="106" t="str">
        <f t="shared" ref="AI13:AI76" si="17">IFERROR(IF(AND(AF13,AH13)="","",SUM(AF13,AH13)),"")</f>
        <v/>
      </c>
      <c r="AJ13" s="103" t="str">
        <f t="shared" si="2"/>
        <v/>
      </c>
      <c r="AK13" s="108" t="str">
        <f t="shared" ref="AK13:AK76" si="18">IFERROR(IF(AI13="","",IF(AI13&gt;=75,VALUE(1),IF(AI13&gt;=70,VALUE(2),IF(AI13&gt;=65,VALUE(3),IF(AI13&gt;=60,VALUE(4),IF(AI13&gt;=55,VALUE(5),IF(AI13&gt;=50,VALUE(6),IF(AI13&gt;=45,VALUE(7),IF(AI13&gt;=40,VALUE(8),VALUE(9)))))))))),"")</f>
        <v/>
      </c>
      <c r="AL13" s="130"/>
      <c r="AM13" s="190" t="str">
        <f>IFERROR(IF(ISBLANK(DATA!U13),"",DATA!U13),"")</f>
        <v/>
      </c>
      <c r="AN13" s="190" t="str">
        <f>IFERROR(IF(ISBLANK(DATA!V13),"",DATA!V13),"")</f>
        <v/>
      </c>
      <c r="AO13" s="190" t="str">
        <f>IFERROR(IF(ISBLANK(DATA!W13),"",DATA!W13),"")</f>
        <v/>
      </c>
      <c r="AP13" s="190" t="str">
        <f>IFERROR(IF(ISBLANK(DATA!X13),"",DATA!X13),"")</f>
        <v/>
      </c>
      <c r="AQ13" s="97" t="str">
        <f t="shared" ref="AQ13:AQ75" si="19">IFERROR(IF(AND(AM13:AP13)="","",SUM(AM13:AP13)),"")</f>
        <v/>
      </c>
      <c r="AR13" s="106" t="str">
        <f>IFERROR(IF(AQ13=0,"",ROUND((AQ13/SUM(SETTINGS!$L$14:$L$17))*SETTINGS!$L$18,0)),"")</f>
        <v/>
      </c>
      <c r="AS13" s="190" t="str">
        <f>IFERROR(IF(ISBLANK(DATA!Y13),"",DATA!Y13),"")</f>
        <v/>
      </c>
      <c r="AT13" s="106" t="str">
        <f>IFERROR(IF(ISBLANK(AS13),"",ROUND((AS13/SETTINGS!$L$19)*SETTINGS!$L$20,0)),"")</f>
        <v/>
      </c>
      <c r="AU13" s="106" t="str">
        <f t="shared" ref="AU13:AU76" si="20">IFERROR(IF(AND(AR13,AT13)="","",SUM(AR13,AT13)),"")</f>
        <v/>
      </c>
      <c r="AV13" s="103" t="str">
        <f t="shared" si="3"/>
        <v/>
      </c>
      <c r="AW13" s="107" t="str">
        <f t="shared" ref="AW13:AW76" si="21">IFERROR(IF(AU13="","",IF(AU13&gt;=75,VALUE(1),IF(AU13&gt;=70,VALUE(2),IF(AU13&gt;=65,VALUE(3),IF(AU13&gt;=60,VALUE(4),IF(AU13&gt;=55,VALUE(5),IF(AU13&gt;=50,VALUE(6),IF(AU13&gt;=45,VALUE(7),IF(AU13&gt;=40,VALUE(8),VALUE(9)))))))))),"")</f>
        <v/>
      </c>
      <c r="AX13" s="130"/>
      <c r="AY13" s="190" t="str">
        <f>IFERROR(IF(ISBLANK(DATA!AA13),"",DATA!AA13),"")</f>
        <v/>
      </c>
      <c r="AZ13" s="190" t="str">
        <f>IFERROR(IF(ISBLANK(DATA!AB13),"",DATA!AB13),"")</f>
        <v/>
      </c>
      <c r="BA13" s="190" t="str">
        <f>IFERROR(IF(ISBLANK(DATA!AC13),"",DATA!AC13),"")</f>
        <v/>
      </c>
      <c r="BB13" s="190" t="str">
        <f>IFERROR(IF(ISBLANK(DATA!AD13),"",DATA!AD13),"")</f>
        <v/>
      </c>
      <c r="BC13" s="97" t="str">
        <f t="shared" ref="BC13:BC75" si="22">IFERROR(IF(AND(AY13:BB13)="","",SUM(AY13:BB13)),"")</f>
        <v/>
      </c>
      <c r="BD13" s="106" t="str">
        <f>IFERROR(IF(BC13=0,"",ROUND((BC13/SUM(SETTINGS!$L$14:$L$17))*SETTINGS!$L$18,0)),"")</f>
        <v/>
      </c>
      <c r="BE13" s="190" t="str">
        <f>IFERROR(IF(ISBLANK(DATA!AE13),"",DATA!AE13),"")</f>
        <v/>
      </c>
      <c r="BF13" s="106" t="str">
        <f>IFERROR(IF(ISBLANK(BE13),"",ROUND((BE13/SETTINGS!$L$19)*SETTINGS!$L$20,0)),"")</f>
        <v/>
      </c>
      <c r="BG13" s="106" t="str">
        <f t="shared" ref="BG13:BG76" si="23">IFERROR(IF(AND(BD13,BF13)="","",SUM(BD13,BF13)),"")</f>
        <v/>
      </c>
      <c r="BH13" s="103" t="str">
        <f t="shared" si="4"/>
        <v/>
      </c>
      <c r="BI13" s="108" t="str">
        <f t="shared" ref="BI13:BI76" si="24">IFERROR(IF(BG13="","",IF(BG13&gt;=75,VALUE(1),IF(BG13&gt;=70,VALUE(2),IF(BG13&gt;=65,VALUE(3),IF(BG13&gt;=60,VALUE(4),IF(BG13&gt;=55,VALUE(5),IF(BG13&gt;=50,VALUE(6),IF(BG13&gt;=45,VALUE(7),IF(BG13&gt;=40,VALUE(8),VALUE(9)))))))))),"")</f>
        <v/>
      </c>
      <c r="BJ13" s="130"/>
      <c r="BK13" s="190" t="str">
        <f>IFERROR(IF(ISBLANK(DATA!AG13),"",DATA!AG13),"")</f>
        <v/>
      </c>
      <c r="BL13" s="190" t="str">
        <f>IFERROR(IF(ISBLANK(DATA!AH13),"",DATA!AH13),"")</f>
        <v/>
      </c>
      <c r="BM13" s="190" t="str">
        <f>IFERROR(IF(ISBLANK(DATA!AI13),"",DATA!AI13),"")</f>
        <v/>
      </c>
      <c r="BN13" s="190" t="str">
        <f>IFERROR(IF(ISBLANK(DATA!AJ13),"",DATA!AJ13),"")</f>
        <v/>
      </c>
      <c r="BO13" s="97" t="str">
        <f t="shared" ref="BO13:BO75" si="25">IFERROR(IF(AND(BK13:BN13)="","",SUM(BK13:BN13)),"")</f>
        <v/>
      </c>
      <c r="BP13" s="106" t="str">
        <f>IFERROR(IF(BO13=0,"",ROUND((BO13/SUM(SETTINGS!$L$14:$L$17))*SETTINGS!$L$18,0)),"")</f>
        <v/>
      </c>
      <c r="BQ13" s="190" t="str">
        <f>IFERROR(IF(ISBLANK(DATA!AK13),"",DATA!AK13),"")</f>
        <v/>
      </c>
      <c r="BR13" s="106" t="str">
        <f>IFERROR(IF(ISBLANK(BQ13),"",ROUND((BQ13/SETTINGS!$L$19)*SETTINGS!$L$20,0)),"")</f>
        <v/>
      </c>
      <c r="BS13" s="106" t="str">
        <f t="shared" ref="BS13:BS76" si="26">IFERROR(IF(AND(BP13,BR13)="","",SUM(BP13,BR13)),"")</f>
        <v/>
      </c>
      <c r="BT13" s="103" t="str">
        <f t="shared" si="5"/>
        <v/>
      </c>
      <c r="BU13" s="107" t="str">
        <f t="shared" ref="BU13:BU76" si="27">IFERROR(IF(BS13="","",IF(BS13&gt;=75,VALUE(1),IF(BS13&gt;=70,VALUE(2),IF(BS13&gt;=65,VALUE(3),IF(BS13&gt;=60,VALUE(4),IF(BS13&gt;=55,VALUE(5),IF(BS13&gt;=50,VALUE(6),IF(BS13&gt;=45,VALUE(7),IF(BS13&gt;=40,VALUE(8),VALUE(9)))))))))),"")</f>
        <v/>
      </c>
      <c r="BV13" s="130"/>
      <c r="BW13" s="190" t="str">
        <f>IFERROR(IF(ISBLANK(DATA!AM13),"",DATA!AM13),"")</f>
        <v/>
      </c>
      <c r="BX13" s="190" t="str">
        <f>IFERROR(IF(ISBLANK(DATA!AN13),"",DATA!AN13),"")</f>
        <v/>
      </c>
      <c r="BY13" s="190" t="str">
        <f>IFERROR(IF(ISBLANK(DATA!AO13),"",DATA!AO13),"")</f>
        <v/>
      </c>
      <c r="BZ13" s="190" t="str">
        <f>IFERROR(IF(ISBLANK(DATA!AP13),"",DATA!AP13),"")</f>
        <v/>
      </c>
      <c r="CA13" s="97" t="str">
        <f t="shared" ref="CA13:CA75" si="28">IFERROR(IF(AND(BW13:BZ13)="","",SUM(BW13:BZ13)),"")</f>
        <v/>
      </c>
      <c r="CB13" s="106" t="str">
        <f>IFERROR(IF(CA13=0,"",ROUND((CA13/SUM(SETTINGS!$L$14:$L$17))*SETTINGS!$L$18,0)),"")</f>
        <v/>
      </c>
      <c r="CC13" s="190" t="str">
        <f>IFERROR(IF(ISBLANK(DATA!AQ13),"",DATA!AQ13),"")</f>
        <v/>
      </c>
      <c r="CD13" s="106" t="str">
        <f>IFERROR(IF(ISBLANK(CC13),"",ROUND((CC13/SETTINGS!$L$19)*SETTINGS!$L$20,0)),"")</f>
        <v/>
      </c>
      <c r="CE13" s="106" t="str">
        <f t="shared" ref="CE13:CE76" si="29">IFERROR(IF(AND(CB13,CD13)="","",SUM(CB13,CD13)),"")</f>
        <v/>
      </c>
      <c r="CF13" s="103" t="str">
        <f t="shared" si="6"/>
        <v/>
      </c>
      <c r="CG13" s="107" t="str">
        <f t="shared" ref="CG13:CG76" si="30">IFERROR(IF(CE13="","",IF(CE13&gt;=75,VALUE(1),IF(CE13&gt;=70,VALUE(2),IF(CE13&gt;=65,VALUE(3),IF(CE13&gt;=60,VALUE(4),IF(CE13&gt;=55,VALUE(5),IF(CE13&gt;=50,VALUE(6),IF(CE13&gt;=45,VALUE(7),IF(CE13&gt;=40,VALUE(8),VALUE(9)))))))))),"")</f>
        <v/>
      </c>
      <c r="CH13" s="130"/>
      <c r="CI13" s="190" t="str">
        <f>IFERROR(IF(ISBLANK(DATA!AS13),"",DATA!AS13),"")</f>
        <v/>
      </c>
      <c r="CJ13" s="190" t="str">
        <f>IFERROR(IF(ISBLANK(DATA!AT13),"",DATA!AT13),"")</f>
        <v/>
      </c>
      <c r="CK13" s="190" t="str">
        <f>IFERROR(IF(ISBLANK(DATA!AU13),"",DATA!AU13),"")</f>
        <v/>
      </c>
      <c r="CL13" s="190" t="str">
        <f>IFERROR(IF(ISBLANK(DATA!AV13),"",DATA!AV13),"")</f>
        <v/>
      </c>
      <c r="CM13" s="97" t="str">
        <f t="shared" ref="CM13:CM75" si="31">IFERROR(IF(AND(CI13:CL13)="","",SUM(CI13:CL13)),"")</f>
        <v/>
      </c>
      <c r="CN13" s="106" t="str">
        <f>IFERROR(IF(CM13=0,"",ROUND((CM13/SUM(SETTINGS!$L$14:$L$17))*SETTINGS!$L$18,0)),"")</f>
        <v/>
      </c>
      <c r="CO13" s="190" t="str">
        <f>IFERROR(IF(ISBLANK(DATA!AW13),"",DATA!AW13),"")</f>
        <v/>
      </c>
      <c r="CP13" s="106" t="str">
        <f>IFERROR(IF(ISBLANK(CO13),"",ROUND((CO13/SETTINGS!$L$19)*SETTINGS!$L$20,0)),"")</f>
        <v/>
      </c>
      <c r="CQ13" s="106" t="str">
        <f t="shared" ref="CQ13:CQ76" si="32">IFERROR(IF(AND(CN13,CP13)="","",SUM(CN13,CP13)),"")</f>
        <v/>
      </c>
      <c r="CR13" s="103" t="str">
        <f t="shared" si="7"/>
        <v/>
      </c>
      <c r="CS13" s="107" t="str">
        <f t="shared" ref="CS13:CS76" si="33">IFERROR(IF(CQ13="","",IF(CQ13&gt;=75,VALUE(1),IF(CQ13&gt;=70,VALUE(2),IF(CQ13&gt;=65,VALUE(3),IF(CQ13&gt;=60,VALUE(4),IF(CQ13&gt;=55,VALUE(5),IF(CQ13&gt;=50,VALUE(6),IF(CQ13&gt;=45,VALUE(7),IF(CQ13&gt;=40,VALUE(8),VALUE(9)))))))))),"")</f>
        <v/>
      </c>
      <c r="CT13" s="130"/>
      <c r="CU13" s="190" t="str">
        <f>IFERROR(IF(ISBLANK(DATA!AY13),"",DATA!AY13),"")</f>
        <v/>
      </c>
      <c r="CV13" s="190" t="str">
        <f>IFERROR(IF(ISBLANK(DATA!AZ13),"",DATA!AZ13),"")</f>
        <v/>
      </c>
      <c r="CW13" s="190" t="str">
        <f>IFERROR(IF(ISBLANK(DATA!BA13),"",DATA!BA13),"")</f>
        <v/>
      </c>
      <c r="CX13" s="190" t="str">
        <f>IFERROR(IF(ISBLANK(DATA!BB13),"",DATA!BB13),"")</f>
        <v/>
      </c>
      <c r="CY13" s="97" t="str">
        <f t="shared" ref="CY13:CY75" si="34">IFERROR(IF(AND(CU13:CX13)="","",SUM(CU13:CX13)),"")</f>
        <v/>
      </c>
      <c r="CZ13" s="106" t="str">
        <f>IFERROR(IF(CY13=0,"",ROUND((CY13/SUM(SETTINGS!$L$14:$L$17))*SETTINGS!$L$18,0)),"")</f>
        <v/>
      </c>
      <c r="DA13" s="190" t="str">
        <f>IFERROR(IF(ISBLANK(DATA!BC13),"",DATA!BC13),"")</f>
        <v/>
      </c>
      <c r="DB13" s="106" t="str">
        <f>IFERROR(IF(ISBLANK(DA13),"",ROUND((DA13/SETTINGS!$L$19)*SETTINGS!$L$20,0)),"")</f>
        <v/>
      </c>
      <c r="DC13" s="106" t="str">
        <f t="shared" ref="DC13:DC76" si="35">IFERROR(IF(AND(CZ13,DB13)="","",SUM(CZ13,DB13)),"")</f>
        <v/>
      </c>
      <c r="DD13" s="103" t="str">
        <f t="shared" si="8"/>
        <v/>
      </c>
      <c r="DE13" s="107" t="str">
        <f t="shared" ref="DE13:DE76" si="36">IFERROR(IF(DC13="","",IF(DC13&gt;=75,VALUE(1),IF(DC13&gt;=70,VALUE(2),IF(DC13&gt;=65,VALUE(3),IF(DC13&gt;=60,VALUE(4),IF(DC13&gt;=55,VALUE(5),IF(DC13&gt;=50,VALUE(6),IF(DC13&gt;=45,VALUE(7),IF(DC13&gt;=40,VALUE(8),VALUE(9)))))))))),"")</f>
        <v/>
      </c>
      <c r="DF13" s="103" t="str">
        <f t="shared" si="9"/>
        <v/>
      </c>
      <c r="DG13" s="103" t="str">
        <f>IFERROR(IF(AND(K13,W13,AI13,AU13,BG13,BS13,CE13,CQ13,DC13)="","",SUM(K13,W13,AI13,AU13,LARGE((BG13,BS13,CE13,CQ13,DC13),{1,2}))),"")</f>
        <v/>
      </c>
      <c r="DH13" s="103" t="str">
        <f>IFERROR(IF(AND(M13,Y13,AK13,AW13,,BI13,BU13,CG13,CS13,DE13)="","",SUM(M13,Y13,AK13,AW13,SMALL((BI13,BU13,CG13,CS13,DE13),{1,2}))),"")</f>
        <v/>
      </c>
      <c r="DI13" s="109" t="str">
        <f>IFERROR(IF(ISBLANK($D13),"",pos&amp;IF(AND(MOD(ABS(pos),100)&gt;10,MOD(ABS(pos),100)&lt;14),"th",CHOOSE(MOD(ABS(pos),10)+1,"th","st","nd","rd","th","th","th","th","th","th"))),"")</f>
        <v/>
      </c>
      <c r="DJ13" s="62">
        <f>ROWS($B$12:$B13)</f>
        <v>2</v>
      </c>
      <c r="DK13" s="62" t="str">
        <f>IF($B13=REPORT_CARD!$M$12,$DJ13,"")</f>
        <v/>
      </c>
      <c r="DL13" s="62"/>
      <c r="DM13" s="186"/>
    </row>
    <row r="14" spans="1:1024" ht="19.5" customHeight="1">
      <c r="A14" s="187" t="str">
        <f>IFERROR(IF(ISBLANK(DATA!$A14),"",DATA!$A14),"")</f>
        <v/>
      </c>
      <c r="B14" s="187" t="str">
        <f>IFERROR(IF(ISBLANK(DATA!$B14),"",DATA!$B14),"")</f>
        <v/>
      </c>
      <c r="C14" s="190" t="str">
        <f>IFERROR(IF(ISBLANK(DATA!C14),"",DATA!C14),"")</f>
        <v/>
      </c>
      <c r="D14" s="190" t="str">
        <f>IFERROR(IF(ISBLANK(DATA!D14),"",DATA!D14),"")</f>
        <v/>
      </c>
      <c r="E14" s="190" t="str">
        <f>IFERROR(IF(ISBLANK(DATA!E14),"",DATA!E14),"")</f>
        <v/>
      </c>
      <c r="F14" s="190" t="str">
        <f>IFERROR(IF(ISBLANK(DATA!F14),"",DATA!F14),"")</f>
        <v/>
      </c>
      <c r="G14" s="97" t="str">
        <f t="shared" ref="G14:G76" si="37">IFERROR(IF(AND(C14:F14)="","",SUM(C14:F14)),"")</f>
        <v/>
      </c>
      <c r="H14" s="106" t="str">
        <f>IFERROR(IF(G14=0,"",ROUND((G14/SUM(SETTINGS!$L$14:$L$17))*SETTINGS!$L$18,0)),"")</f>
        <v/>
      </c>
      <c r="I14" s="190" t="str">
        <f>IFERROR(IF(ISBLANK(DATA!G14),"",DATA!G14),"")</f>
        <v/>
      </c>
      <c r="J14" s="106" t="str">
        <f>IFERROR(IF(ISBLANK(I14),"",ROUND((I14/SETTINGS!$L$19)*SETTINGS!$L$20,0)),"")</f>
        <v/>
      </c>
      <c r="K14" s="106" t="str">
        <f t="shared" si="10"/>
        <v/>
      </c>
      <c r="L14" s="103" t="str">
        <f t="shared" si="0"/>
        <v/>
      </c>
      <c r="M14" s="107" t="str">
        <f t="shared" si="11"/>
        <v/>
      </c>
      <c r="N14" s="136"/>
      <c r="O14" s="190" t="str">
        <f>IFERROR(IF(ISBLANK(DATA!I14),"",DATA!I14),"")</f>
        <v/>
      </c>
      <c r="P14" s="190" t="str">
        <f>IFERROR(IF(ISBLANK(DATA!J14),"",DATA!J14),"")</f>
        <v/>
      </c>
      <c r="Q14" s="190" t="str">
        <f>IFERROR(IF(ISBLANK(DATA!K14),"",DATA!K14),"")</f>
        <v/>
      </c>
      <c r="R14" s="190" t="str">
        <f>IFERROR(IF(ISBLANK(DATA!L14),"",DATA!L14),"")</f>
        <v/>
      </c>
      <c r="S14" s="97" t="str">
        <f t="shared" si="12"/>
        <v/>
      </c>
      <c r="T14" s="106" t="str">
        <f>IFERROR(IF(S14=0,"",ROUND((S14/SUM(SETTINGS!$L$14:$L$17))*SETTINGS!$L$18,0)),"")</f>
        <v/>
      </c>
      <c r="U14" s="190" t="str">
        <f>IFERROR(IF(ISBLANK(DATA!M14),"",DATA!M14),"")</f>
        <v/>
      </c>
      <c r="V14" s="106" t="str">
        <f>IFERROR(IF(ISBLANK(U14),"",ROUND((U14/SETTINGS!$L$19)*SETTINGS!$L$20,0)),"")</f>
        <v/>
      </c>
      <c r="W14" s="106" t="str">
        <f t="shared" si="13"/>
        <v/>
      </c>
      <c r="X14" s="103" t="str">
        <f t="shared" si="14"/>
        <v/>
      </c>
      <c r="Y14" s="107" t="str">
        <f t="shared" si="15"/>
        <v/>
      </c>
      <c r="Z14" s="130"/>
      <c r="AA14" s="190" t="str">
        <f>IFERROR(IF(ISBLANK(DATA!O14),"",DATA!O14),"")</f>
        <v/>
      </c>
      <c r="AB14" s="190" t="str">
        <f>IFERROR(IF(ISBLANK(DATA!P14),"",DATA!P14),"")</f>
        <v/>
      </c>
      <c r="AC14" s="190" t="str">
        <f>IFERROR(IF(ISBLANK(DATA!Q14),"",DATA!Q14),"")</f>
        <v/>
      </c>
      <c r="AD14" s="190" t="str">
        <f>IFERROR(IF(ISBLANK(DATA!R14),"",DATA!R14),"")</f>
        <v/>
      </c>
      <c r="AE14" s="97" t="str">
        <f t="shared" si="16"/>
        <v/>
      </c>
      <c r="AF14" s="106" t="str">
        <f>IFERROR(IF(AE14=0,"",ROUND((AE14/SUM(SETTINGS!$L$14:$L$17))*SETTINGS!$L$18,0)),"")</f>
        <v/>
      </c>
      <c r="AG14" s="190" t="str">
        <f>IFERROR(IF(ISBLANK(DATA!S14),"",DATA!S14),"")</f>
        <v/>
      </c>
      <c r="AH14" s="106" t="str">
        <f>IFERROR(IF(ISBLANK(AG14),"",ROUND((AG14/SETTINGS!$L$19)*SETTINGS!$L$20,0)),"")</f>
        <v/>
      </c>
      <c r="AI14" s="106" t="str">
        <f t="shared" si="17"/>
        <v/>
      </c>
      <c r="AJ14" s="103" t="str">
        <f t="shared" si="2"/>
        <v/>
      </c>
      <c r="AK14" s="108" t="str">
        <f t="shared" si="18"/>
        <v/>
      </c>
      <c r="AL14" s="130"/>
      <c r="AM14" s="190" t="str">
        <f>IFERROR(IF(ISBLANK(DATA!U14),"",DATA!U14),"")</f>
        <v/>
      </c>
      <c r="AN14" s="190" t="str">
        <f>IFERROR(IF(ISBLANK(DATA!V14),"",DATA!V14),"")</f>
        <v/>
      </c>
      <c r="AO14" s="190" t="str">
        <f>IFERROR(IF(ISBLANK(DATA!W14),"",DATA!W14),"")</f>
        <v/>
      </c>
      <c r="AP14" s="190" t="str">
        <f>IFERROR(IF(ISBLANK(DATA!X14),"",DATA!X14),"")</f>
        <v/>
      </c>
      <c r="AQ14" s="97" t="str">
        <f t="shared" si="19"/>
        <v/>
      </c>
      <c r="AR14" s="106" t="str">
        <f>IFERROR(IF(AQ14=0,"",ROUND((AQ14/SUM(SETTINGS!$L$14:$L$17))*SETTINGS!$L$18,0)),"")</f>
        <v/>
      </c>
      <c r="AS14" s="190" t="str">
        <f>IFERROR(IF(ISBLANK(DATA!Y14),"",DATA!Y14),"")</f>
        <v/>
      </c>
      <c r="AT14" s="106" t="str">
        <f>IFERROR(IF(ISBLANK(AS14),"",ROUND((AS14/SETTINGS!$L$19)*SETTINGS!$L$20,0)),"")</f>
        <v/>
      </c>
      <c r="AU14" s="106" t="str">
        <f t="shared" si="20"/>
        <v/>
      </c>
      <c r="AV14" s="103" t="str">
        <f t="shared" si="3"/>
        <v/>
      </c>
      <c r="AW14" s="107" t="str">
        <f t="shared" si="21"/>
        <v/>
      </c>
      <c r="AX14" s="130"/>
      <c r="AY14" s="190" t="str">
        <f>IFERROR(IF(ISBLANK(DATA!AA14),"",DATA!AA14),"")</f>
        <v/>
      </c>
      <c r="AZ14" s="190" t="str">
        <f>IFERROR(IF(ISBLANK(DATA!AB14),"",DATA!AB14),"")</f>
        <v/>
      </c>
      <c r="BA14" s="190" t="str">
        <f>IFERROR(IF(ISBLANK(DATA!AC14),"",DATA!AC14),"")</f>
        <v/>
      </c>
      <c r="BB14" s="190" t="str">
        <f>IFERROR(IF(ISBLANK(DATA!AD14),"",DATA!AD14),"")</f>
        <v/>
      </c>
      <c r="BC14" s="97" t="str">
        <f t="shared" si="22"/>
        <v/>
      </c>
      <c r="BD14" s="106" t="str">
        <f>IFERROR(IF(BC14=0,"",ROUND((BC14/SUM(SETTINGS!$L$14:$L$17))*SETTINGS!$L$18,0)),"")</f>
        <v/>
      </c>
      <c r="BE14" s="190" t="str">
        <f>IFERROR(IF(ISBLANK(DATA!AE14),"",DATA!AE14),"")</f>
        <v/>
      </c>
      <c r="BF14" s="106" t="str">
        <f>IFERROR(IF(ISBLANK(BE14),"",ROUND((BE14/SETTINGS!$L$19)*SETTINGS!$L$20,0)),"")</f>
        <v/>
      </c>
      <c r="BG14" s="106" t="str">
        <f t="shared" si="23"/>
        <v/>
      </c>
      <c r="BH14" s="103" t="str">
        <f t="shared" si="4"/>
        <v/>
      </c>
      <c r="BI14" s="108" t="str">
        <f t="shared" si="24"/>
        <v/>
      </c>
      <c r="BJ14" s="130"/>
      <c r="BK14" s="190" t="str">
        <f>IFERROR(IF(ISBLANK(DATA!AG14),"",DATA!AG14),"")</f>
        <v/>
      </c>
      <c r="BL14" s="190" t="str">
        <f>IFERROR(IF(ISBLANK(DATA!AH14),"",DATA!AH14),"")</f>
        <v/>
      </c>
      <c r="BM14" s="190" t="str">
        <f>IFERROR(IF(ISBLANK(DATA!AI14),"",DATA!AI14),"")</f>
        <v/>
      </c>
      <c r="BN14" s="190" t="str">
        <f>IFERROR(IF(ISBLANK(DATA!AJ14),"",DATA!AJ14),"")</f>
        <v/>
      </c>
      <c r="BO14" s="97" t="str">
        <f t="shared" si="25"/>
        <v/>
      </c>
      <c r="BP14" s="106" t="str">
        <f>IFERROR(IF(BO14=0,"",ROUND((BO14/SUM(SETTINGS!$L$14:$L$17))*SETTINGS!$L$18,0)),"")</f>
        <v/>
      </c>
      <c r="BQ14" s="190" t="str">
        <f>IFERROR(IF(ISBLANK(DATA!AK14),"",DATA!AK14),"")</f>
        <v/>
      </c>
      <c r="BR14" s="106" t="str">
        <f>IFERROR(IF(ISBLANK(BQ14),"",ROUND((BQ14/SETTINGS!$L$19)*SETTINGS!$L$20,0)),"")</f>
        <v/>
      </c>
      <c r="BS14" s="106" t="str">
        <f t="shared" si="26"/>
        <v/>
      </c>
      <c r="BT14" s="103" t="str">
        <f t="shared" si="5"/>
        <v/>
      </c>
      <c r="BU14" s="107" t="str">
        <f t="shared" si="27"/>
        <v/>
      </c>
      <c r="BV14" s="130"/>
      <c r="BW14" s="190" t="str">
        <f>IFERROR(IF(ISBLANK(DATA!AM14),"",DATA!AM14),"")</f>
        <v/>
      </c>
      <c r="BX14" s="190" t="str">
        <f>IFERROR(IF(ISBLANK(DATA!AN14),"",DATA!AN14),"")</f>
        <v/>
      </c>
      <c r="BY14" s="190" t="str">
        <f>IFERROR(IF(ISBLANK(DATA!AO14),"",DATA!AO14),"")</f>
        <v/>
      </c>
      <c r="BZ14" s="190" t="str">
        <f>IFERROR(IF(ISBLANK(DATA!AP14),"",DATA!AP14),"")</f>
        <v/>
      </c>
      <c r="CA14" s="97" t="str">
        <f t="shared" si="28"/>
        <v/>
      </c>
      <c r="CB14" s="106" t="str">
        <f>IFERROR(IF(CA14=0,"",ROUND((CA14/SUM(SETTINGS!$L$14:$L$17))*SETTINGS!$L$18,0)),"")</f>
        <v/>
      </c>
      <c r="CC14" s="190" t="str">
        <f>IFERROR(IF(ISBLANK(DATA!AQ14),"",DATA!AQ14),"")</f>
        <v/>
      </c>
      <c r="CD14" s="106" t="str">
        <f>IFERROR(IF(ISBLANK(CC14),"",ROUND((CC14/SETTINGS!$L$19)*SETTINGS!$L$20,0)),"")</f>
        <v/>
      </c>
      <c r="CE14" s="106" t="str">
        <f t="shared" si="29"/>
        <v/>
      </c>
      <c r="CF14" s="103" t="str">
        <f t="shared" si="6"/>
        <v/>
      </c>
      <c r="CG14" s="107" t="str">
        <f t="shared" si="30"/>
        <v/>
      </c>
      <c r="CH14" s="130"/>
      <c r="CI14" s="190" t="str">
        <f>IFERROR(IF(ISBLANK(DATA!AS14),"",DATA!AS14),"")</f>
        <v/>
      </c>
      <c r="CJ14" s="190" t="str">
        <f>IFERROR(IF(ISBLANK(DATA!AT14),"",DATA!AT14),"")</f>
        <v/>
      </c>
      <c r="CK14" s="190" t="str">
        <f>IFERROR(IF(ISBLANK(DATA!AU14),"",DATA!AU14),"")</f>
        <v/>
      </c>
      <c r="CL14" s="190" t="str">
        <f>IFERROR(IF(ISBLANK(DATA!AV14),"",DATA!AV14),"")</f>
        <v/>
      </c>
      <c r="CM14" s="97" t="str">
        <f t="shared" si="31"/>
        <v/>
      </c>
      <c r="CN14" s="106" t="str">
        <f>IFERROR(IF(CM14=0,"",ROUND((CM14/SUM(SETTINGS!$L$14:$L$17))*SETTINGS!$L$18,0)),"")</f>
        <v/>
      </c>
      <c r="CO14" s="190" t="str">
        <f>IFERROR(IF(ISBLANK(DATA!AW14),"",DATA!AW14),"")</f>
        <v/>
      </c>
      <c r="CP14" s="106" t="str">
        <f>IFERROR(IF(ISBLANK(CO14),"",ROUND((CO14/SETTINGS!$L$19)*SETTINGS!$L$20,0)),"")</f>
        <v/>
      </c>
      <c r="CQ14" s="106" t="str">
        <f t="shared" si="32"/>
        <v/>
      </c>
      <c r="CR14" s="103" t="str">
        <f t="shared" si="7"/>
        <v/>
      </c>
      <c r="CS14" s="107" t="str">
        <f t="shared" si="33"/>
        <v/>
      </c>
      <c r="CT14" s="130"/>
      <c r="CU14" s="190" t="str">
        <f>IFERROR(IF(ISBLANK(DATA!AY14),"",DATA!AY14),"")</f>
        <v/>
      </c>
      <c r="CV14" s="190" t="str">
        <f>IFERROR(IF(ISBLANK(DATA!AZ14),"",DATA!AZ14),"")</f>
        <v/>
      </c>
      <c r="CW14" s="190" t="str">
        <f>IFERROR(IF(ISBLANK(DATA!BA14),"",DATA!BA14),"")</f>
        <v/>
      </c>
      <c r="CX14" s="190" t="str">
        <f>IFERROR(IF(ISBLANK(DATA!BB14),"",DATA!BB14),"")</f>
        <v/>
      </c>
      <c r="CY14" s="97" t="str">
        <f t="shared" si="34"/>
        <v/>
      </c>
      <c r="CZ14" s="106" t="str">
        <f>IFERROR(IF(CY14=0,"",ROUND((CY14/SUM(SETTINGS!$L$14:$L$17))*SETTINGS!$L$18,0)),"")</f>
        <v/>
      </c>
      <c r="DA14" s="190" t="str">
        <f>IFERROR(IF(ISBLANK(DATA!BC14),"",DATA!BC14),"")</f>
        <v/>
      </c>
      <c r="DB14" s="106" t="str">
        <f>IFERROR(IF(ISBLANK(DA14),"",ROUND((DA14/SETTINGS!$L$19)*SETTINGS!$L$20,0)),"")</f>
        <v/>
      </c>
      <c r="DC14" s="106" t="str">
        <f t="shared" si="35"/>
        <v/>
      </c>
      <c r="DD14" s="103" t="str">
        <f t="shared" si="8"/>
        <v/>
      </c>
      <c r="DE14" s="107" t="str">
        <f t="shared" si="36"/>
        <v/>
      </c>
      <c r="DF14" s="103" t="str">
        <f t="shared" si="9"/>
        <v/>
      </c>
      <c r="DG14" s="103" t="str">
        <f>IFERROR(IF(AND(K14,W14,AI14,AU14,BG14,BS14,CE14,CQ14,DC14)="","",SUM(K14,W14,AI14,AU14,LARGE((BG14,BS14,CE14,CQ14,DC14),{1,2}))),"")</f>
        <v/>
      </c>
      <c r="DH14" s="103" t="str">
        <f>IFERROR(IF(AND(M14,Y14,AK14,AW14,,BI14,BU14,CG14,CS14,DE14)="","",SUM(M14,Y14,AK14,AW14,SMALL((BI14,BU14,CG14,CS14,DE14),{1,2}))),"")</f>
        <v/>
      </c>
      <c r="DI14" s="109" t="str">
        <f>IFERROR(IF(ISBLANK($D14),"",pos&amp;IF(AND(MOD(ABS(pos),100)&gt;10,MOD(ABS(pos),100)&lt;14),"th",CHOOSE(MOD(ABS(pos),10)+1,"th","st","nd","rd","th","th","th","th","th","th"))),"")</f>
        <v/>
      </c>
      <c r="DJ14" s="62">
        <f>ROWS($B$12:$B14)</f>
        <v>3</v>
      </c>
      <c r="DK14" s="62" t="str">
        <f>IF($B14=REPORT_CARD!$M$12,$DJ14,"")</f>
        <v/>
      </c>
      <c r="DL14" s="62"/>
      <c r="DM14" s="186"/>
    </row>
    <row r="15" spans="1:1024" ht="19.5" customHeight="1">
      <c r="A15" s="187" t="str">
        <f>IFERROR(IF(ISBLANK(DATA!$A15),"",DATA!$A15),"")</f>
        <v/>
      </c>
      <c r="B15" s="187" t="str">
        <f>IFERROR(IF(ISBLANK(DATA!$B15),"",DATA!$B15),"")</f>
        <v/>
      </c>
      <c r="C15" s="190" t="str">
        <f>IFERROR(IF(ISBLANK(DATA!C15),"",DATA!C15),"")</f>
        <v/>
      </c>
      <c r="D15" s="190" t="str">
        <f>IFERROR(IF(ISBLANK(DATA!D15),"",DATA!D15),"")</f>
        <v/>
      </c>
      <c r="E15" s="190" t="str">
        <f>IFERROR(IF(ISBLANK(DATA!E15),"",DATA!E15),"")</f>
        <v/>
      </c>
      <c r="F15" s="190" t="str">
        <f>IFERROR(IF(ISBLANK(DATA!F15),"",DATA!F15),"")</f>
        <v/>
      </c>
      <c r="G15" s="97" t="str">
        <f t="shared" si="37"/>
        <v/>
      </c>
      <c r="H15" s="106" t="str">
        <f>IFERROR(IF(G15=0,"",ROUND((G15/SUM(SETTINGS!$L$14:$L$17))*SETTINGS!$L$18,0)),"")</f>
        <v/>
      </c>
      <c r="I15" s="190" t="str">
        <f>IFERROR(IF(ISBLANK(DATA!G15),"",DATA!G15),"")</f>
        <v/>
      </c>
      <c r="J15" s="106" t="str">
        <f>IFERROR(IF(ISBLANK(I15),"",ROUND((I15/SETTINGS!$L$19)*SETTINGS!$L$20,0)),"")</f>
        <v/>
      </c>
      <c r="K15" s="106" t="str">
        <f t="shared" si="10"/>
        <v/>
      </c>
      <c r="L15" s="103" t="str">
        <f t="shared" si="0"/>
        <v/>
      </c>
      <c r="M15" s="107" t="str">
        <f t="shared" si="11"/>
        <v/>
      </c>
      <c r="N15" s="136"/>
      <c r="O15" s="190" t="str">
        <f>IFERROR(IF(ISBLANK(DATA!I15),"",DATA!I15),"")</f>
        <v/>
      </c>
      <c r="P15" s="190" t="str">
        <f>IFERROR(IF(ISBLANK(DATA!J15),"",DATA!J15),"")</f>
        <v/>
      </c>
      <c r="Q15" s="190" t="str">
        <f>IFERROR(IF(ISBLANK(DATA!K15),"",DATA!K15),"")</f>
        <v/>
      </c>
      <c r="R15" s="190" t="str">
        <f>IFERROR(IF(ISBLANK(DATA!L15),"",DATA!L15),"")</f>
        <v/>
      </c>
      <c r="S15" s="97" t="str">
        <f t="shared" si="12"/>
        <v/>
      </c>
      <c r="T15" s="106" t="str">
        <f>IFERROR(IF(S15=0,"",ROUND((S15/SUM(SETTINGS!$L$14:$L$17))*SETTINGS!$L$18,0)),"")</f>
        <v/>
      </c>
      <c r="U15" s="190" t="str">
        <f>IFERROR(IF(ISBLANK(DATA!M15),"",DATA!M15),"")</f>
        <v/>
      </c>
      <c r="V15" s="106" t="str">
        <f>IFERROR(IF(ISBLANK(U15),"",ROUND((U15/SETTINGS!$L$19)*SETTINGS!$L$20,0)),"")</f>
        <v/>
      </c>
      <c r="W15" s="106" t="str">
        <f t="shared" si="13"/>
        <v/>
      </c>
      <c r="X15" s="103" t="str">
        <f t="shared" si="14"/>
        <v/>
      </c>
      <c r="Y15" s="107" t="str">
        <f t="shared" si="15"/>
        <v/>
      </c>
      <c r="Z15" s="130"/>
      <c r="AA15" s="190" t="str">
        <f>IFERROR(IF(ISBLANK(DATA!O15),"",DATA!O15),"")</f>
        <v/>
      </c>
      <c r="AB15" s="190" t="str">
        <f>IFERROR(IF(ISBLANK(DATA!P15),"",DATA!P15),"")</f>
        <v/>
      </c>
      <c r="AC15" s="190" t="str">
        <f>IFERROR(IF(ISBLANK(DATA!Q15),"",DATA!Q15),"")</f>
        <v/>
      </c>
      <c r="AD15" s="190" t="str">
        <f>IFERROR(IF(ISBLANK(DATA!R15),"",DATA!R15),"")</f>
        <v/>
      </c>
      <c r="AE15" s="97" t="str">
        <f t="shared" si="16"/>
        <v/>
      </c>
      <c r="AF15" s="106" t="str">
        <f>IFERROR(IF(AE15=0,"",ROUND((AE15/SUM(SETTINGS!$L$14:$L$17))*SETTINGS!$L$18,0)),"")</f>
        <v/>
      </c>
      <c r="AG15" s="190" t="str">
        <f>IFERROR(IF(ISBLANK(DATA!S15),"",DATA!S15),"")</f>
        <v/>
      </c>
      <c r="AH15" s="106" t="str">
        <f>IFERROR(IF(ISBLANK(AG15),"",ROUND((AG15/SETTINGS!$L$19)*SETTINGS!$L$20,0)),"")</f>
        <v/>
      </c>
      <c r="AI15" s="106" t="str">
        <f t="shared" si="17"/>
        <v/>
      </c>
      <c r="AJ15" s="103" t="str">
        <f t="shared" si="2"/>
        <v/>
      </c>
      <c r="AK15" s="108" t="str">
        <f t="shared" si="18"/>
        <v/>
      </c>
      <c r="AL15" s="130"/>
      <c r="AM15" s="190" t="str">
        <f>IFERROR(IF(ISBLANK(DATA!U15),"",DATA!U15),"")</f>
        <v/>
      </c>
      <c r="AN15" s="190" t="str">
        <f>IFERROR(IF(ISBLANK(DATA!V15),"",DATA!V15),"")</f>
        <v/>
      </c>
      <c r="AO15" s="190" t="str">
        <f>IFERROR(IF(ISBLANK(DATA!W15),"",DATA!W15),"")</f>
        <v/>
      </c>
      <c r="AP15" s="190" t="str">
        <f>IFERROR(IF(ISBLANK(DATA!X15),"",DATA!X15),"")</f>
        <v/>
      </c>
      <c r="AQ15" s="97" t="str">
        <f t="shared" si="19"/>
        <v/>
      </c>
      <c r="AR15" s="106" t="str">
        <f>IFERROR(IF(AQ15=0,"",ROUND((AQ15/SUM(SETTINGS!$L$14:$L$17))*SETTINGS!$L$18,0)),"")</f>
        <v/>
      </c>
      <c r="AS15" s="190" t="str">
        <f>IFERROR(IF(ISBLANK(DATA!Y15),"",DATA!Y15),"")</f>
        <v/>
      </c>
      <c r="AT15" s="106" t="str">
        <f>IFERROR(IF(ISBLANK(AS15),"",ROUND((AS15/SETTINGS!$L$19)*SETTINGS!$L$20,0)),"")</f>
        <v/>
      </c>
      <c r="AU15" s="106" t="str">
        <f t="shared" si="20"/>
        <v/>
      </c>
      <c r="AV15" s="103" t="str">
        <f t="shared" si="3"/>
        <v/>
      </c>
      <c r="AW15" s="107" t="str">
        <f t="shared" si="21"/>
        <v/>
      </c>
      <c r="AX15" s="130"/>
      <c r="AY15" s="190" t="str">
        <f>IFERROR(IF(ISBLANK(DATA!AA15),"",DATA!AA15),"")</f>
        <v/>
      </c>
      <c r="AZ15" s="190" t="str">
        <f>IFERROR(IF(ISBLANK(DATA!AB15),"",DATA!AB15),"")</f>
        <v/>
      </c>
      <c r="BA15" s="190" t="str">
        <f>IFERROR(IF(ISBLANK(DATA!AC15),"",DATA!AC15),"")</f>
        <v/>
      </c>
      <c r="BB15" s="190" t="str">
        <f>IFERROR(IF(ISBLANK(DATA!AD15),"",DATA!AD15),"")</f>
        <v/>
      </c>
      <c r="BC15" s="97" t="str">
        <f t="shared" si="22"/>
        <v/>
      </c>
      <c r="BD15" s="106" t="str">
        <f>IFERROR(IF(BC15=0,"",ROUND((BC15/SUM(SETTINGS!$L$14:$L$17))*SETTINGS!$L$18,0)),"")</f>
        <v/>
      </c>
      <c r="BE15" s="190" t="str">
        <f>IFERROR(IF(ISBLANK(DATA!AE15),"",DATA!AE15),"")</f>
        <v/>
      </c>
      <c r="BF15" s="106" t="str">
        <f>IFERROR(IF(ISBLANK(BE15),"",ROUND((BE15/SETTINGS!$L$19)*SETTINGS!$L$20,0)),"")</f>
        <v/>
      </c>
      <c r="BG15" s="106" t="str">
        <f t="shared" si="23"/>
        <v/>
      </c>
      <c r="BH15" s="103" t="str">
        <f t="shared" si="4"/>
        <v/>
      </c>
      <c r="BI15" s="108" t="str">
        <f t="shared" si="24"/>
        <v/>
      </c>
      <c r="BJ15" s="130"/>
      <c r="BK15" s="190" t="str">
        <f>IFERROR(IF(ISBLANK(DATA!AG15),"",DATA!AG15),"")</f>
        <v/>
      </c>
      <c r="BL15" s="190" t="str">
        <f>IFERROR(IF(ISBLANK(DATA!AH15),"",DATA!AH15),"")</f>
        <v/>
      </c>
      <c r="BM15" s="190" t="str">
        <f>IFERROR(IF(ISBLANK(DATA!AI15),"",DATA!AI15),"")</f>
        <v/>
      </c>
      <c r="BN15" s="190" t="str">
        <f>IFERROR(IF(ISBLANK(DATA!AJ15),"",DATA!AJ15),"")</f>
        <v/>
      </c>
      <c r="BO15" s="97" t="str">
        <f t="shared" si="25"/>
        <v/>
      </c>
      <c r="BP15" s="106" t="str">
        <f>IFERROR(IF(BO15=0,"",ROUND((BO15/SUM(SETTINGS!$L$14:$L$17))*SETTINGS!$L$18,0)),"")</f>
        <v/>
      </c>
      <c r="BQ15" s="190" t="str">
        <f>IFERROR(IF(ISBLANK(DATA!AK15),"",DATA!AK15),"")</f>
        <v/>
      </c>
      <c r="BR15" s="106" t="str">
        <f>IFERROR(IF(ISBLANK(BQ15),"",ROUND((BQ15/SETTINGS!$L$19)*SETTINGS!$L$20,0)),"")</f>
        <v/>
      </c>
      <c r="BS15" s="106" t="str">
        <f t="shared" si="26"/>
        <v/>
      </c>
      <c r="BT15" s="103" t="str">
        <f t="shared" si="5"/>
        <v/>
      </c>
      <c r="BU15" s="107" t="str">
        <f t="shared" si="27"/>
        <v/>
      </c>
      <c r="BV15" s="130"/>
      <c r="BW15" s="190" t="str">
        <f>IFERROR(IF(ISBLANK(DATA!AM15),"",DATA!AM15),"")</f>
        <v/>
      </c>
      <c r="BX15" s="190" t="str">
        <f>IFERROR(IF(ISBLANK(DATA!AN15),"",DATA!AN15),"")</f>
        <v/>
      </c>
      <c r="BY15" s="190" t="str">
        <f>IFERROR(IF(ISBLANK(DATA!AO15),"",DATA!AO15),"")</f>
        <v/>
      </c>
      <c r="BZ15" s="190" t="str">
        <f>IFERROR(IF(ISBLANK(DATA!AP15),"",DATA!AP15),"")</f>
        <v/>
      </c>
      <c r="CA15" s="97" t="str">
        <f t="shared" si="28"/>
        <v/>
      </c>
      <c r="CB15" s="106" t="str">
        <f>IFERROR(IF(CA15=0,"",ROUND((CA15/SUM(SETTINGS!$L$14:$L$17))*SETTINGS!$L$18,0)),"")</f>
        <v/>
      </c>
      <c r="CC15" s="190" t="str">
        <f>IFERROR(IF(ISBLANK(DATA!AQ15),"",DATA!AQ15),"")</f>
        <v/>
      </c>
      <c r="CD15" s="106" t="str">
        <f>IFERROR(IF(ISBLANK(CC15),"",ROUND((CC15/SETTINGS!$L$19)*SETTINGS!$L$20,0)),"")</f>
        <v/>
      </c>
      <c r="CE15" s="106" t="str">
        <f t="shared" si="29"/>
        <v/>
      </c>
      <c r="CF15" s="103" t="str">
        <f t="shared" si="6"/>
        <v/>
      </c>
      <c r="CG15" s="107" t="str">
        <f t="shared" si="30"/>
        <v/>
      </c>
      <c r="CH15" s="130"/>
      <c r="CI15" s="190" t="str">
        <f>IFERROR(IF(ISBLANK(DATA!AS15),"",DATA!AS15),"")</f>
        <v/>
      </c>
      <c r="CJ15" s="190" t="str">
        <f>IFERROR(IF(ISBLANK(DATA!AT15),"",DATA!AT15),"")</f>
        <v/>
      </c>
      <c r="CK15" s="190" t="str">
        <f>IFERROR(IF(ISBLANK(DATA!AU15),"",DATA!AU15),"")</f>
        <v/>
      </c>
      <c r="CL15" s="190" t="str">
        <f>IFERROR(IF(ISBLANK(DATA!AV15),"",DATA!AV15),"")</f>
        <v/>
      </c>
      <c r="CM15" s="97" t="str">
        <f t="shared" si="31"/>
        <v/>
      </c>
      <c r="CN15" s="106" t="str">
        <f>IFERROR(IF(CM15=0,"",ROUND((CM15/SUM(SETTINGS!$L$14:$L$17))*SETTINGS!$L$18,0)),"")</f>
        <v/>
      </c>
      <c r="CO15" s="190" t="str">
        <f>IFERROR(IF(ISBLANK(DATA!AW15),"",DATA!AW15),"")</f>
        <v/>
      </c>
      <c r="CP15" s="106" t="str">
        <f>IFERROR(IF(ISBLANK(CO15),"",ROUND((CO15/SETTINGS!$L$19)*SETTINGS!$L$20,0)),"")</f>
        <v/>
      </c>
      <c r="CQ15" s="106" t="str">
        <f t="shared" si="32"/>
        <v/>
      </c>
      <c r="CR15" s="103" t="str">
        <f t="shared" si="7"/>
        <v/>
      </c>
      <c r="CS15" s="107" t="str">
        <f t="shared" si="33"/>
        <v/>
      </c>
      <c r="CT15" s="130"/>
      <c r="CU15" s="190" t="str">
        <f>IFERROR(IF(ISBLANK(DATA!AY15),"",DATA!AY15),"")</f>
        <v/>
      </c>
      <c r="CV15" s="190" t="str">
        <f>IFERROR(IF(ISBLANK(DATA!AZ15),"",DATA!AZ15),"")</f>
        <v/>
      </c>
      <c r="CW15" s="190" t="str">
        <f>IFERROR(IF(ISBLANK(DATA!BA15),"",DATA!BA15),"")</f>
        <v/>
      </c>
      <c r="CX15" s="190" t="str">
        <f>IFERROR(IF(ISBLANK(DATA!BB15),"",DATA!BB15),"")</f>
        <v/>
      </c>
      <c r="CY15" s="97" t="str">
        <f t="shared" si="34"/>
        <v/>
      </c>
      <c r="CZ15" s="106" t="str">
        <f>IFERROR(IF(CY15=0,"",ROUND((CY15/SUM(SETTINGS!$L$14:$L$17))*SETTINGS!$L$18,0)),"")</f>
        <v/>
      </c>
      <c r="DA15" s="190" t="str">
        <f>IFERROR(IF(ISBLANK(DATA!BC15),"",DATA!BC15),"")</f>
        <v/>
      </c>
      <c r="DB15" s="106" t="str">
        <f>IFERROR(IF(ISBLANK(DA15),"",ROUND((DA15/SETTINGS!$L$19)*SETTINGS!$L$20,0)),"")</f>
        <v/>
      </c>
      <c r="DC15" s="106" t="str">
        <f t="shared" si="35"/>
        <v/>
      </c>
      <c r="DD15" s="103" t="str">
        <f t="shared" si="8"/>
        <v/>
      </c>
      <c r="DE15" s="107" t="str">
        <f t="shared" si="36"/>
        <v/>
      </c>
      <c r="DF15" s="103" t="str">
        <f t="shared" si="9"/>
        <v/>
      </c>
      <c r="DG15" s="103" t="str">
        <f>IFERROR(IF(AND(K15,W15,AI15,AU15,BG15,BS15,CE15,CQ15,DC15)="","",SUM(K15,W15,AI15,AU15,LARGE((BG15,BS15,CE15,CQ15,DC15),{1,2}))),"")</f>
        <v/>
      </c>
      <c r="DH15" s="103" t="str">
        <f>IFERROR(IF(AND(M15,Y15,AK15,AW15,,BI15,BU15,CG15,CS15,DE15)="","",SUM(M15,Y15,AK15,AW15,SMALL((BI15,BU15,CG15,CS15,DE15),{1,2}))),"")</f>
        <v/>
      </c>
      <c r="DI15" s="109" t="str">
        <f>IFERROR(IF(ISBLANK($D15),"",pos&amp;IF(AND(MOD(ABS(pos),100)&gt;10,MOD(ABS(pos),100)&lt;14),"th",CHOOSE(MOD(ABS(pos),10)+1,"th","st","nd","rd","th","th","th","th","th","th"))),"")</f>
        <v/>
      </c>
      <c r="DJ15" s="62">
        <f>ROWS($B$12:$B15)</f>
        <v>4</v>
      </c>
      <c r="DK15" s="62" t="str">
        <f>IF($B15=REPORT_CARD!$M$12,$DJ15,"")</f>
        <v/>
      </c>
      <c r="DL15" s="62"/>
      <c r="DM15" s="186"/>
    </row>
    <row r="16" spans="1:1024" ht="19.5" customHeight="1">
      <c r="A16" s="187" t="str">
        <f>IFERROR(IF(ISBLANK(DATA!$A16),"",DATA!$A16),"")</f>
        <v/>
      </c>
      <c r="B16" s="187" t="str">
        <f>IFERROR(IF(ISBLANK(DATA!$B16),"",DATA!$B16),"")</f>
        <v/>
      </c>
      <c r="C16" s="190" t="str">
        <f>IFERROR(IF(ISBLANK(DATA!C16),"",DATA!C16),"")</f>
        <v/>
      </c>
      <c r="D16" s="190" t="str">
        <f>IFERROR(IF(ISBLANK(DATA!D16),"",DATA!D16),"")</f>
        <v/>
      </c>
      <c r="E16" s="190" t="str">
        <f>IFERROR(IF(ISBLANK(DATA!E16),"",DATA!E16),"")</f>
        <v/>
      </c>
      <c r="F16" s="190" t="str">
        <f>IFERROR(IF(ISBLANK(DATA!F16),"",DATA!F16),"")</f>
        <v/>
      </c>
      <c r="G16" s="97" t="str">
        <f t="shared" si="37"/>
        <v/>
      </c>
      <c r="H16" s="106" t="str">
        <f>IFERROR(IF(G16=0,"",ROUND((G16/SUM(SETTINGS!$L$14:$L$17))*SETTINGS!$L$18,0)),"")</f>
        <v/>
      </c>
      <c r="I16" s="190" t="str">
        <f>IFERROR(IF(ISBLANK(DATA!G16),"",DATA!G16),"")</f>
        <v/>
      </c>
      <c r="J16" s="106" t="str">
        <f>IFERROR(IF(ISBLANK(I16),"",ROUND((I16/SETTINGS!$L$19)*SETTINGS!$L$20,0)),"")</f>
        <v/>
      </c>
      <c r="K16" s="106" t="str">
        <f t="shared" si="10"/>
        <v/>
      </c>
      <c r="L16" s="103" t="str">
        <f t="shared" si="0"/>
        <v/>
      </c>
      <c r="M16" s="107" t="str">
        <f t="shared" si="11"/>
        <v/>
      </c>
      <c r="N16" s="136"/>
      <c r="O16" s="190" t="str">
        <f>IFERROR(IF(ISBLANK(DATA!I16),"",DATA!I16),"")</f>
        <v/>
      </c>
      <c r="P16" s="190" t="str">
        <f>IFERROR(IF(ISBLANK(DATA!J16),"",DATA!J16),"")</f>
        <v/>
      </c>
      <c r="Q16" s="190" t="str">
        <f>IFERROR(IF(ISBLANK(DATA!K16),"",DATA!K16),"")</f>
        <v/>
      </c>
      <c r="R16" s="190" t="str">
        <f>IFERROR(IF(ISBLANK(DATA!L16),"",DATA!L16),"")</f>
        <v/>
      </c>
      <c r="S16" s="97" t="str">
        <f t="shared" si="12"/>
        <v/>
      </c>
      <c r="T16" s="106" t="str">
        <f>IFERROR(IF(S16=0,"",ROUND((S16/SUM(SETTINGS!$L$14:$L$17))*SETTINGS!$L$18,0)),"")</f>
        <v/>
      </c>
      <c r="U16" s="190" t="str">
        <f>IFERROR(IF(ISBLANK(DATA!M16),"",DATA!M16),"")</f>
        <v/>
      </c>
      <c r="V16" s="106" t="str">
        <f>IFERROR(IF(ISBLANK(U16),"",ROUND((U16/SETTINGS!$L$19)*SETTINGS!$L$20,0)),"")</f>
        <v/>
      </c>
      <c r="W16" s="106" t="str">
        <f t="shared" si="13"/>
        <v/>
      </c>
      <c r="X16" s="103" t="str">
        <f t="shared" si="14"/>
        <v/>
      </c>
      <c r="Y16" s="107" t="str">
        <f t="shared" si="15"/>
        <v/>
      </c>
      <c r="Z16" s="130"/>
      <c r="AA16" s="190" t="str">
        <f>IFERROR(IF(ISBLANK(DATA!O16),"",DATA!O16),"")</f>
        <v/>
      </c>
      <c r="AB16" s="190" t="str">
        <f>IFERROR(IF(ISBLANK(DATA!P16),"",DATA!P16),"")</f>
        <v/>
      </c>
      <c r="AC16" s="190" t="str">
        <f>IFERROR(IF(ISBLANK(DATA!Q16),"",DATA!Q16),"")</f>
        <v/>
      </c>
      <c r="AD16" s="190" t="str">
        <f>IFERROR(IF(ISBLANK(DATA!R16),"",DATA!R16),"")</f>
        <v/>
      </c>
      <c r="AE16" s="97" t="str">
        <f t="shared" si="16"/>
        <v/>
      </c>
      <c r="AF16" s="106" t="str">
        <f>IFERROR(IF(AE16=0,"",ROUND((AE16/SUM(SETTINGS!$L$14:$L$17))*SETTINGS!$L$18,0)),"")</f>
        <v/>
      </c>
      <c r="AG16" s="190" t="str">
        <f>IFERROR(IF(ISBLANK(DATA!S16),"",DATA!S16),"")</f>
        <v/>
      </c>
      <c r="AH16" s="106" t="str">
        <f>IFERROR(IF(ISBLANK(AG16),"",ROUND((AG16/SETTINGS!$L$19)*SETTINGS!$L$20,0)),"")</f>
        <v/>
      </c>
      <c r="AI16" s="106" t="str">
        <f t="shared" si="17"/>
        <v/>
      </c>
      <c r="AJ16" s="103" t="str">
        <f t="shared" si="2"/>
        <v/>
      </c>
      <c r="AK16" s="108" t="str">
        <f t="shared" si="18"/>
        <v/>
      </c>
      <c r="AL16" s="130"/>
      <c r="AM16" s="190" t="str">
        <f>IFERROR(IF(ISBLANK(DATA!U16),"",DATA!U16),"")</f>
        <v/>
      </c>
      <c r="AN16" s="190" t="str">
        <f>IFERROR(IF(ISBLANK(DATA!V16),"",DATA!V16),"")</f>
        <v/>
      </c>
      <c r="AO16" s="190" t="str">
        <f>IFERROR(IF(ISBLANK(DATA!W16),"",DATA!W16),"")</f>
        <v/>
      </c>
      <c r="AP16" s="190" t="str">
        <f>IFERROR(IF(ISBLANK(DATA!X16),"",DATA!X16),"")</f>
        <v/>
      </c>
      <c r="AQ16" s="97" t="str">
        <f t="shared" si="19"/>
        <v/>
      </c>
      <c r="AR16" s="106" t="str">
        <f>IFERROR(IF(AQ16=0,"",ROUND((AQ16/SUM(SETTINGS!$L$14:$L$17))*SETTINGS!$L$18,0)),"")</f>
        <v/>
      </c>
      <c r="AS16" s="190" t="str">
        <f>IFERROR(IF(ISBLANK(DATA!Y16),"",DATA!Y16),"")</f>
        <v/>
      </c>
      <c r="AT16" s="106" t="str">
        <f>IFERROR(IF(ISBLANK(AS16),"",ROUND((AS16/SETTINGS!$L$19)*SETTINGS!$L$20,0)),"")</f>
        <v/>
      </c>
      <c r="AU16" s="106" t="str">
        <f t="shared" si="20"/>
        <v/>
      </c>
      <c r="AV16" s="103" t="str">
        <f t="shared" si="3"/>
        <v/>
      </c>
      <c r="AW16" s="107" t="str">
        <f t="shared" si="21"/>
        <v/>
      </c>
      <c r="AX16" s="130"/>
      <c r="AY16" s="190" t="str">
        <f>IFERROR(IF(ISBLANK(DATA!AA16),"",DATA!AA16),"")</f>
        <v/>
      </c>
      <c r="AZ16" s="190" t="str">
        <f>IFERROR(IF(ISBLANK(DATA!AB16),"",DATA!AB16),"")</f>
        <v/>
      </c>
      <c r="BA16" s="190" t="str">
        <f>IFERROR(IF(ISBLANK(DATA!AC16),"",DATA!AC16),"")</f>
        <v/>
      </c>
      <c r="BB16" s="190" t="str">
        <f>IFERROR(IF(ISBLANK(DATA!AD16),"",DATA!AD16),"")</f>
        <v/>
      </c>
      <c r="BC16" s="97" t="str">
        <f t="shared" si="22"/>
        <v/>
      </c>
      <c r="BD16" s="106" t="str">
        <f>IFERROR(IF(BC16=0,"",ROUND((BC16/SUM(SETTINGS!$L$14:$L$17))*SETTINGS!$L$18,0)),"")</f>
        <v/>
      </c>
      <c r="BE16" s="190" t="str">
        <f>IFERROR(IF(ISBLANK(DATA!AE16),"",DATA!AE16),"")</f>
        <v/>
      </c>
      <c r="BF16" s="106" t="str">
        <f>IFERROR(IF(ISBLANK(BE16),"",ROUND((BE16/SETTINGS!$L$19)*SETTINGS!$L$20,0)),"")</f>
        <v/>
      </c>
      <c r="BG16" s="106" t="str">
        <f t="shared" si="23"/>
        <v/>
      </c>
      <c r="BH16" s="103" t="str">
        <f t="shared" si="4"/>
        <v/>
      </c>
      <c r="BI16" s="108" t="str">
        <f t="shared" si="24"/>
        <v/>
      </c>
      <c r="BJ16" s="130"/>
      <c r="BK16" s="190" t="str">
        <f>IFERROR(IF(ISBLANK(DATA!AG16),"",DATA!AG16),"")</f>
        <v/>
      </c>
      <c r="BL16" s="190" t="str">
        <f>IFERROR(IF(ISBLANK(DATA!AH16),"",DATA!AH16),"")</f>
        <v/>
      </c>
      <c r="BM16" s="190" t="str">
        <f>IFERROR(IF(ISBLANK(DATA!AI16),"",DATA!AI16),"")</f>
        <v/>
      </c>
      <c r="BN16" s="190" t="str">
        <f>IFERROR(IF(ISBLANK(DATA!AJ16),"",DATA!AJ16),"")</f>
        <v/>
      </c>
      <c r="BO16" s="97" t="str">
        <f t="shared" si="25"/>
        <v/>
      </c>
      <c r="BP16" s="106" t="str">
        <f>IFERROR(IF(BO16=0,"",ROUND((BO16/SUM(SETTINGS!$L$14:$L$17))*SETTINGS!$L$18,0)),"")</f>
        <v/>
      </c>
      <c r="BQ16" s="190" t="str">
        <f>IFERROR(IF(ISBLANK(DATA!AK16),"",DATA!AK16),"")</f>
        <v/>
      </c>
      <c r="BR16" s="106" t="str">
        <f>IFERROR(IF(ISBLANK(BQ16),"",ROUND((BQ16/SETTINGS!$L$19)*SETTINGS!$L$20,0)),"")</f>
        <v/>
      </c>
      <c r="BS16" s="106" t="str">
        <f t="shared" si="26"/>
        <v/>
      </c>
      <c r="BT16" s="103" t="str">
        <f t="shared" si="5"/>
        <v/>
      </c>
      <c r="BU16" s="107" t="str">
        <f t="shared" si="27"/>
        <v/>
      </c>
      <c r="BV16" s="130"/>
      <c r="BW16" s="190" t="str">
        <f>IFERROR(IF(ISBLANK(DATA!AM16),"",DATA!AM16),"")</f>
        <v/>
      </c>
      <c r="BX16" s="190" t="str">
        <f>IFERROR(IF(ISBLANK(DATA!AN16),"",DATA!AN16),"")</f>
        <v/>
      </c>
      <c r="BY16" s="190" t="str">
        <f>IFERROR(IF(ISBLANK(DATA!AO16),"",DATA!AO16),"")</f>
        <v/>
      </c>
      <c r="BZ16" s="190" t="str">
        <f>IFERROR(IF(ISBLANK(DATA!AP16),"",DATA!AP16),"")</f>
        <v/>
      </c>
      <c r="CA16" s="97" t="str">
        <f t="shared" si="28"/>
        <v/>
      </c>
      <c r="CB16" s="106" t="str">
        <f>IFERROR(IF(CA16=0,"",ROUND((CA16/SUM(SETTINGS!$L$14:$L$17))*SETTINGS!$L$18,0)),"")</f>
        <v/>
      </c>
      <c r="CC16" s="190" t="str">
        <f>IFERROR(IF(ISBLANK(DATA!AQ16),"",DATA!AQ16),"")</f>
        <v/>
      </c>
      <c r="CD16" s="106" t="str">
        <f>IFERROR(IF(ISBLANK(CC16),"",ROUND((CC16/SETTINGS!$L$19)*SETTINGS!$L$20,0)),"")</f>
        <v/>
      </c>
      <c r="CE16" s="106" t="str">
        <f t="shared" si="29"/>
        <v/>
      </c>
      <c r="CF16" s="103" t="str">
        <f t="shared" si="6"/>
        <v/>
      </c>
      <c r="CG16" s="107" t="str">
        <f t="shared" si="30"/>
        <v/>
      </c>
      <c r="CH16" s="130"/>
      <c r="CI16" s="190" t="str">
        <f>IFERROR(IF(ISBLANK(DATA!AS16),"",DATA!AS16),"")</f>
        <v/>
      </c>
      <c r="CJ16" s="190" t="str">
        <f>IFERROR(IF(ISBLANK(DATA!AT16),"",DATA!AT16),"")</f>
        <v/>
      </c>
      <c r="CK16" s="190" t="str">
        <f>IFERROR(IF(ISBLANK(DATA!AU16),"",DATA!AU16),"")</f>
        <v/>
      </c>
      <c r="CL16" s="190" t="str">
        <f>IFERROR(IF(ISBLANK(DATA!AV16),"",DATA!AV16),"")</f>
        <v/>
      </c>
      <c r="CM16" s="97" t="str">
        <f t="shared" si="31"/>
        <v/>
      </c>
      <c r="CN16" s="106" t="str">
        <f>IFERROR(IF(CM16=0,"",ROUND((CM16/SUM(SETTINGS!$L$14:$L$17))*SETTINGS!$L$18,0)),"")</f>
        <v/>
      </c>
      <c r="CO16" s="190" t="str">
        <f>IFERROR(IF(ISBLANK(DATA!AW16),"",DATA!AW16),"")</f>
        <v/>
      </c>
      <c r="CP16" s="106" t="str">
        <f>IFERROR(IF(ISBLANK(CO16),"",ROUND((CO16/SETTINGS!$L$19)*SETTINGS!$L$20,0)),"")</f>
        <v/>
      </c>
      <c r="CQ16" s="106" t="str">
        <f t="shared" si="32"/>
        <v/>
      </c>
      <c r="CR16" s="103" t="str">
        <f t="shared" si="7"/>
        <v/>
      </c>
      <c r="CS16" s="107" t="str">
        <f t="shared" si="33"/>
        <v/>
      </c>
      <c r="CT16" s="130"/>
      <c r="CU16" s="190" t="str">
        <f>IFERROR(IF(ISBLANK(DATA!AY16),"",DATA!AY16),"")</f>
        <v/>
      </c>
      <c r="CV16" s="190" t="str">
        <f>IFERROR(IF(ISBLANK(DATA!AZ16),"",DATA!AZ16),"")</f>
        <v/>
      </c>
      <c r="CW16" s="190" t="str">
        <f>IFERROR(IF(ISBLANK(DATA!BA16),"",DATA!BA16),"")</f>
        <v/>
      </c>
      <c r="CX16" s="190" t="str">
        <f>IFERROR(IF(ISBLANK(DATA!BB16),"",DATA!BB16),"")</f>
        <v/>
      </c>
      <c r="CY16" s="97" t="str">
        <f t="shared" si="34"/>
        <v/>
      </c>
      <c r="CZ16" s="106" t="str">
        <f>IFERROR(IF(CY16=0,"",ROUND((CY16/SUM(SETTINGS!$L$14:$L$17))*SETTINGS!$L$18,0)),"")</f>
        <v/>
      </c>
      <c r="DA16" s="190" t="str">
        <f>IFERROR(IF(ISBLANK(DATA!BC16),"",DATA!BC16),"")</f>
        <v/>
      </c>
      <c r="DB16" s="106" t="str">
        <f>IFERROR(IF(ISBLANK(DA16),"",ROUND((DA16/SETTINGS!$L$19)*SETTINGS!$L$20,0)),"")</f>
        <v/>
      </c>
      <c r="DC16" s="106" t="str">
        <f t="shared" si="35"/>
        <v/>
      </c>
      <c r="DD16" s="103" t="str">
        <f t="shared" si="8"/>
        <v/>
      </c>
      <c r="DE16" s="107" t="str">
        <f t="shared" si="36"/>
        <v/>
      </c>
      <c r="DF16" s="103" t="str">
        <f t="shared" si="9"/>
        <v/>
      </c>
      <c r="DG16" s="103" t="str">
        <f>IFERROR(IF(AND(K16,W16,AI16,AU16,BG16,BS16,CE16,CQ16,DC16)="","",SUM(K16,W16,AI16,AU16,LARGE((BG16,BS16,CE16,CQ16,DC16),{1,2}))),"")</f>
        <v/>
      </c>
      <c r="DH16" s="103" t="str">
        <f>IFERROR(IF(AND(M16,Y16,AK16,AW16,,BI16,BU16,CG16,CS16,DE16)="","",SUM(M16,Y16,AK16,AW16,SMALL((BI16,BU16,CG16,CS16,DE16),{1,2}))),"")</f>
        <v/>
      </c>
      <c r="DI16" s="109" t="str">
        <f>IFERROR(IF(ISBLANK($D16),"",pos&amp;IF(AND(MOD(ABS(pos),100)&gt;10,MOD(ABS(pos),100)&lt;14),"th",CHOOSE(MOD(ABS(pos),10)+1,"th","st","nd","rd","th","th","th","th","th","th"))),"")</f>
        <v/>
      </c>
      <c r="DJ16" s="62">
        <f>ROWS($B$12:$B16)</f>
        <v>5</v>
      </c>
      <c r="DK16" s="62" t="str">
        <f>IF($B16=REPORT_CARD!$M$12,$DJ16,"")</f>
        <v/>
      </c>
      <c r="DL16" s="62"/>
      <c r="DM16" s="186"/>
    </row>
    <row r="17" spans="1:117" ht="19.5" customHeight="1">
      <c r="A17" s="187" t="str">
        <f>IFERROR(IF(ISBLANK(DATA!$A17),"",DATA!$A17),"")</f>
        <v/>
      </c>
      <c r="B17" s="187" t="str">
        <f>IFERROR(IF(ISBLANK(DATA!$B17),"",DATA!$B17),"")</f>
        <v/>
      </c>
      <c r="C17" s="190" t="str">
        <f>IFERROR(IF(ISBLANK(DATA!C17),"",DATA!C17),"")</f>
        <v/>
      </c>
      <c r="D17" s="190" t="str">
        <f>IFERROR(IF(ISBLANK(DATA!D17),"",DATA!D17),"")</f>
        <v/>
      </c>
      <c r="E17" s="190" t="str">
        <f>IFERROR(IF(ISBLANK(DATA!E17),"",DATA!E17),"")</f>
        <v/>
      </c>
      <c r="F17" s="190" t="str">
        <f>IFERROR(IF(ISBLANK(DATA!F17),"",DATA!F17),"")</f>
        <v/>
      </c>
      <c r="G17" s="97" t="str">
        <f t="shared" si="37"/>
        <v/>
      </c>
      <c r="H17" s="106" t="str">
        <f>IFERROR(IF(G17=0,"",ROUND((G17/SUM(SETTINGS!$L$14:$L$17))*SETTINGS!$L$18,0)),"")</f>
        <v/>
      </c>
      <c r="I17" s="190" t="str">
        <f>IFERROR(IF(ISBLANK(DATA!G17),"",DATA!G17),"")</f>
        <v/>
      </c>
      <c r="J17" s="106" t="str">
        <f>IFERROR(IF(ISBLANK(I17),"",ROUND((I17/SETTINGS!$L$19)*SETTINGS!$L$20,0)),"")</f>
        <v/>
      </c>
      <c r="K17" s="106" t="str">
        <f t="shared" si="10"/>
        <v/>
      </c>
      <c r="L17" s="103" t="str">
        <f t="shared" si="0"/>
        <v/>
      </c>
      <c r="M17" s="107" t="str">
        <f t="shared" si="11"/>
        <v/>
      </c>
      <c r="N17" s="136"/>
      <c r="O17" s="190" t="str">
        <f>IFERROR(IF(ISBLANK(DATA!I17),"",DATA!I17),"")</f>
        <v/>
      </c>
      <c r="P17" s="190" t="str">
        <f>IFERROR(IF(ISBLANK(DATA!J17),"",DATA!J17),"")</f>
        <v/>
      </c>
      <c r="Q17" s="190" t="str">
        <f>IFERROR(IF(ISBLANK(DATA!K17),"",DATA!K17),"")</f>
        <v/>
      </c>
      <c r="R17" s="190" t="str">
        <f>IFERROR(IF(ISBLANK(DATA!L17),"",DATA!L17),"")</f>
        <v/>
      </c>
      <c r="S17" s="97" t="str">
        <f t="shared" si="12"/>
        <v/>
      </c>
      <c r="T17" s="106" t="str">
        <f>IFERROR(IF(S17=0,"",ROUND((S17/SUM(SETTINGS!$L$14:$L$17))*SETTINGS!$L$18,0)),"")</f>
        <v/>
      </c>
      <c r="U17" s="190" t="str">
        <f>IFERROR(IF(ISBLANK(DATA!M17),"",DATA!M17),"")</f>
        <v/>
      </c>
      <c r="V17" s="106" t="str">
        <f>IFERROR(IF(ISBLANK(U17),"",ROUND((U17/SETTINGS!$L$19)*SETTINGS!$L$20,0)),"")</f>
        <v/>
      </c>
      <c r="W17" s="106" t="str">
        <f t="shared" si="13"/>
        <v/>
      </c>
      <c r="X17" s="103" t="str">
        <f t="shared" si="14"/>
        <v/>
      </c>
      <c r="Y17" s="107" t="str">
        <f t="shared" si="15"/>
        <v/>
      </c>
      <c r="Z17" s="130"/>
      <c r="AA17" s="190" t="str">
        <f>IFERROR(IF(ISBLANK(DATA!O17),"",DATA!O17),"")</f>
        <v/>
      </c>
      <c r="AB17" s="190" t="str">
        <f>IFERROR(IF(ISBLANK(DATA!P17),"",DATA!P17),"")</f>
        <v/>
      </c>
      <c r="AC17" s="190" t="str">
        <f>IFERROR(IF(ISBLANK(DATA!Q17),"",DATA!Q17),"")</f>
        <v/>
      </c>
      <c r="AD17" s="190" t="str">
        <f>IFERROR(IF(ISBLANK(DATA!R17),"",DATA!R17),"")</f>
        <v/>
      </c>
      <c r="AE17" s="97" t="str">
        <f t="shared" si="16"/>
        <v/>
      </c>
      <c r="AF17" s="106" t="str">
        <f>IFERROR(IF(AE17=0,"",ROUND((AE17/SUM(SETTINGS!$L$14:$L$17))*SETTINGS!$L$18,0)),"")</f>
        <v/>
      </c>
      <c r="AG17" s="190" t="str">
        <f>IFERROR(IF(ISBLANK(DATA!S17),"",DATA!S17),"")</f>
        <v/>
      </c>
      <c r="AH17" s="106" t="str">
        <f>IFERROR(IF(ISBLANK(AG17),"",ROUND((AG17/SETTINGS!$L$19)*SETTINGS!$L$20,0)),"")</f>
        <v/>
      </c>
      <c r="AI17" s="106" t="str">
        <f t="shared" si="17"/>
        <v/>
      </c>
      <c r="AJ17" s="103" t="str">
        <f t="shared" si="2"/>
        <v/>
      </c>
      <c r="AK17" s="108" t="str">
        <f t="shared" si="18"/>
        <v/>
      </c>
      <c r="AL17" s="130"/>
      <c r="AM17" s="190" t="str">
        <f>IFERROR(IF(ISBLANK(DATA!U17),"",DATA!U17),"")</f>
        <v/>
      </c>
      <c r="AN17" s="190" t="str">
        <f>IFERROR(IF(ISBLANK(DATA!V17),"",DATA!V17),"")</f>
        <v/>
      </c>
      <c r="AO17" s="190" t="str">
        <f>IFERROR(IF(ISBLANK(DATA!W17),"",DATA!W17),"")</f>
        <v/>
      </c>
      <c r="AP17" s="190" t="str">
        <f>IFERROR(IF(ISBLANK(DATA!X17),"",DATA!X17),"")</f>
        <v/>
      </c>
      <c r="AQ17" s="97" t="str">
        <f t="shared" si="19"/>
        <v/>
      </c>
      <c r="AR17" s="106" t="str">
        <f>IFERROR(IF(AQ17=0,"",ROUND((AQ17/SUM(SETTINGS!$L$14:$L$17))*SETTINGS!$L$18,0)),"")</f>
        <v/>
      </c>
      <c r="AS17" s="190" t="str">
        <f>IFERROR(IF(ISBLANK(DATA!Y17),"",DATA!Y17),"")</f>
        <v/>
      </c>
      <c r="AT17" s="106" t="str">
        <f>IFERROR(IF(ISBLANK(AS17),"",ROUND((AS17/SETTINGS!$L$19)*SETTINGS!$L$20,0)),"")</f>
        <v/>
      </c>
      <c r="AU17" s="106" t="str">
        <f t="shared" si="20"/>
        <v/>
      </c>
      <c r="AV17" s="103" t="str">
        <f t="shared" si="3"/>
        <v/>
      </c>
      <c r="AW17" s="107" t="str">
        <f t="shared" si="21"/>
        <v/>
      </c>
      <c r="AX17" s="130"/>
      <c r="AY17" s="190" t="str">
        <f>IFERROR(IF(ISBLANK(DATA!AA17),"",DATA!AA17),"")</f>
        <v/>
      </c>
      <c r="AZ17" s="190" t="str">
        <f>IFERROR(IF(ISBLANK(DATA!AB17),"",DATA!AB17),"")</f>
        <v/>
      </c>
      <c r="BA17" s="190" t="str">
        <f>IFERROR(IF(ISBLANK(DATA!AC17),"",DATA!AC17),"")</f>
        <v/>
      </c>
      <c r="BB17" s="190" t="str">
        <f>IFERROR(IF(ISBLANK(DATA!AD17),"",DATA!AD17),"")</f>
        <v/>
      </c>
      <c r="BC17" s="97" t="str">
        <f t="shared" si="22"/>
        <v/>
      </c>
      <c r="BD17" s="106" t="str">
        <f>IFERROR(IF(BC17=0,"",ROUND((BC17/SUM(SETTINGS!$L$14:$L$17))*SETTINGS!$L$18,0)),"")</f>
        <v/>
      </c>
      <c r="BE17" s="190" t="str">
        <f>IFERROR(IF(ISBLANK(DATA!AE17),"",DATA!AE17),"")</f>
        <v/>
      </c>
      <c r="BF17" s="106" t="str">
        <f>IFERROR(IF(ISBLANK(BE17),"",ROUND((BE17/SETTINGS!$L$19)*SETTINGS!$L$20,0)),"")</f>
        <v/>
      </c>
      <c r="BG17" s="106" t="str">
        <f t="shared" si="23"/>
        <v/>
      </c>
      <c r="BH17" s="103" t="str">
        <f t="shared" si="4"/>
        <v/>
      </c>
      <c r="BI17" s="108" t="str">
        <f t="shared" si="24"/>
        <v/>
      </c>
      <c r="BJ17" s="130"/>
      <c r="BK17" s="190" t="str">
        <f>IFERROR(IF(ISBLANK(DATA!AG17),"",DATA!AG17),"")</f>
        <v/>
      </c>
      <c r="BL17" s="190" t="str">
        <f>IFERROR(IF(ISBLANK(DATA!AH17),"",DATA!AH17),"")</f>
        <v/>
      </c>
      <c r="BM17" s="190" t="str">
        <f>IFERROR(IF(ISBLANK(DATA!AI17),"",DATA!AI17),"")</f>
        <v/>
      </c>
      <c r="BN17" s="190" t="str">
        <f>IFERROR(IF(ISBLANK(DATA!AJ17),"",DATA!AJ17),"")</f>
        <v/>
      </c>
      <c r="BO17" s="97" t="str">
        <f t="shared" si="25"/>
        <v/>
      </c>
      <c r="BP17" s="106" t="str">
        <f>IFERROR(IF(BO17=0,"",ROUND((BO17/SUM(SETTINGS!$L$14:$L$17))*SETTINGS!$L$18,0)),"")</f>
        <v/>
      </c>
      <c r="BQ17" s="190" t="str">
        <f>IFERROR(IF(ISBLANK(DATA!AK17),"",DATA!AK17),"")</f>
        <v/>
      </c>
      <c r="BR17" s="106" t="str">
        <f>IFERROR(IF(ISBLANK(BQ17),"",ROUND((BQ17/SETTINGS!$L$19)*SETTINGS!$L$20,0)),"")</f>
        <v/>
      </c>
      <c r="BS17" s="106" t="str">
        <f t="shared" si="26"/>
        <v/>
      </c>
      <c r="BT17" s="103" t="str">
        <f t="shared" si="5"/>
        <v/>
      </c>
      <c r="BU17" s="107" t="str">
        <f t="shared" si="27"/>
        <v/>
      </c>
      <c r="BV17" s="130"/>
      <c r="BW17" s="190" t="str">
        <f>IFERROR(IF(ISBLANK(DATA!AM17),"",DATA!AM17),"")</f>
        <v/>
      </c>
      <c r="BX17" s="190" t="str">
        <f>IFERROR(IF(ISBLANK(DATA!AN17),"",DATA!AN17),"")</f>
        <v/>
      </c>
      <c r="BY17" s="190" t="str">
        <f>IFERROR(IF(ISBLANK(DATA!AO17),"",DATA!AO17),"")</f>
        <v/>
      </c>
      <c r="BZ17" s="190" t="str">
        <f>IFERROR(IF(ISBLANK(DATA!AP17),"",DATA!AP17),"")</f>
        <v/>
      </c>
      <c r="CA17" s="97" t="str">
        <f t="shared" si="28"/>
        <v/>
      </c>
      <c r="CB17" s="106" t="str">
        <f>IFERROR(IF(CA17=0,"",ROUND((CA17/SUM(SETTINGS!$L$14:$L$17))*SETTINGS!$L$18,0)),"")</f>
        <v/>
      </c>
      <c r="CC17" s="190" t="str">
        <f>IFERROR(IF(ISBLANK(DATA!AQ17),"",DATA!AQ17),"")</f>
        <v/>
      </c>
      <c r="CD17" s="106" t="str">
        <f>IFERROR(IF(ISBLANK(CC17),"",ROUND((CC17/SETTINGS!$L$19)*SETTINGS!$L$20,0)),"")</f>
        <v/>
      </c>
      <c r="CE17" s="106" t="str">
        <f t="shared" si="29"/>
        <v/>
      </c>
      <c r="CF17" s="103" t="str">
        <f t="shared" si="6"/>
        <v/>
      </c>
      <c r="CG17" s="107" t="str">
        <f t="shared" si="30"/>
        <v/>
      </c>
      <c r="CH17" s="130"/>
      <c r="CI17" s="190" t="str">
        <f>IFERROR(IF(ISBLANK(DATA!AS17),"",DATA!AS17),"")</f>
        <v/>
      </c>
      <c r="CJ17" s="190" t="str">
        <f>IFERROR(IF(ISBLANK(DATA!AT17),"",DATA!AT17),"")</f>
        <v/>
      </c>
      <c r="CK17" s="190" t="str">
        <f>IFERROR(IF(ISBLANK(DATA!AU17),"",DATA!AU17),"")</f>
        <v/>
      </c>
      <c r="CL17" s="190" t="str">
        <f>IFERROR(IF(ISBLANK(DATA!AV17),"",DATA!AV17),"")</f>
        <v/>
      </c>
      <c r="CM17" s="97" t="str">
        <f t="shared" si="31"/>
        <v/>
      </c>
      <c r="CN17" s="106" t="str">
        <f>IFERROR(IF(CM17=0,"",ROUND((CM17/SUM(SETTINGS!$L$14:$L$17))*SETTINGS!$L$18,0)),"")</f>
        <v/>
      </c>
      <c r="CO17" s="190" t="str">
        <f>IFERROR(IF(ISBLANK(DATA!AW17),"",DATA!AW17),"")</f>
        <v/>
      </c>
      <c r="CP17" s="106" t="str">
        <f>IFERROR(IF(ISBLANK(CO17),"",ROUND((CO17/SETTINGS!$L$19)*SETTINGS!$L$20,0)),"")</f>
        <v/>
      </c>
      <c r="CQ17" s="106" t="str">
        <f t="shared" si="32"/>
        <v/>
      </c>
      <c r="CR17" s="103" t="str">
        <f t="shared" si="7"/>
        <v/>
      </c>
      <c r="CS17" s="107" t="str">
        <f t="shared" si="33"/>
        <v/>
      </c>
      <c r="CT17" s="130"/>
      <c r="CU17" s="190" t="str">
        <f>IFERROR(IF(ISBLANK(DATA!AY17),"",DATA!AY17),"")</f>
        <v/>
      </c>
      <c r="CV17" s="190" t="str">
        <f>IFERROR(IF(ISBLANK(DATA!AZ17),"",DATA!AZ17),"")</f>
        <v/>
      </c>
      <c r="CW17" s="190" t="str">
        <f>IFERROR(IF(ISBLANK(DATA!BA17),"",DATA!BA17),"")</f>
        <v/>
      </c>
      <c r="CX17" s="190" t="str">
        <f>IFERROR(IF(ISBLANK(DATA!BB17),"",DATA!BB17),"")</f>
        <v/>
      </c>
      <c r="CY17" s="97" t="str">
        <f t="shared" si="34"/>
        <v/>
      </c>
      <c r="CZ17" s="106" t="str">
        <f>IFERROR(IF(CY17=0,"",ROUND((CY17/SUM(SETTINGS!$L$14:$L$17))*SETTINGS!$L$18,0)),"")</f>
        <v/>
      </c>
      <c r="DA17" s="190" t="str">
        <f>IFERROR(IF(ISBLANK(DATA!BC17),"",DATA!BC17),"")</f>
        <v/>
      </c>
      <c r="DB17" s="106" t="str">
        <f>IFERROR(IF(ISBLANK(DA17),"",ROUND((DA17/SETTINGS!$L$19)*SETTINGS!$L$20,0)),"")</f>
        <v/>
      </c>
      <c r="DC17" s="106" t="str">
        <f t="shared" si="35"/>
        <v/>
      </c>
      <c r="DD17" s="103" t="str">
        <f t="shared" si="8"/>
        <v/>
      </c>
      <c r="DE17" s="107" t="str">
        <f t="shared" si="36"/>
        <v/>
      </c>
      <c r="DF17" s="103" t="str">
        <f t="shared" si="9"/>
        <v/>
      </c>
      <c r="DG17" s="103" t="str">
        <f>IFERROR(IF(AND(K17,W17,AI17,AU17,BG17,BS17,CE17,CQ17,DC17)="","",SUM(K17,W17,AI17,AU17,LARGE((BG17,BS17,CE17,CQ17,DC17),{1,2}))),"")</f>
        <v/>
      </c>
      <c r="DH17" s="103" t="str">
        <f>IFERROR(IF(AND(M17,Y17,AK17,AW17,,BI17,BU17,CG17,CS17,DE17)="","",SUM(M17,Y17,AK17,AW17,SMALL((BI17,BU17,CG17,CS17,DE17),{1,2}))),"")</f>
        <v/>
      </c>
      <c r="DI17" s="109" t="str">
        <f>IFERROR(IF(ISBLANK($D17),"",pos&amp;IF(AND(MOD(ABS(pos),100)&gt;10,MOD(ABS(pos),100)&lt;14),"th",CHOOSE(MOD(ABS(pos),10)+1,"th","st","nd","rd","th","th","th","th","th","th"))),"")</f>
        <v/>
      </c>
      <c r="DJ17" s="62">
        <f>ROWS($B$12:$B17)</f>
        <v>6</v>
      </c>
      <c r="DK17" s="62" t="str">
        <f>IF($B17=REPORT_CARD!$M$12,$DJ17,"")</f>
        <v/>
      </c>
      <c r="DL17" s="62"/>
      <c r="DM17" s="186"/>
    </row>
    <row r="18" spans="1:117" ht="19.5" customHeight="1">
      <c r="A18" s="187" t="str">
        <f>IFERROR(IF(ISBLANK(DATA!$A18),"",DATA!$A18),"")</f>
        <v/>
      </c>
      <c r="B18" s="187" t="str">
        <f>IFERROR(IF(ISBLANK(DATA!$B18),"",DATA!$B18),"")</f>
        <v/>
      </c>
      <c r="C18" s="190" t="str">
        <f>IFERROR(IF(ISBLANK(DATA!C18),"",DATA!C18),"")</f>
        <v/>
      </c>
      <c r="D18" s="190" t="str">
        <f>IFERROR(IF(ISBLANK(DATA!D18),"",DATA!D18),"")</f>
        <v/>
      </c>
      <c r="E18" s="190" t="str">
        <f>IFERROR(IF(ISBLANK(DATA!E18),"",DATA!E18),"")</f>
        <v/>
      </c>
      <c r="F18" s="190" t="str">
        <f>IFERROR(IF(ISBLANK(DATA!F18),"",DATA!F18),"")</f>
        <v/>
      </c>
      <c r="G18" s="97" t="str">
        <f t="shared" si="37"/>
        <v/>
      </c>
      <c r="H18" s="106" t="str">
        <f>IFERROR(IF(G18=0,"",ROUND((G18/SUM(SETTINGS!$L$14:$L$17))*SETTINGS!$L$18,0)),"")</f>
        <v/>
      </c>
      <c r="I18" s="190" t="str">
        <f>IFERROR(IF(ISBLANK(DATA!G18),"",DATA!G18),"")</f>
        <v/>
      </c>
      <c r="J18" s="106" t="str">
        <f>IFERROR(IF(ISBLANK(I18),"",ROUND((I18/SETTINGS!$L$19)*SETTINGS!$L$20,0)),"")</f>
        <v/>
      </c>
      <c r="K18" s="106" t="str">
        <f t="shared" si="10"/>
        <v/>
      </c>
      <c r="L18" s="103" t="str">
        <f t="shared" si="0"/>
        <v/>
      </c>
      <c r="M18" s="107" t="str">
        <f t="shared" si="11"/>
        <v/>
      </c>
      <c r="N18" s="136"/>
      <c r="O18" s="190" t="str">
        <f>IFERROR(IF(ISBLANK(DATA!I18),"",DATA!I18),"")</f>
        <v/>
      </c>
      <c r="P18" s="190" t="str">
        <f>IFERROR(IF(ISBLANK(DATA!J18),"",DATA!J18),"")</f>
        <v/>
      </c>
      <c r="Q18" s="190" t="str">
        <f>IFERROR(IF(ISBLANK(DATA!K18),"",DATA!K18),"")</f>
        <v/>
      </c>
      <c r="R18" s="190" t="str">
        <f>IFERROR(IF(ISBLANK(DATA!L18),"",DATA!L18),"")</f>
        <v/>
      </c>
      <c r="S18" s="97" t="str">
        <f t="shared" si="12"/>
        <v/>
      </c>
      <c r="T18" s="106" t="str">
        <f>IFERROR(IF(S18=0,"",ROUND((S18/SUM(SETTINGS!$L$14:$L$17))*SETTINGS!$L$18,0)),"")</f>
        <v/>
      </c>
      <c r="U18" s="190" t="str">
        <f>IFERROR(IF(ISBLANK(DATA!M18),"",DATA!M18),"")</f>
        <v/>
      </c>
      <c r="V18" s="106" t="str">
        <f>IFERROR(IF(ISBLANK(U18),"",ROUND((U18/SETTINGS!$L$19)*SETTINGS!$L$20,0)),"")</f>
        <v/>
      </c>
      <c r="W18" s="106" t="str">
        <f t="shared" si="13"/>
        <v/>
      </c>
      <c r="X18" s="103" t="str">
        <f t="shared" si="14"/>
        <v/>
      </c>
      <c r="Y18" s="107" t="str">
        <f t="shared" si="15"/>
        <v/>
      </c>
      <c r="Z18" s="130"/>
      <c r="AA18" s="190" t="str">
        <f>IFERROR(IF(ISBLANK(DATA!O18),"",DATA!O18),"")</f>
        <v/>
      </c>
      <c r="AB18" s="190" t="str">
        <f>IFERROR(IF(ISBLANK(DATA!P18),"",DATA!P18),"")</f>
        <v/>
      </c>
      <c r="AC18" s="190" t="str">
        <f>IFERROR(IF(ISBLANK(DATA!Q18),"",DATA!Q18),"")</f>
        <v/>
      </c>
      <c r="AD18" s="190" t="str">
        <f>IFERROR(IF(ISBLANK(DATA!R18),"",DATA!R18),"")</f>
        <v/>
      </c>
      <c r="AE18" s="97" t="str">
        <f t="shared" si="16"/>
        <v/>
      </c>
      <c r="AF18" s="106" t="str">
        <f>IFERROR(IF(AE18=0,"",ROUND((AE18/SUM(SETTINGS!$L$14:$L$17))*SETTINGS!$L$18,0)),"")</f>
        <v/>
      </c>
      <c r="AG18" s="190" t="str">
        <f>IFERROR(IF(ISBLANK(DATA!S18),"",DATA!S18),"")</f>
        <v/>
      </c>
      <c r="AH18" s="106" t="str">
        <f>IFERROR(IF(ISBLANK(AG18),"",ROUND((AG18/SETTINGS!$L$19)*SETTINGS!$L$20,0)),"")</f>
        <v/>
      </c>
      <c r="AI18" s="106" t="str">
        <f t="shared" si="17"/>
        <v/>
      </c>
      <c r="AJ18" s="103" t="str">
        <f t="shared" si="2"/>
        <v/>
      </c>
      <c r="AK18" s="108" t="str">
        <f t="shared" si="18"/>
        <v/>
      </c>
      <c r="AL18" s="130"/>
      <c r="AM18" s="190" t="str">
        <f>IFERROR(IF(ISBLANK(DATA!U18),"",DATA!U18),"")</f>
        <v/>
      </c>
      <c r="AN18" s="190" t="str">
        <f>IFERROR(IF(ISBLANK(DATA!V18),"",DATA!V18),"")</f>
        <v/>
      </c>
      <c r="AO18" s="190" t="str">
        <f>IFERROR(IF(ISBLANK(DATA!W18),"",DATA!W18),"")</f>
        <v/>
      </c>
      <c r="AP18" s="190" t="str">
        <f>IFERROR(IF(ISBLANK(DATA!X18),"",DATA!X18),"")</f>
        <v/>
      </c>
      <c r="AQ18" s="97" t="str">
        <f t="shared" si="19"/>
        <v/>
      </c>
      <c r="AR18" s="106" t="str">
        <f>IFERROR(IF(AQ18=0,"",ROUND((AQ18/SUM(SETTINGS!$L$14:$L$17))*SETTINGS!$L$18,0)),"")</f>
        <v/>
      </c>
      <c r="AS18" s="190" t="str">
        <f>IFERROR(IF(ISBLANK(DATA!Y18),"",DATA!Y18),"")</f>
        <v/>
      </c>
      <c r="AT18" s="106" t="str">
        <f>IFERROR(IF(ISBLANK(AS18),"",ROUND((AS18/SETTINGS!$L$19)*SETTINGS!$L$20,0)),"")</f>
        <v/>
      </c>
      <c r="AU18" s="106" t="str">
        <f t="shared" si="20"/>
        <v/>
      </c>
      <c r="AV18" s="103" t="str">
        <f t="shared" si="3"/>
        <v/>
      </c>
      <c r="AW18" s="107" t="str">
        <f t="shared" si="21"/>
        <v/>
      </c>
      <c r="AX18" s="130"/>
      <c r="AY18" s="190" t="str">
        <f>IFERROR(IF(ISBLANK(DATA!AA18),"",DATA!AA18),"")</f>
        <v/>
      </c>
      <c r="AZ18" s="190" t="str">
        <f>IFERROR(IF(ISBLANK(DATA!AB18),"",DATA!AB18),"")</f>
        <v/>
      </c>
      <c r="BA18" s="190" t="str">
        <f>IFERROR(IF(ISBLANK(DATA!AC18),"",DATA!AC18),"")</f>
        <v/>
      </c>
      <c r="BB18" s="190" t="str">
        <f>IFERROR(IF(ISBLANK(DATA!AD18),"",DATA!AD18),"")</f>
        <v/>
      </c>
      <c r="BC18" s="97" t="str">
        <f t="shared" si="22"/>
        <v/>
      </c>
      <c r="BD18" s="106" t="str">
        <f>IFERROR(IF(BC18=0,"",ROUND((BC18/SUM(SETTINGS!$L$14:$L$17))*SETTINGS!$L$18,0)),"")</f>
        <v/>
      </c>
      <c r="BE18" s="190" t="str">
        <f>IFERROR(IF(ISBLANK(DATA!AE18),"",DATA!AE18),"")</f>
        <v/>
      </c>
      <c r="BF18" s="106" t="str">
        <f>IFERROR(IF(ISBLANK(BE18),"",ROUND((BE18/SETTINGS!$L$19)*SETTINGS!$L$20,0)),"")</f>
        <v/>
      </c>
      <c r="BG18" s="106" t="str">
        <f t="shared" si="23"/>
        <v/>
      </c>
      <c r="BH18" s="103" t="str">
        <f t="shared" si="4"/>
        <v/>
      </c>
      <c r="BI18" s="108" t="str">
        <f t="shared" si="24"/>
        <v/>
      </c>
      <c r="BJ18" s="130"/>
      <c r="BK18" s="190" t="str">
        <f>IFERROR(IF(ISBLANK(DATA!AG18),"",DATA!AG18),"")</f>
        <v/>
      </c>
      <c r="BL18" s="190" t="str">
        <f>IFERROR(IF(ISBLANK(DATA!AH18),"",DATA!AH18),"")</f>
        <v/>
      </c>
      <c r="BM18" s="190" t="str">
        <f>IFERROR(IF(ISBLANK(DATA!AI18),"",DATA!AI18),"")</f>
        <v/>
      </c>
      <c r="BN18" s="190" t="str">
        <f>IFERROR(IF(ISBLANK(DATA!AJ18),"",DATA!AJ18),"")</f>
        <v/>
      </c>
      <c r="BO18" s="97" t="str">
        <f t="shared" si="25"/>
        <v/>
      </c>
      <c r="BP18" s="106" t="str">
        <f>IFERROR(IF(BO18=0,"",ROUND((BO18/SUM(SETTINGS!$L$14:$L$17))*SETTINGS!$L$18,0)),"")</f>
        <v/>
      </c>
      <c r="BQ18" s="190" t="str">
        <f>IFERROR(IF(ISBLANK(DATA!AK18),"",DATA!AK18),"")</f>
        <v/>
      </c>
      <c r="BR18" s="106" t="str">
        <f>IFERROR(IF(ISBLANK(BQ18),"",ROUND((BQ18/SETTINGS!$L$19)*SETTINGS!$L$20,0)),"")</f>
        <v/>
      </c>
      <c r="BS18" s="106" t="str">
        <f t="shared" si="26"/>
        <v/>
      </c>
      <c r="BT18" s="103" t="str">
        <f t="shared" si="5"/>
        <v/>
      </c>
      <c r="BU18" s="107" t="str">
        <f t="shared" si="27"/>
        <v/>
      </c>
      <c r="BV18" s="130"/>
      <c r="BW18" s="190" t="str">
        <f>IFERROR(IF(ISBLANK(DATA!AM18),"",DATA!AM18),"")</f>
        <v/>
      </c>
      <c r="BX18" s="190" t="str">
        <f>IFERROR(IF(ISBLANK(DATA!AN18),"",DATA!AN18),"")</f>
        <v/>
      </c>
      <c r="BY18" s="190" t="str">
        <f>IFERROR(IF(ISBLANK(DATA!AO18),"",DATA!AO18),"")</f>
        <v/>
      </c>
      <c r="BZ18" s="190" t="str">
        <f>IFERROR(IF(ISBLANK(DATA!AP18),"",DATA!AP18),"")</f>
        <v/>
      </c>
      <c r="CA18" s="97" t="str">
        <f t="shared" si="28"/>
        <v/>
      </c>
      <c r="CB18" s="106" t="str">
        <f>IFERROR(IF(CA18=0,"",ROUND((CA18/SUM(SETTINGS!$L$14:$L$17))*SETTINGS!$L$18,0)),"")</f>
        <v/>
      </c>
      <c r="CC18" s="190" t="str">
        <f>IFERROR(IF(ISBLANK(DATA!AQ18),"",DATA!AQ18),"")</f>
        <v/>
      </c>
      <c r="CD18" s="106" t="str">
        <f>IFERROR(IF(ISBLANK(CC18),"",ROUND((CC18/SETTINGS!$L$19)*SETTINGS!$L$20,0)),"")</f>
        <v/>
      </c>
      <c r="CE18" s="106" t="str">
        <f t="shared" si="29"/>
        <v/>
      </c>
      <c r="CF18" s="103" t="str">
        <f t="shared" si="6"/>
        <v/>
      </c>
      <c r="CG18" s="107" t="str">
        <f t="shared" si="30"/>
        <v/>
      </c>
      <c r="CH18" s="130"/>
      <c r="CI18" s="190" t="str">
        <f>IFERROR(IF(ISBLANK(DATA!AS18),"",DATA!AS18),"")</f>
        <v/>
      </c>
      <c r="CJ18" s="190" t="str">
        <f>IFERROR(IF(ISBLANK(DATA!AT18),"",DATA!AT18),"")</f>
        <v/>
      </c>
      <c r="CK18" s="190" t="str">
        <f>IFERROR(IF(ISBLANK(DATA!AU18),"",DATA!AU18),"")</f>
        <v/>
      </c>
      <c r="CL18" s="190" t="str">
        <f>IFERROR(IF(ISBLANK(DATA!AV18),"",DATA!AV18),"")</f>
        <v/>
      </c>
      <c r="CM18" s="97" t="str">
        <f t="shared" si="31"/>
        <v/>
      </c>
      <c r="CN18" s="106" t="str">
        <f>IFERROR(IF(CM18=0,"",ROUND((CM18/SUM(SETTINGS!$L$14:$L$17))*SETTINGS!$L$18,0)),"")</f>
        <v/>
      </c>
      <c r="CO18" s="190" t="str">
        <f>IFERROR(IF(ISBLANK(DATA!AW18),"",DATA!AW18),"")</f>
        <v/>
      </c>
      <c r="CP18" s="106" t="str">
        <f>IFERROR(IF(ISBLANK(CO18),"",ROUND((CO18/SETTINGS!$L$19)*SETTINGS!$L$20,0)),"")</f>
        <v/>
      </c>
      <c r="CQ18" s="106" t="str">
        <f t="shared" si="32"/>
        <v/>
      </c>
      <c r="CR18" s="103" t="str">
        <f t="shared" si="7"/>
        <v/>
      </c>
      <c r="CS18" s="107" t="str">
        <f t="shared" si="33"/>
        <v/>
      </c>
      <c r="CT18" s="130"/>
      <c r="CU18" s="190" t="str">
        <f>IFERROR(IF(ISBLANK(DATA!AY18),"",DATA!AY18),"")</f>
        <v/>
      </c>
      <c r="CV18" s="190" t="str">
        <f>IFERROR(IF(ISBLANK(DATA!AZ18),"",DATA!AZ18),"")</f>
        <v/>
      </c>
      <c r="CW18" s="190" t="str">
        <f>IFERROR(IF(ISBLANK(DATA!BA18),"",DATA!BA18),"")</f>
        <v/>
      </c>
      <c r="CX18" s="190" t="str">
        <f>IFERROR(IF(ISBLANK(DATA!BB18),"",DATA!BB18),"")</f>
        <v/>
      </c>
      <c r="CY18" s="97" t="str">
        <f t="shared" si="34"/>
        <v/>
      </c>
      <c r="CZ18" s="106" t="str">
        <f>IFERROR(IF(CY18=0,"",ROUND((CY18/SUM(SETTINGS!$L$14:$L$17))*SETTINGS!$L$18,0)),"")</f>
        <v/>
      </c>
      <c r="DA18" s="190" t="str">
        <f>IFERROR(IF(ISBLANK(DATA!BC18),"",DATA!BC18),"")</f>
        <v/>
      </c>
      <c r="DB18" s="106" t="str">
        <f>IFERROR(IF(ISBLANK(DA18),"",ROUND((DA18/SETTINGS!$L$19)*SETTINGS!$L$20,0)),"")</f>
        <v/>
      </c>
      <c r="DC18" s="106" t="str">
        <f t="shared" si="35"/>
        <v/>
      </c>
      <c r="DD18" s="103" t="str">
        <f t="shared" si="8"/>
        <v/>
      </c>
      <c r="DE18" s="107" t="str">
        <f t="shared" si="36"/>
        <v/>
      </c>
      <c r="DF18" s="103" t="str">
        <f t="shared" si="9"/>
        <v/>
      </c>
      <c r="DG18" s="103" t="str">
        <f>IFERROR(IF(AND(K18,W18,AI18,AU18,BG18,BS18,CE18,CQ18,DC18)="","",SUM(K18,W18,AI18,AU18,LARGE((BG18,BS18,CE18,CQ18,DC18),{1,2}))),"")</f>
        <v/>
      </c>
      <c r="DH18" s="103" t="str">
        <f>IFERROR(IF(AND(M18,Y18,AK18,AW18,,BI18,BU18,CG18,CS18,DE18)="","",SUM(M18,Y18,AK18,AW18,SMALL((BI18,BU18,CG18,CS18,DE18),{1,2}))),"")</f>
        <v/>
      </c>
      <c r="DI18" s="109" t="str">
        <f>IFERROR(IF(ISBLANK($D18),"",pos&amp;IF(AND(MOD(ABS(pos),100)&gt;10,MOD(ABS(pos),100)&lt;14),"th",CHOOSE(MOD(ABS(pos),10)+1,"th","st","nd","rd","th","th","th","th","th","th"))),"")</f>
        <v/>
      </c>
      <c r="DJ18" s="62">
        <f>ROWS($B$12:$B18)</f>
        <v>7</v>
      </c>
      <c r="DK18" s="62" t="str">
        <f>IF($B18=REPORT_CARD!$M$12,$DJ18,"")</f>
        <v/>
      </c>
      <c r="DL18" s="62"/>
      <c r="DM18" s="186"/>
    </row>
    <row r="19" spans="1:117" ht="19.5" customHeight="1">
      <c r="A19" s="187" t="str">
        <f>IFERROR(IF(ISBLANK(DATA!$A19),"",DATA!$A19),"")</f>
        <v/>
      </c>
      <c r="B19" s="187" t="str">
        <f>IFERROR(IF(ISBLANK(DATA!$B19),"",DATA!$B19),"")</f>
        <v/>
      </c>
      <c r="C19" s="190" t="str">
        <f>IFERROR(IF(ISBLANK(DATA!C19),"",DATA!C19),"")</f>
        <v/>
      </c>
      <c r="D19" s="190" t="str">
        <f>IFERROR(IF(ISBLANK(DATA!D19),"",DATA!D19),"")</f>
        <v/>
      </c>
      <c r="E19" s="190" t="str">
        <f>IFERROR(IF(ISBLANK(DATA!E19),"",DATA!E19),"")</f>
        <v/>
      </c>
      <c r="F19" s="190" t="str">
        <f>IFERROR(IF(ISBLANK(DATA!F19),"",DATA!F19),"")</f>
        <v/>
      </c>
      <c r="G19" s="97" t="str">
        <f t="shared" si="37"/>
        <v/>
      </c>
      <c r="H19" s="106" t="str">
        <f>IFERROR(IF(G19=0,"",ROUND((G19/SUM(SETTINGS!$L$14:$L$17))*SETTINGS!$L$18,0)),"")</f>
        <v/>
      </c>
      <c r="I19" s="190" t="str">
        <f>IFERROR(IF(ISBLANK(DATA!G19),"",DATA!G19),"")</f>
        <v/>
      </c>
      <c r="J19" s="106" t="str">
        <f>IFERROR(IF(ISBLANK(I19),"",ROUND((I19/SETTINGS!$L$19)*SETTINGS!$L$20,0)),"")</f>
        <v/>
      </c>
      <c r="K19" s="106" t="str">
        <f t="shared" si="10"/>
        <v/>
      </c>
      <c r="L19" s="103" t="str">
        <f t="shared" si="0"/>
        <v/>
      </c>
      <c r="M19" s="107" t="str">
        <f t="shared" si="11"/>
        <v/>
      </c>
      <c r="N19" s="136"/>
      <c r="O19" s="190" t="str">
        <f>IFERROR(IF(ISBLANK(DATA!I19),"",DATA!I19),"")</f>
        <v/>
      </c>
      <c r="P19" s="190" t="str">
        <f>IFERROR(IF(ISBLANK(DATA!J19),"",DATA!J19),"")</f>
        <v/>
      </c>
      <c r="Q19" s="190" t="str">
        <f>IFERROR(IF(ISBLANK(DATA!K19),"",DATA!K19),"")</f>
        <v/>
      </c>
      <c r="R19" s="190" t="str">
        <f>IFERROR(IF(ISBLANK(DATA!L19),"",DATA!L19),"")</f>
        <v/>
      </c>
      <c r="S19" s="97" t="str">
        <f t="shared" si="12"/>
        <v/>
      </c>
      <c r="T19" s="106" t="str">
        <f>IFERROR(IF(S19=0,"",ROUND((S19/SUM(SETTINGS!$L$14:$L$17))*SETTINGS!$L$18,0)),"")</f>
        <v/>
      </c>
      <c r="U19" s="190" t="str">
        <f>IFERROR(IF(ISBLANK(DATA!M19),"",DATA!M19),"")</f>
        <v/>
      </c>
      <c r="V19" s="106" t="str">
        <f>IFERROR(IF(ISBLANK(U19),"",ROUND((U19/SETTINGS!$L$19)*SETTINGS!$L$20,0)),"")</f>
        <v/>
      </c>
      <c r="W19" s="106" t="str">
        <f t="shared" si="13"/>
        <v/>
      </c>
      <c r="X19" s="103" t="str">
        <f t="shared" si="14"/>
        <v/>
      </c>
      <c r="Y19" s="107" t="str">
        <f t="shared" si="15"/>
        <v/>
      </c>
      <c r="Z19" s="130"/>
      <c r="AA19" s="190" t="str">
        <f>IFERROR(IF(ISBLANK(DATA!O19),"",DATA!O19),"")</f>
        <v/>
      </c>
      <c r="AB19" s="190" t="str">
        <f>IFERROR(IF(ISBLANK(DATA!P19),"",DATA!P19),"")</f>
        <v/>
      </c>
      <c r="AC19" s="190" t="str">
        <f>IFERROR(IF(ISBLANK(DATA!Q19),"",DATA!Q19),"")</f>
        <v/>
      </c>
      <c r="AD19" s="190" t="str">
        <f>IFERROR(IF(ISBLANK(DATA!R19),"",DATA!R19),"")</f>
        <v/>
      </c>
      <c r="AE19" s="97" t="str">
        <f t="shared" si="16"/>
        <v/>
      </c>
      <c r="AF19" s="106" t="str">
        <f>IFERROR(IF(AE19=0,"",ROUND((AE19/SUM(SETTINGS!$L$14:$L$17))*SETTINGS!$L$18,0)),"")</f>
        <v/>
      </c>
      <c r="AG19" s="190" t="str">
        <f>IFERROR(IF(ISBLANK(DATA!S19),"",DATA!S19),"")</f>
        <v/>
      </c>
      <c r="AH19" s="106" t="str">
        <f>IFERROR(IF(ISBLANK(AG19),"",ROUND((AG19/SETTINGS!$L$19)*SETTINGS!$L$20,0)),"")</f>
        <v/>
      </c>
      <c r="AI19" s="106" t="str">
        <f t="shared" si="17"/>
        <v/>
      </c>
      <c r="AJ19" s="103" t="str">
        <f t="shared" si="2"/>
        <v/>
      </c>
      <c r="AK19" s="108" t="str">
        <f t="shared" si="18"/>
        <v/>
      </c>
      <c r="AL19" s="130"/>
      <c r="AM19" s="190" t="str">
        <f>IFERROR(IF(ISBLANK(DATA!U19),"",DATA!U19),"")</f>
        <v/>
      </c>
      <c r="AN19" s="190" t="str">
        <f>IFERROR(IF(ISBLANK(DATA!V19),"",DATA!V19),"")</f>
        <v/>
      </c>
      <c r="AO19" s="190" t="str">
        <f>IFERROR(IF(ISBLANK(DATA!W19),"",DATA!W19),"")</f>
        <v/>
      </c>
      <c r="AP19" s="190" t="str">
        <f>IFERROR(IF(ISBLANK(DATA!X19),"",DATA!X19),"")</f>
        <v/>
      </c>
      <c r="AQ19" s="97" t="str">
        <f t="shared" si="19"/>
        <v/>
      </c>
      <c r="AR19" s="106" t="str">
        <f>IFERROR(IF(AQ19=0,"",ROUND((AQ19/SUM(SETTINGS!$L$14:$L$17))*SETTINGS!$L$18,0)),"")</f>
        <v/>
      </c>
      <c r="AS19" s="190" t="str">
        <f>IFERROR(IF(ISBLANK(DATA!Y19),"",DATA!Y19),"")</f>
        <v/>
      </c>
      <c r="AT19" s="106" t="str">
        <f>IFERROR(IF(ISBLANK(AS19),"",ROUND((AS19/SETTINGS!$L$19)*SETTINGS!$L$20,0)),"")</f>
        <v/>
      </c>
      <c r="AU19" s="106" t="str">
        <f t="shared" si="20"/>
        <v/>
      </c>
      <c r="AV19" s="103" t="str">
        <f t="shared" si="3"/>
        <v/>
      </c>
      <c r="AW19" s="107" t="str">
        <f t="shared" si="21"/>
        <v/>
      </c>
      <c r="AX19" s="130"/>
      <c r="AY19" s="190" t="str">
        <f>IFERROR(IF(ISBLANK(DATA!AA19),"",DATA!AA19),"")</f>
        <v/>
      </c>
      <c r="AZ19" s="190" t="str">
        <f>IFERROR(IF(ISBLANK(DATA!AB19),"",DATA!AB19),"")</f>
        <v/>
      </c>
      <c r="BA19" s="190" t="str">
        <f>IFERROR(IF(ISBLANK(DATA!AC19),"",DATA!AC19),"")</f>
        <v/>
      </c>
      <c r="BB19" s="190" t="str">
        <f>IFERROR(IF(ISBLANK(DATA!AD19),"",DATA!AD19),"")</f>
        <v/>
      </c>
      <c r="BC19" s="97" t="str">
        <f t="shared" si="22"/>
        <v/>
      </c>
      <c r="BD19" s="106" t="str">
        <f>IFERROR(IF(BC19=0,"",ROUND((BC19/SUM(SETTINGS!$L$14:$L$17))*SETTINGS!$L$18,0)),"")</f>
        <v/>
      </c>
      <c r="BE19" s="190" t="str">
        <f>IFERROR(IF(ISBLANK(DATA!AE19),"",DATA!AE19),"")</f>
        <v/>
      </c>
      <c r="BF19" s="106" t="str">
        <f>IFERROR(IF(ISBLANK(BE19),"",ROUND((BE19/SETTINGS!$L$19)*SETTINGS!$L$20,0)),"")</f>
        <v/>
      </c>
      <c r="BG19" s="106" t="str">
        <f t="shared" si="23"/>
        <v/>
      </c>
      <c r="BH19" s="103" t="str">
        <f t="shared" si="4"/>
        <v/>
      </c>
      <c r="BI19" s="108" t="str">
        <f t="shared" si="24"/>
        <v/>
      </c>
      <c r="BJ19" s="130"/>
      <c r="BK19" s="190" t="str">
        <f>IFERROR(IF(ISBLANK(DATA!AG19),"",DATA!AG19),"")</f>
        <v/>
      </c>
      <c r="BL19" s="190" t="str">
        <f>IFERROR(IF(ISBLANK(DATA!AH19),"",DATA!AH19),"")</f>
        <v/>
      </c>
      <c r="BM19" s="190" t="str">
        <f>IFERROR(IF(ISBLANK(DATA!AI19),"",DATA!AI19),"")</f>
        <v/>
      </c>
      <c r="BN19" s="190" t="str">
        <f>IFERROR(IF(ISBLANK(DATA!AJ19),"",DATA!AJ19),"")</f>
        <v/>
      </c>
      <c r="BO19" s="97" t="str">
        <f t="shared" si="25"/>
        <v/>
      </c>
      <c r="BP19" s="106" t="str">
        <f>IFERROR(IF(BO19=0,"",ROUND((BO19/SUM(SETTINGS!$L$14:$L$17))*SETTINGS!$L$18,0)),"")</f>
        <v/>
      </c>
      <c r="BQ19" s="190" t="str">
        <f>IFERROR(IF(ISBLANK(DATA!AK19),"",DATA!AK19),"")</f>
        <v/>
      </c>
      <c r="BR19" s="106" t="str">
        <f>IFERROR(IF(ISBLANK(BQ19),"",ROUND((BQ19/SETTINGS!$L$19)*SETTINGS!$L$20,0)),"")</f>
        <v/>
      </c>
      <c r="BS19" s="106" t="str">
        <f t="shared" si="26"/>
        <v/>
      </c>
      <c r="BT19" s="103" t="str">
        <f t="shared" si="5"/>
        <v/>
      </c>
      <c r="BU19" s="107" t="str">
        <f t="shared" si="27"/>
        <v/>
      </c>
      <c r="BV19" s="130"/>
      <c r="BW19" s="190" t="str">
        <f>IFERROR(IF(ISBLANK(DATA!AM19),"",DATA!AM19),"")</f>
        <v/>
      </c>
      <c r="BX19" s="190" t="str">
        <f>IFERROR(IF(ISBLANK(DATA!AN19),"",DATA!AN19),"")</f>
        <v/>
      </c>
      <c r="BY19" s="190" t="str">
        <f>IFERROR(IF(ISBLANK(DATA!AO19),"",DATA!AO19),"")</f>
        <v/>
      </c>
      <c r="BZ19" s="190" t="str">
        <f>IFERROR(IF(ISBLANK(DATA!AP19),"",DATA!AP19),"")</f>
        <v/>
      </c>
      <c r="CA19" s="97" t="str">
        <f t="shared" si="28"/>
        <v/>
      </c>
      <c r="CB19" s="106" t="str">
        <f>IFERROR(IF(CA19=0,"",ROUND((CA19/SUM(SETTINGS!$L$14:$L$17))*SETTINGS!$L$18,0)),"")</f>
        <v/>
      </c>
      <c r="CC19" s="190" t="str">
        <f>IFERROR(IF(ISBLANK(DATA!AQ19),"",DATA!AQ19),"")</f>
        <v/>
      </c>
      <c r="CD19" s="106" t="str">
        <f>IFERROR(IF(ISBLANK(CC19),"",ROUND((CC19/SETTINGS!$L$19)*SETTINGS!$L$20,0)),"")</f>
        <v/>
      </c>
      <c r="CE19" s="106" t="str">
        <f t="shared" si="29"/>
        <v/>
      </c>
      <c r="CF19" s="103" t="str">
        <f t="shared" si="6"/>
        <v/>
      </c>
      <c r="CG19" s="107" t="str">
        <f t="shared" si="30"/>
        <v/>
      </c>
      <c r="CH19" s="130"/>
      <c r="CI19" s="190" t="str">
        <f>IFERROR(IF(ISBLANK(DATA!AS19),"",DATA!AS19),"")</f>
        <v/>
      </c>
      <c r="CJ19" s="190" t="str">
        <f>IFERROR(IF(ISBLANK(DATA!AT19),"",DATA!AT19),"")</f>
        <v/>
      </c>
      <c r="CK19" s="190" t="str">
        <f>IFERROR(IF(ISBLANK(DATA!AU19),"",DATA!AU19),"")</f>
        <v/>
      </c>
      <c r="CL19" s="190" t="str">
        <f>IFERROR(IF(ISBLANK(DATA!AV19),"",DATA!AV19),"")</f>
        <v/>
      </c>
      <c r="CM19" s="97" t="str">
        <f t="shared" si="31"/>
        <v/>
      </c>
      <c r="CN19" s="106" t="str">
        <f>IFERROR(IF(CM19=0,"",ROUND((CM19/SUM(SETTINGS!$L$14:$L$17))*SETTINGS!$L$18,0)),"")</f>
        <v/>
      </c>
      <c r="CO19" s="190" t="str">
        <f>IFERROR(IF(ISBLANK(DATA!AW19),"",DATA!AW19),"")</f>
        <v/>
      </c>
      <c r="CP19" s="106" t="str">
        <f>IFERROR(IF(ISBLANK(CO19),"",ROUND((CO19/SETTINGS!$L$19)*SETTINGS!$L$20,0)),"")</f>
        <v/>
      </c>
      <c r="CQ19" s="106" t="str">
        <f t="shared" si="32"/>
        <v/>
      </c>
      <c r="CR19" s="103" t="str">
        <f t="shared" si="7"/>
        <v/>
      </c>
      <c r="CS19" s="107" t="str">
        <f t="shared" si="33"/>
        <v/>
      </c>
      <c r="CT19" s="130"/>
      <c r="CU19" s="190" t="str">
        <f>IFERROR(IF(ISBLANK(DATA!AY19),"",DATA!AY19),"")</f>
        <v/>
      </c>
      <c r="CV19" s="190" t="str">
        <f>IFERROR(IF(ISBLANK(DATA!AZ19),"",DATA!AZ19),"")</f>
        <v/>
      </c>
      <c r="CW19" s="190" t="str">
        <f>IFERROR(IF(ISBLANK(DATA!BA19),"",DATA!BA19),"")</f>
        <v/>
      </c>
      <c r="CX19" s="190" t="str">
        <f>IFERROR(IF(ISBLANK(DATA!BB19),"",DATA!BB19),"")</f>
        <v/>
      </c>
      <c r="CY19" s="97" t="str">
        <f t="shared" si="34"/>
        <v/>
      </c>
      <c r="CZ19" s="106" t="str">
        <f>IFERROR(IF(CY19=0,"",ROUND((CY19/SUM(SETTINGS!$L$14:$L$17))*SETTINGS!$L$18,0)),"")</f>
        <v/>
      </c>
      <c r="DA19" s="190" t="str">
        <f>IFERROR(IF(ISBLANK(DATA!BC19),"",DATA!BC19),"")</f>
        <v/>
      </c>
      <c r="DB19" s="106" t="str">
        <f>IFERROR(IF(ISBLANK(DA19),"",ROUND((DA19/SETTINGS!$L$19)*SETTINGS!$L$20,0)),"")</f>
        <v/>
      </c>
      <c r="DC19" s="106" t="str">
        <f t="shared" si="35"/>
        <v/>
      </c>
      <c r="DD19" s="103" t="str">
        <f t="shared" si="8"/>
        <v/>
      </c>
      <c r="DE19" s="107" t="str">
        <f t="shared" si="36"/>
        <v/>
      </c>
      <c r="DF19" s="103" t="str">
        <f t="shared" si="9"/>
        <v/>
      </c>
      <c r="DG19" s="103" t="str">
        <f>IFERROR(IF(AND(K19,W19,AI19,AU19,BG19,BS19,CE19,CQ19,DC19)="","",SUM(K19,W19,AI19,AU19,LARGE((BG19,BS19,CE19,CQ19,DC19),{1,2}))),"")</f>
        <v/>
      </c>
      <c r="DH19" s="103" t="str">
        <f>IFERROR(IF(AND(M19,Y19,AK19,AW19,,BI19,BU19,CG19,CS19,DE19)="","",SUM(M19,Y19,AK19,AW19,SMALL((BI19,BU19,CG19,CS19,DE19),{1,2}))),"")</f>
        <v/>
      </c>
      <c r="DI19" s="109" t="str">
        <f>IFERROR(IF(ISBLANK($D19),"",pos&amp;IF(AND(MOD(ABS(pos),100)&gt;10,MOD(ABS(pos),100)&lt;14),"th",CHOOSE(MOD(ABS(pos),10)+1,"th","st","nd","rd","th","th","th","th","th","th"))),"")</f>
        <v/>
      </c>
      <c r="DJ19" s="62">
        <f>ROWS($B$12:$B19)</f>
        <v>8</v>
      </c>
      <c r="DK19" s="62" t="str">
        <f>IF($B19=REPORT_CARD!$M$12,$DJ19,"")</f>
        <v/>
      </c>
      <c r="DL19" s="62"/>
      <c r="DM19" s="186"/>
    </row>
    <row r="20" spans="1:117" ht="19.5" customHeight="1">
      <c r="A20" s="187" t="str">
        <f>IFERROR(IF(ISBLANK(DATA!$A20),"",DATA!$A20),"")</f>
        <v/>
      </c>
      <c r="B20" s="187" t="str">
        <f>IFERROR(IF(ISBLANK(DATA!$B20),"",DATA!$B20),"")</f>
        <v/>
      </c>
      <c r="C20" s="190" t="str">
        <f>IFERROR(IF(ISBLANK(DATA!C20),"",DATA!C20),"")</f>
        <v/>
      </c>
      <c r="D20" s="190" t="str">
        <f>IFERROR(IF(ISBLANK(DATA!D20),"",DATA!D20),"")</f>
        <v/>
      </c>
      <c r="E20" s="190" t="str">
        <f>IFERROR(IF(ISBLANK(DATA!E20),"",DATA!E20),"")</f>
        <v/>
      </c>
      <c r="F20" s="190" t="str">
        <f>IFERROR(IF(ISBLANK(DATA!F20),"",DATA!F20),"")</f>
        <v/>
      </c>
      <c r="G20" s="97" t="str">
        <f t="shared" si="37"/>
        <v/>
      </c>
      <c r="H20" s="106" t="str">
        <f>IFERROR(IF(G20=0,"",ROUND((G20/SUM(SETTINGS!$L$14:$L$17))*SETTINGS!$L$18,0)),"")</f>
        <v/>
      </c>
      <c r="I20" s="190" t="str">
        <f>IFERROR(IF(ISBLANK(DATA!G20),"",DATA!G20),"")</f>
        <v/>
      </c>
      <c r="J20" s="106" t="str">
        <f>IFERROR(IF(ISBLANK(I20),"",ROUND((I20/SETTINGS!$L$19)*SETTINGS!$L$20,0)),"")</f>
        <v/>
      </c>
      <c r="K20" s="106" t="str">
        <f t="shared" si="10"/>
        <v/>
      </c>
      <c r="L20" s="103" t="str">
        <f t="shared" si="0"/>
        <v/>
      </c>
      <c r="M20" s="107" t="str">
        <f t="shared" si="11"/>
        <v/>
      </c>
      <c r="N20" s="136"/>
      <c r="O20" s="190" t="str">
        <f>IFERROR(IF(ISBLANK(DATA!I20),"",DATA!I20),"")</f>
        <v/>
      </c>
      <c r="P20" s="190" t="str">
        <f>IFERROR(IF(ISBLANK(DATA!J20),"",DATA!J20),"")</f>
        <v/>
      </c>
      <c r="Q20" s="190" t="str">
        <f>IFERROR(IF(ISBLANK(DATA!K20),"",DATA!K20),"")</f>
        <v/>
      </c>
      <c r="R20" s="190" t="str">
        <f>IFERROR(IF(ISBLANK(DATA!L20),"",DATA!L20),"")</f>
        <v/>
      </c>
      <c r="S20" s="97" t="str">
        <f t="shared" si="12"/>
        <v/>
      </c>
      <c r="T20" s="106" t="str">
        <f>IFERROR(IF(S20=0,"",ROUND((S20/SUM(SETTINGS!$L$14:$L$17))*SETTINGS!$L$18,0)),"")</f>
        <v/>
      </c>
      <c r="U20" s="190" t="str">
        <f>IFERROR(IF(ISBLANK(DATA!M20),"",DATA!M20),"")</f>
        <v/>
      </c>
      <c r="V20" s="106" t="str">
        <f>IFERROR(IF(ISBLANK(U20),"",ROUND((U20/SETTINGS!$L$19)*SETTINGS!$L$20,0)),"")</f>
        <v/>
      </c>
      <c r="W20" s="106" t="str">
        <f t="shared" si="13"/>
        <v/>
      </c>
      <c r="X20" s="103" t="str">
        <f t="shared" si="14"/>
        <v/>
      </c>
      <c r="Y20" s="107" t="str">
        <f t="shared" si="15"/>
        <v/>
      </c>
      <c r="Z20" s="130"/>
      <c r="AA20" s="190" t="str">
        <f>IFERROR(IF(ISBLANK(DATA!O20),"",DATA!O20),"")</f>
        <v/>
      </c>
      <c r="AB20" s="190" t="str">
        <f>IFERROR(IF(ISBLANK(DATA!P20),"",DATA!P20),"")</f>
        <v/>
      </c>
      <c r="AC20" s="190" t="str">
        <f>IFERROR(IF(ISBLANK(DATA!Q20),"",DATA!Q20),"")</f>
        <v/>
      </c>
      <c r="AD20" s="190" t="str">
        <f>IFERROR(IF(ISBLANK(DATA!R20),"",DATA!R20),"")</f>
        <v/>
      </c>
      <c r="AE20" s="97" t="str">
        <f t="shared" si="16"/>
        <v/>
      </c>
      <c r="AF20" s="106" t="str">
        <f>IFERROR(IF(AE20=0,"",ROUND((AE20/SUM(SETTINGS!$L$14:$L$17))*SETTINGS!$L$18,0)),"")</f>
        <v/>
      </c>
      <c r="AG20" s="190" t="str">
        <f>IFERROR(IF(ISBLANK(DATA!S20),"",DATA!S20),"")</f>
        <v/>
      </c>
      <c r="AH20" s="106" t="str">
        <f>IFERROR(IF(ISBLANK(AG20),"",ROUND((AG20/SETTINGS!$L$19)*SETTINGS!$L$20,0)),"")</f>
        <v/>
      </c>
      <c r="AI20" s="106" t="str">
        <f t="shared" si="17"/>
        <v/>
      </c>
      <c r="AJ20" s="103" t="str">
        <f t="shared" si="2"/>
        <v/>
      </c>
      <c r="AK20" s="108" t="str">
        <f t="shared" si="18"/>
        <v/>
      </c>
      <c r="AL20" s="130"/>
      <c r="AM20" s="190" t="str">
        <f>IFERROR(IF(ISBLANK(DATA!U20),"",DATA!U20),"")</f>
        <v/>
      </c>
      <c r="AN20" s="190" t="str">
        <f>IFERROR(IF(ISBLANK(DATA!V20),"",DATA!V20),"")</f>
        <v/>
      </c>
      <c r="AO20" s="190" t="str">
        <f>IFERROR(IF(ISBLANK(DATA!W20),"",DATA!W20),"")</f>
        <v/>
      </c>
      <c r="AP20" s="190" t="str">
        <f>IFERROR(IF(ISBLANK(DATA!X20),"",DATA!X20),"")</f>
        <v/>
      </c>
      <c r="AQ20" s="97" t="str">
        <f t="shared" si="19"/>
        <v/>
      </c>
      <c r="AR20" s="106" t="str">
        <f>IFERROR(IF(AQ20=0,"",ROUND((AQ20/SUM(SETTINGS!$L$14:$L$17))*SETTINGS!$L$18,0)),"")</f>
        <v/>
      </c>
      <c r="AS20" s="190" t="str">
        <f>IFERROR(IF(ISBLANK(DATA!Y20),"",DATA!Y20),"")</f>
        <v/>
      </c>
      <c r="AT20" s="106" t="str">
        <f>IFERROR(IF(ISBLANK(AS20),"",ROUND((AS20/SETTINGS!$L$19)*SETTINGS!$L$20,0)),"")</f>
        <v/>
      </c>
      <c r="AU20" s="106" t="str">
        <f t="shared" si="20"/>
        <v/>
      </c>
      <c r="AV20" s="103" t="str">
        <f t="shared" si="3"/>
        <v/>
      </c>
      <c r="AW20" s="107" t="str">
        <f t="shared" si="21"/>
        <v/>
      </c>
      <c r="AX20" s="130"/>
      <c r="AY20" s="190" t="str">
        <f>IFERROR(IF(ISBLANK(DATA!AA20),"",DATA!AA20),"")</f>
        <v/>
      </c>
      <c r="AZ20" s="190" t="str">
        <f>IFERROR(IF(ISBLANK(DATA!AB20),"",DATA!AB20),"")</f>
        <v/>
      </c>
      <c r="BA20" s="190" t="str">
        <f>IFERROR(IF(ISBLANK(DATA!AC20),"",DATA!AC20),"")</f>
        <v/>
      </c>
      <c r="BB20" s="190" t="str">
        <f>IFERROR(IF(ISBLANK(DATA!AD20),"",DATA!AD20),"")</f>
        <v/>
      </c>
      <c r="BC20" s="97" t="str">
        <f t="shared" si="22"/>
        <v/>
      </c>
      <c r="BD20" s="106" t="str">
        <f>IFERROR(IF(BC20=0,"",ROUND((BC20/SUM(SETTINGS!$L$14:$L$17))*SETTINGS!$L$18,0)),"")</f>
        <v/>
      </c>
      <c r="BE20" s="190" t="str">
        <f>IFERROR(IF(ISBLANK(DATA!AE20),"",DATA!AE20),"")</f>
        <v/>
      </c>
      <c r="BF20" s="106" t="str">
        <f>IFERROR(IF(ISBLANK(BE20),"",ROUND((BE20/SETTINGS!$L$19)*SETTINGS!$L$20,0)),"")</f>
        <v/>
      </c>
      <c r="BG20" s="106" t="str">
        <f t="shared" si="23"/>
        <v/>
      </c>
      <c r="BH20" s="103" t="str">
        <f t="shared" si="4"/>
        <v/>
      </c>
      <c r="BI20" s="108" t="str">
        <f t="shared" si="24"/>
        <v/>
      </c>
      <c r="BJ20" s="130"/>
      <c r="BK20" s="190" t="str">
        <f>IFERROR(IF(ISBLANK(DATA!AG20),"",DATA!AG20),"")</f>
        <v/>
      </c>
      <c r="BL20" s="190" t="str">
        <f>IFERROR(IF(ISBLANK(DATA!AH20),"",DATA!AH20),"")</f>
        <v/>
      </c>
      <c r="BM20" s="190" t="str">
        <f>IFERROR(IF(ISBLANK(DATA!AI20),"",DATA!AI20),"")</f>
        <v/>
      </c>
      <c r="BN20" s="190" t="str">
        <f>IFERROR(IF(ISBLANK(DATA!AJ20),"",DATA!AJ20),"")</f>
        <v/>
      </c>
      <c r="BO20" s="97" t="str">
        <f t="shared" si="25"/>
        <v/>
      </c>
      <c r="BP20" s="106" t="str">
        <f>IFERROR(IF(BO20=0,"",ROUND((BO20/SUM(SETTINGS!$L$14:$L$17))*SETTINGS!$L$18,0)),"")</f>
        <v/>
      </c>
      <c r="BQ20" s="190" t="str">
        <f>IFERROR(IF(ISBLANK(DATA!AK20),"",DATA!AK20),"")</f>
        <v/>
      </c>
      <c r="BR20" s="106" t="str">
        <f>IFERROR(IF(ISBLANK(BQ20),"",ROUND((BQ20/SETTINGS!$L$19)*SETTINGS!$L$20,0)),"")</f>
        <v/>
      </c>
      <c r="BS20" s="106" t="str">
        <f t="shared" si="26"/>
        <v/>
      </c>
      <c r="BT20" s="103" t="str">
        <f t="shared" si="5"/>
        <v/>
      </c>
      <c r="BU20" s="107" t="str">
        <f t="shared" si="27"/>
        <v/>
      </c>
      <c r="BV20" s="130"/>
      <c r="BW20" s="190" t="str">
        <f>IFERROR(IF(ISBLANK(DATA!AM20),"",DATA!AM20),"")</f>
        <v/>
      </c>
      <c r="BX20" s="190" t="str">
        <f>IFERROR(IF(ISBLANK(DATA!AN20),"",DATA!AN20),"")</f>
        <v/>
      </c>
      <c r="BY20" s="190" t="str">
        <f>IFERROR(IF(ISBLANK(DATA!AO20),"",DATA!AO20),"")</f>
        <v/>
      </c>
      <c r="BZ20" s="190" t="str">
        <f>IFERROR(IF(ISBLANK(DATA!AP20),"",DATA!AP20),"")</f>
        <v/>
      </c>
      <c r="CA20" s="97" t="str">
        <f t="shared" si="28"/>
        <v/>
      </c>
      <c r="CB20" s="106" t="str">
        <f>IFERROR(IF(CA20=0,"",ROUND((CA20/SUM(SETTINGS!$L$14:$L$17))*SETTINGS!$L$18,0)),"")</f>
        <v/>
      </c>
      <c r="CC20" s="190" t="str">
        <f>IFERROR(IF(ISBLANK(DATA!AQ20),"",DATA!AQ20),"")</f>
        <v/>
      </c>
      <c r="CD20" s="106" t="str">
        <f>IFERROR(IF(ISBLANK(CC20),"",ROUND((CC20/SETTINGS!$L$19)*SETTINGS!$L$20,0)),"")</f>
        <v/>
      </c>
      <c r="CE20" s="106" t="str">
        <f t="shared" si="29"/>
        <v/>
      </c>
      <c r="CF20" s="103" t="str">
        <f t="shared" si="6"/>
        <v/>
      </c>
      <c r="CG20" s="107" t="str">
        <f t="shared" si="30"/>
        <v/>
      </c>
      <c r="CH20" s="130"/>
      <c r="CI20" s="190" t="str">
        <f>IFERROR(IF(ISBLANK(DATA!AS20),"",DATA!AS20),"")</f>
        <v/>
      </c>
      <c r="CJ20" s="190" t="str">
        <f>IFERROR(IF(ISBLANK(DATA!AT20),"",DATA!AT20),"")</f>
        <v/>
      </c>
      <c r="CK20" s="190" t="str">
        <f>IFERROR(IF(ISBLANK(DATA!AU20),"",DATA!AU20),"")</f>
        <v/>
      </c>
      <c r="CL20" s="190" t="str">
        <f>IFERROR(IF(ISBLANK(DATA!AV20),"",DATA!AV20),"")</f>
        <v/>
      </c>
      <c r="CM20" s="97" t="str">
        <f t="shared" si="31"/>
        <v/>
      </c>
      <c r="CN20" s="106" t="str">
        <f>IFERROR(IF(CM20=0,"",ROUND((CM20/SUM(SETTINGS!$L$14:$L$17))*SETTINGS!$L$18,0)),"")</f>
        <v/>
      </c>
      <c r="CO20" s="190" t="str">
        <f>IFERROR(IF(ISBLANK(DATA!AW20),"",DATA!AW20),"")</f>
        <v/>
      </c>
      <c r="CP20" s="106" t="str">
        <f>IFERROR(IF(ISBLANK(CO20),"",ROUND((CO20/SETTINGS!$L$19)*SETTINGS!$L$20,0)),"")</f>
        <v/>
      </c>
      <c r="CQ20" s="106" t="str">
        <f t="shared" si="32"/>
        <v/>
      </c>
      <c r="CR20" s="103" t="str">
        <f t="shared" si="7"/>
        <v/>
      </c>
      <c r="CS20" s="107" t="str">
        <f t="shared" si="33"/>
        <v/>
      </c>
      <c r="CT20" s="130"/>
      <c r="CU20" s="190" t="str">
        <f>IFERROR(IF(ISBLANK(DATA!AY20),"",DATA!AY20),"")</f>
        <v/>
      </c>
      <c r="CV20" s="190" t="str">
        <f>IFERROR(IF(ISBLANK(DATA!AZ20),"",DATA!AZ20),"")</f>
        <v/>
      </c>
      <c r="CW20" s="190" t="str">
        <f>IFERROR(IF(ISBLANK(DATA!BA20),"",DATA!BA20),"")</f>
        <v/>
      </c>
      <c r="CX20" s="190" t="str">
        <f>IFERROR(IF(ISBLANK(DATA!BB20),"",DATA!BB20),"")</f>
        <v/>
      </c>
      <c r="CY20" s="97" t="str">
        <f t="shared" si="34"/>
        <v/>
      </c>
      <c r="CZ20" s="106" t="str">
        <f>IFERROR(IF(CY20=0,"",ROUND((CY20/SUM(SETTINGS!$L$14:$L$17))*SETTINGS!$L$18,0)),"")</f>
        <v/>
      </c>
      <c r="DA20" s="190" t="str">
        <f>IFERROR(IF(ISBLANK(DATA!BC20),"",DATA!BC20),"")</f>
        <v/>
      </c>
      <c r="DB20" s="106" t="str">
        <f>IFERROR(IF(ISBLANK(DA20),"",ROUND((DA20/SETTINGS!$L$19)*SETTINGS!$L$20,0)),"")</f>
        <v/>
      </c>
      <c r="DC20" s="106" t="str">
        <f t="shared" si="35"/>
        <v/>
      </c>
      <c r="DD20" s="103" t="str">
        <f t="shared" si="8"/>
        <v/>
      </c>
      <c r="DE20" s="107" t="str">
        <f t="shared" si="36"/>
        <v/>
      </c>
      <c r="DF20" s="103" t="str">
        <f t="shared" si="9"/>
        <v/>
      </c>
      <c r="DG20" s="103" t="str">
        <f>IFERROR(IF(AND(K20,W20,AI20,AU20,BG20,BS20,CE20,CQ20,DC20)="","",SUM(K20,W20,AI20,AU20,LARGE((BG20,BS20,CE20,CQ20,DC20),{1,2}))),"")</f>
        <v/>
      </c>
      <c r="DH20" s="103" t="str">
        <f>IFERROR(IF(AND(M20,Y20,AK20,AW20,,BI20,BU20,CG20,CS20,DE20)="","",SUM(M20,Y20,AK20,AW20,SMALL((BI20,BU20,CG20,CS20,DE20),{1,2}))),"")</f>
        <v/>
      </c>
      <c r="DI20" s="109" t="str">
        <f>IFERROR(IF(ISBLANK($D20),"",pos&amp;IF(AND(MOD(ABS(pos),100)&gt;10,MOD(ABS(pos),100)&lt;14),"th",CHOOSE(MOD(ABS(pos),10)+1,"th","st","nd","rd","th","th","th","th","th","th"))),"")</f>
        <v/>
      </c>
      <c r="DJ20" s="62">
        <f>ROWS($B$12:$B20)</f>
        <v>9</v>
      </c>
      <c r="DK20" s="62" t="str">
        <f>IF($B20=REPORT_CARD!$M$12,$DJ20,"")</f>
        <v/>
      </c>
      <c r="DL20" s="62"/>
      <c r="DM20" s="186"/>
    </row>
    <row r="21" spans="1:117" ht="19.5" customHeight="1">
      <c r="A21" s="187" t="str">
        <f>IFERROR(IF(ISBLANK(DATA!$A21),"",DATA!$A21),"")</f>
        <v/>
      </c>
      <c r="B21" s="187" t="str">
        <f>IFERROR(IF(ISBLANK(DATA!$B21),"",DATA!$B21),"")</f>
        <v/>
      </c>
      <c r="C21" s="190" t="str">
        <f>IFERROR(IF(ISBLANK(DATA!C21),"",DATA!C21),"")</f>
        <v/>
      </c>
      <c r="D21" s="190" t="str">
        <f>IFERROR(IF(ISBLANK(DATA!D21),"",DATA!D21),"")</f>
        <v/>
      </c>
      <c r="E21" s="190" t="str">
        <f>IFERROR(IF(ISBLANK(DATA!E21),"",DATA!E21),"")</f>
        <v/>
      </c>
      <c r="F21" s="190" t="str">
        <f>IFERROR(IF(ISBLANK(DATA!F21),"",DATA!F21),"")</f>
        <v/>
      </c>
      <c r="G21" s="97" t="str">
        <f t="shared" si="37"/>
        <v/>
      </c>
      <c r="H21" s="106" t="str">
        <f>IFERROR(IF(G21=0,"",ROUND((G21/SUM(SETTINGS!$L$14:$L$17))*SETTINGS!$L$18,0)),"")</f>
        <v/>
      </c>
      <c r="I21" s="190" t="str">
        <f>IFERROR(IF(ISBLANK(DATA!G21),"",DATA!G21),"")</f>
        <v/>
      </c>
      <c r="J21" s="106" t="str">
        <f>IFERROR(IF(ISBLANK(I21),"",ROUND((I21/SETTINGS!$L$19)*SETTINGS!$L$20,0)),"")</f>
        <v/>
      </c>
      <c r="K21" s="106" t="str">
        <f t="shared" si="10"/>
        <v/>
      </c>
      <c r="L21" s="103" t="str">
        <f t="shared" si="0"/>
        <v/>
      </c>
      <c r="M21" s="107" t="str">
        <f t="shared" si="11"/>
        <v/>
      </c>
      <c r="N21" s="136"/>
      <c r="O21" s="190" t="str">
        <f>IFERROR(IF(ISBLANK(DATA!I21),"",DATA!I21),"")</f>
        <v/>
      </c>
      <c r="P21" s="190" t="str">
        <f>IFERROR(IF(ISBLANK(DATA!J21),"",DATA!J21),"")</f>
        <v/>
      </c>
      <c r="Q21" s="190" t="str">
        <f>IFERROR(IF(ISBLANK(DATA!K21),"",DATA!K21),"")</f>
        <v/>
      </c>
      <c r="R21" s="190" t="str">
        <f>IFERROR(IF(ISBLANK(DATA!L21),"",DATA!L21),"")</f>
        <v/>
      </c>
      <c r="S21" s="97" t="str">
        <f t="shared" si="12"/>
        <v/>
      </c>
      <c r="T21" s="106" t="str">
        <f>IFERROR(IF(S21=0,"",ROUND((S21/SUM(SETTINGS!$L$14:$L$17))*SETTINGS!$L$18,0)),"")</f>
        <v/>
      </c>
      <c r="U21" s="190" t="str">
        <f>IFERROR(IF(ISBLANK(DATA!M21),"",DATA!M21),"")</f>
        <v/>
      </c>
      <c r="V21" s="106" t="str">
        <f>IFERROR(IF(ISBLANK(U21),"",ROUND((U21/SETTINGS!$L$19)*SETTINGS!$L$20,0)),"")</f>
        <v/>
      </c>
      <c r="W21" s="106" t="str">
        <f t="shared" si="13"/>
        <v/>
      </c>
      <c r="X21" s="103" t="str">
        <f t="shared" si="14"/>
        <v/>
      </c>
      <c r="Y21" s="107" t="str">
        <f t="shared" si="15"/>
        <v/>
      </c>
      <c r="Z21" s="130"/>
      <c r="AA21" s="190" t="str">
        <f>IFERROR(IF(ISBLANK(DATA!O21),"",DATA!O21),"")</f>
        <v/>
      </c>
      <c r="AB21" s="190" t="str">
        <f>IFERROR(IF(ISBLANK(DATA!P21),"",DATA!P21),"")</f>
        <v/>
      </c>
      <c r="AC21" s="190" t="str">
        <f>IFERROR(IF(ISBLANK(DATA!Q21),"",DATA!Q21),"")</f>
        <v/>
      </c>
      <c r="AD21" s="190" t="str">
        <f>IFERROR(IF(ISBLANK(DATA!R21),"",DATA!R21),"")</f>
        <v/>
      </c>
      <c r="AE21" s="97" t="str">
        <f t="shared" si="16"/>
        <v/>
      </c>
      <c r="AF21" s="106" t="str">
        <f>IFERROR(IF(AE21=0,"",ROUND((AE21/SUM(SETTINGS!$L$14:$L$17))*SETTINGS!$L$18,0)),"")</f>
        <v/>
      </c>
      <c r="AG21" s="190" t="str">
        <f>IFERROR(IF(ISBLANK(DATA!S21),"",DATA!S21),"")</f>
        <v/>
      </c>
      <c r="AH21" s="106" t="str">
        <f>IFERROR(IF(ISBLANK(AG21),"",ROUND((AG21/SETTINGS!$L$19)*SETTINGS!$L$20,0)),"")</f>
        <v/>
      </c>
      <c r="AI21" s="106" t="str">
        <f t="shared" si="17"/>
        <v/>
      </c>
      <c r="AJ21" s="103" t="str">
        <f t="shared" si="2"/>
        <v/>
      </c>
      <c r="AK21" s="108" t="str">
        <f t="shared" si="18"/>
        <v/>
      </c>
      <c r="AL21" s="130"/>
      <c r="AM21" s="190" t="str">
        <f>IFERROR(IF(ISBLANK(DATA!U21),"",DATA!U21),"")</f>
        <v/>
      </c>
      <c r="AN21" s="190" t="str">
        <f>IFERROR(IF(ISBLANK(DATA!V21),"",DATA!V21),"")</f>
        <v/>
      </c>
      <c r="AO21" s="190" t="str">
        <f>IFERROR(IF(ISBLANK(DATA!W21),"",DATA!W21),"")</f>
        <v/>
      </c>
      <c r="AP21" s="190" t="str">
        <f>IFERROR(IF(ISBLANK(DATA!X21),"",DATA!X21),"")</f>
        <v/>
      </c>
      <c r="AQ21" s="97" t="str">
        <f t="shared" si="19"/>
        <v/>
      </c>
      <c r="AR21" s="106" t="str">
        <f>IFERROR(IF(AQ21=0,"",ROUND((AQ21/SUM(SETTINGS!$L$14:$L$17))*SETTINGS!$L$18,0)),"")</f>
        <v/>
      </c>
      <c r="AS21" s="190" t="str">
        <f>IFERROR(IF(ISBLANK(DATA!Y21),"",DATA!Y21),"")</f>
        <v/>
      </c>
      <c r="AT21" s="106" t="str">
        <f>IFERROR(IF(ISBLANK(AS21),"",ROUND((AS21/SETTINGS!$L$19)*SETTINGS!$L$20,0)),"")</f>
        <v/>
      </c>
      <c r="AU21" s="106" t="str">
        <f t="shared" si="20"/>
        <v/>
      </c>
      <c r="AV21" s="103" t="str">
        <f t="shared" si="3"/>
        <v/>
      </c>
      <c r="AW21" s="107" t="str">
        <f t="shared" si="21"/>
        <v/>
      </c>
      <c r="AX21" s="130"/>
      <c r="AY21" s="190" t="str">
        <f>IFERROR(IF(ISBLANK(DATA!AA21),"",DATA!AA21),"")</f>
        <v/>
      </c>
      <c r="AZ21" s="190" t="str">
        <f>IFERROR(IF(ISBLANK(DATA!AB21),"",DATA!AB21),"")</f>
        <v/>
      </c>
      <c r="BA21" s="190" t="str">
        <f>IFERROR(IF(ISBLANK(DATA!AC21),"",DATA!AC21),"")</f>
        <v/>
      </c>
      <c r="BB21" s="190" t="str">
        <f>IFERROR(IF(ISBLANK(DATA!AD21),"",DATA!AD21),"")</f>
        <v/>
      </c>
      <c r="BC21" s="97" t="str">
        <f t="shared" si="22"/>
        <v/>
      </c>
      <c r="BD21" s="106" t="str">
        <f>IFERROR(IF(BC21=0,"",ROUND((BC21/SUM(SETTINGS!$L$14:$L$17))*SETTINGS!$L$18,0)),"")</f>
        <v/>
      </c>
      <c r="BE21" s="190" t="str">
        <f>IFERROR(IF(ISBLANK(DATA!AE21),"",DATA!AE21),"")</f>
        <v/>
      </c>
      <c r="BF21" s="106" t="str">
        <f>IFERROR(IF(ISBLANK(BE21),"",ROUND((BE21/SETTINGS!$L$19)*SETTINGS!$L$20,0)),"")</f>
        <v/>
      </c>
      <c r="BG21" s="106" t="str">
        <f t="shared" si="23"/>
        <v/>
      </c>
      <c r="BH21" s="103" t="str">
        <f t="shared" si="4"/>
        <v/>
      </c>
      <c r="BI21" s="108" t="str">
        <f t="shared" si="24"/>
        <v/>
      </c>
      <c r="BJ21" s="130"/>
      <c r="BK21" s="190" t="str">
        <f>IFERROR(IF(ISBLANK(DATA!AG21),"",DATA!AG21),"")</f>
        <v/>
      </c>
      <c r="BL21" s="190" t="str">
        <f>IFERROR(IF(ISBLANK(DATA!AH21),"",DATA!AH21),"")</f>
        <v/>
      </c>
      <c r="BM21" s="190" t="str">
        <f>IFERROR(IF(ISBLANK(DATA!AI21),"",DATA!AI21),"")</f>
        <v/>
      </c>
      <c r="BN21" s="190" t="str">
        <f>IFERROR(IF(ISBLANK(DATA!AJ21),"",DATA!AJ21),"")</f>
        <v/>
      </c>
      <c r="BO21" s="97" t="str">
        <f t="shared" si="25"/>
        <v/>
      </c>
      <c r="BP21" s="106" t="str">
        <f>IFERROR(IF(BO21=0,"",ROUND((BO21/SUM(SETTINGS!$L$14:$L$17))*SETTINGS!$L$18,0)),"")</f>
        <v/>
      </c>
      <c r="BQ21" s="190" t="str">
        <f>IFERROR(IF(ISBLANK(DATA!AK21),"",DATA!AK21),"")</f>
        <v/>
      </c>
      <c r="BR21" s="106" t="str">
        <f>IFERROR(IF(ISBLANK(BQ21),"",ROUND((BQ21/SETTINGS!$L$19)*SETTINGS!$L$20,0)),"")</f>
        <v/>
      </c>
      <c r="BS21" s="106" t="str">
        <f t="shared" si="26"/>
        <v/>
      </c>
      <c r="BT21" s="103" t="str">
        <f t="shared" si="5"/>
        <v/>
      </c>
      <c r="BU21" s="107" t="str">
        <f t="shared" si="27"/>
        <v/>
      </c>
      <c r="BV21" s="130"/>
      <c r="BW21" s="190" t="str">
        <f>IFERROR(IF(ISBLANK(DATA!AM21),"",DATA!AM21),"")</f>
        <v/>
      </c>
      <c r="BX21" s="190" t="str">
        <f>IFERROR(IF(ISBLANK(DATA!AN21),"",DATA!AN21),"")</f>
        <v/>
      </c>
      <c r="BY21" s="190" t="str">
        <f>IFERROR(IF(ISBLANK(DATA!AO21),"",DATA!AO21),"")</f>
        <v/>
      </c>
      <c r="BZ21" s="190" t="str">
        <f>IFERROR(IF(ISBLANK(DATA!AP21),"",DATA!AP21),"")</f>
        <v/>
      </c>
      <c r="CA21" s="97" t="str">
        <f t="shared" si="28"/>
        <v/>
      </c>
      <c r="CB21" s="106" t="str">
        <f>IFERROR(IF(CA21=0,"",ROUND((CA21/SUM(SETTINGS!$L$14:$L$17))*SETTINGS!$L$18,0)),"")</f>
        <v/>
      </c>
      <c r="CC21" s="190" t="str">
        <f>IFERROR(IF(ISBLANK(DATA!AQ21),"",DATA!AQ21),"")</f>
        <v/>
      </c>
      <c r="CD21" s="106" t="str">
        <f>IFERROR(IF(ISBLANK(CC21),"",ROUND((CC21/SETTINGS!$L$19)*SETTINGS!$L$20,0)),"")</f>
        <v/>
      </c>
      <c r="CE21" s="106" t="str">
        <f t="shared" si="29"/>
        <v/>
      </c>
      <c r="CF21" s="103" t="str">
        <f t="shared" si="6"/>
        <v/>
      </c>
      <c r="CG21" s="107" t="str">
        <f t="shared" si="30"/>
        <v/>
      </c>
      <c r="CH21" s="130"/>
      <c r="CI21" s="190" t="str">
        <f>IFERROR(IF(ISBLANK(DATA!AS21),"",DATA!AS21),"")</f>
        <v/>
      </c>
      <c r="CJ21" s="190" t="str">
        <f>IFERROR(IF(ISBLANK(DATA!AT21),"",DATA!AT21),"")</f>
        <v/>
      </c>
      <c r="CK21" s="190" t="str">
        <f>IFERROR(IF(ISBLANK(DATA!AU21),"",DATA!AU21),"")</f>
        <v/>
      </c>
      <c r="CL21" s="190" t="str">
        <f>IFERROR(IF(ISBLANK(DATA!AV21),"",DATA!AV21),"")</f>
        <v/>
      </c>
      <c r="CM21" s="97" t="str">
        <f t="shared" si="31"/>
        <v/>
      </c>
      <c r="CN21" s="106" t="str">
        <f>IFERROR(IF(CM21=0,"",ROUND((CM21/SUM(SETTINGS!$L$14:$L$17))*SETTINGS!$L$18,0)),"")</f>
        <v/>
      </c>
      <c r="CO21" s="190" t="str">
        <f>IFERROR(IF(ISBLANK(DATA!AW21),"",DATA!AW21),"")</f>
        <v/>
      </c>
      <c r="CP21" s="106" t="str">
        <f>IFERROR(IF(ISBLANK(CO21),"",ROUND((CO21/SETTINGS!$L$19)*SETTINGS!$L$20,0)),"")</f>
        <v/>
      </c>
      <c r="CQ21" s="106" t="str">
        <f t="shared" si="32"/>
        <v/>
      </c>
      <c r="CR21" s="103" t="str">
        <f t="shared" si="7"/>
        <v/>
      </c>
      <c r="CS21" s="107" t="str">
        <f t="shared" si="33"/>
        <v/>
      </c>
      <c r="CT21" s="130"/>
      <c r="CU21" s="190" t="str">
        <f>IFERROR(IF(ISBLANK(DATA!AY21),"",DATA!AY21),"")</f>
        <v/>
      </c>
      <c r="CV21" s="190" t="str">
        <f>IFERROR(IF(ISBLANK(DATA!AZ21),"",DATA!AZ21),"")</f>
        <v/>
      </c>
      <c r="CW21" s="190" t="str">
        <f>IFERROR(IF(ISBLANK(DATA!BA21),"",DATA!BA21),"")</f>
        <v/>
      </c>
      <c r="CX21" s="190" t="str">
        <f>IFERROR(IF(ISBLANK(DATA!BB21),"",DATA!BB21),"")</f>
        <v/>
      </c>
      <c r="CY21" s="97" t="str">
        <f t="shared" si="34"/>
        <v/>
      </c>
      <c r="CZ21" s="106" t="str">
        <f>IFERROR(IF(CY21=0,"",ROUND((CY21/SUM(SETTINGS!$L$14:$L$17))*SETTINGS!$L$18,0)),"")</f>
        <v/>
      </c>
      <c r="DA21" s="190" t="str">
        <f>IFERROR(IF(ISBLANK(DATA!BC21),"",DATA!BC21),"")</f>
        <v/>
      </c>
      <c r="DB21" s="106" t="str">
        <f>IFERROR(IF(ISBLANK(DA21),"",ROUND((DA21/SETTINGS!$L$19)*SETTINGS!$L$20,0)),"")</f>
        <v/>
      </c>
      <c r="DC21" s="106" t="str">
        <f t="shared" si="35"/>
        <v/>
      </c>
      <c r="DD21" s="103" t="str">
        <f t="shared" si="8"/>
        <v/>
      </c>
      <c r="DE21" s="107" t="str">
        <f t="shared" si="36"/>
        <v/>
      </c>
      <c r="DF21" s="103" t="str">
        <f t="shared" si="9"/>
        <v/>
      </c>
      <c r="DG21" s="103" t="str">
        <f>IFERROR(IF(AND(K21,W21,AI21,AU21,BG21,BS21,CE21,CQ21,DC21)="","",SUM(K21,W21,AI21,AU21,LARGE((BG21,BS21,CE21,CQ21,DC21),{1,2}))),"")</f>
        <v/>
      </c>
      <c r="DH21" s="103" t="str">
        <f>IFERROR(IF(AND(M21,Y21,AK21,AW21,,BI21,BU21,CG21,CS21,DE21)="","",SUM(M21,Y21,AK21,AW21,SMALL((BI21,BU21,CG21,CS21,DE21),{1,2}))),"")</f>
        <v/>
      </c>
      <c r="DI21" s="109" t="str">
        <f>IFERROR(IF(ISBLANK($D21),"",pos&amp;IF(AND(MOD(ABS(pos),100)&gt;10,MOD(ABS(pos),100)&lt;14),"th",CHOOSE(MOD(ABS(pos),10)+1,"th","st","nd","rd","th","th","th","th","th","th"))),"")</f>
        <v/>
      </c>
      <c r="DJ21" s="62">
        <f>ROWS($B$12:$B21)</f>
        <v>10</v>
      </c>
      <c r="DK21" s="62" t="str">
        <f>IF($B21=REPORT_CARD!$M$12,$DJ21,"")</f>
        <v/>
      </c>
      <c r="DL21" s="62"/>
      <c r="DM21" s="186"/>
    </row>
    <row r="22" spans="1:117" ht="19.5" customHeight="1">
      <c r="A22" s="187" t="str">
        <f>IFERROR(IF(ISBLANK(DATA!$A22),"",DATA!$A22),"")</f>
        <v/>
      </c>
      <c r="B22" s="187" t="str">
        <f>IFERROR(IF(ISBLANK(DATA!$B22),"",DATA!$B22),"")</f>
        <v/>
      </c>
      <c r="C22" s="190" t="str">
        <f>IFERROR(IF(ISBLANK(DATA!C22),"",DATA!C22),"")</f>
        <v/>
      </c>
      <c r="D22" s="190" t="str">
        <f>IFERROR(IF(ISBLANK(DATA!D22),"",DATA!D22),"")</f>
        <v/>
      </c>
      <c r="E22" s="190" t="str">
        <f>IFERROR(IF(ISBLANK(DATA!E22),"",DATA!E22),"")</f>
        <v/>
      </c>
      <c r="F22" s="190" t="str">
        <f>IFERROR(IF(ISBLANK(DATA!F22),"",DATA!F22),"")</f>
        <v/>
      </c>
      <c r="G22" s="97" t="str">
        <f t="shared" si="37"/>
        <v/>
      </c>
      <c r="H22" s="106" t="str">
        <f>IFERROR(IF(G22=0,"",ROUND((G22/SUM(SETTINGS!$L$14:$L$17))*SETTINGS!$L$18,0)),"")</f>
        <v/>
      </c>
      <c r="I22" s="190" t="str">
        <f>IFERROR(IF(ISBLANK(DATA!G22),"",DATA!G22),"")</f>
        <v/>
      </c>
      <c r="J22" s="106" t="str">
        <f>IFERROR(IF(ISBLANK(I22),"",ROUND((I22/SETTINGS!$L$19)*SETTINGS!$L$20,0)),"")</f>
        <v/>
      </c>
      <c r="K22" s="106" t="str">
        <f t="shared" si="10"/>
        <v/>
      </c>
      <c r="L22" s="103" t="str">
        <f t="shared" si="0"/>
        <v/>
      </c>
      <c r="M22" s="107" t="str">
        <f t="shared" si="11"/>
        <v/>
      </c>
      <c r="N22" s="136"/>
      <c r="O22" s="190" t="str">
        <f>IFERROR(IF(ISBLANK(DATA!I22),"",DATA!I22),"")</f>
        <v/>
      </c>
      <c r="P22" s="190" t="str">
        <f>IFERROR(IF(ISBLANK(DATA!J22),"",DATA!J22),"")</f>
        <v/>
      </c>
      <c r="Q22" s="190" t="str">
        <f>IFERROR(IF(ISBLANK(DATA!K22),"",DATA!K22),"")</f>
        <v/>
      </c>
      <c r="R22" s="190" t="str">
        <f>IFERROR(IF(ISBLANK(DATA!L22),"",DATA!L22),"")</f>
        <v/>
      </c>
      <c r="S22" s="97" t="str">
        <f t="shared" si="12"/>
        <v/>
      </c>
      <c r="T22" s="106" t="str">
        <f>IFERROR(IF(S22=0,"",ROUND((S22/SUM(SETTINGS!$L$14:$L$17))*SETTINGS!$L$18,0)),"")</f>
        <v/>
      </c>
      <c r="U22" s="190" t="str">
        <f>IFERROR(IF(ISBLANK(DATA!M22),"",DATA!M22),"")</f>
        <v/>
      </c>
      <c r="V22" s="106" t="str">
        <f>IFERROR(IF(ISBLANK(U22),"",ROUND((U22/SETTINGS!$L$19)*SETTINGS!$L$20,0)),"")</f>
        <v/>
      </c>
      <c r="W22" s="106" t="str">
        <f t="shared" si="13"/>
        <v/>
      </c>
      <c r="X22" s="103" t="str">
        <f t="shared" si="14"/>
        <v/>
      </c>
      <c r="Y22" s="107" t="str">
        <f t="shared" si="15"/>
        <v/>
      </c>
      <c r="Z22" s="130"/>
      <c r="AA22" s="190" t="str">
        <f>IFERROR(IF(ISBLANK(DATA!O22),"",DATA!O22),"")</f>
        <v/>
      </c>
      <c r="AB22" s="190" t="str">
        <f>IFERROR(IF(ISBLANK(DATA!P22),"",DATA!P22),"")</f>
        <v/>
      </c>
      <c r="AC22" s="190" t="str">
        <f>IFERROR(IF(ISBLANK(DATA!Q22),"",DATA!Q22),"")</f>
        <v/>
      </c>
      <c r="AD22" s="190" t="str">
        <f>IFERROR(IF(ISBLANK(DATA!R22),"",DATA!R22),"")</f>
        <v/>
      </c>
      <c r="AE22" s="97" t="str">
        <f t="shared" si="16"/>
        <v/>
      </c>
      <c r="AF22" s="106" t="str">
        <f>IFERROR(IF(AE22=0,"",ROUND((AE22/SUM(SETTINGS!$L$14:$L$17))*SETTINGS!$L$18,0)),"")</f>
        <v/>
      </c>
      <c r="AG22" s="190" t="str">
        <f>IFERROR(IF(ISBLANK(DATA!S22),"",DATA!S22),"")</f>
        <v/>
      </c>
      <c r="AH22" s="106" t="str">
        <f>IFERROR(IF(ISBLANK(AG22),"",ROUND((AG22/SETTINGS!$L$19)*SETTINGS!$L$20,0)),"")</f>
        <v/>
      </c>
      <c r="AI22" s="106" t="str">
        <f t="shared" si="17"/>
        <v/>
      </c>
      <c r="AJ22" s="103" t="str">
        <f t="shared" si="2"/>
        <v/>
      </c>
      <c r="AK22" s="108" t="str">
        <f t="shared" si="18"/>
        <v/>
      </c>
      <c r="AL22" s="130"/>
      <c r="AM22" s="190" t="str">
        <f>IFERROR(IF(ISBLANK(DATA!U22),"",DATA!U22),"")</f>
        <v/>
      </c>
      <c r="AN22" s="190" t="str">
        <f>IFERROR(IF(ISBLANK(DATA!V22),"",DATA!V22),"")</f>
        <v/>
      </c>
      <c r="AO22" s="190" t="str">
        <f>IFERROR(IF(ISBLANK(DATA!W22),"",DATA!W22),"")</f>
        <v/>
      </c>
      <c r="AP22" s="190" t="str">
        <f>IFERROR(IF(ISBLANK(DATA!X22),"",DATA!X22),"")</f>
        <v/>
      </c>
      <c r="AQ22" s="97" t="str">
        <f t="shared" si="19"/>
        <v/>
      </c>
      <c r="AR22" s="106" t="str">
        <f>IFERROR(IF(AQ22=0,"",ROUND((AQ22/SUM(SETTINGS!$L$14:$L$17))*SETTINGS!$L$18,0)),"")</f>
        <v/>
      </c>
      <c r="AS22" s="190" t="str">
        <f>IFERROR(IF(ISBLANK(DATA!Y22),"",DATA!Y22),"")</f>
        <v/>
      </c>
      <c r="AT22" s="106" t="str">
        <f>IFERROR(IF(ISBLANK(AS22),"",ROUND((AS22/SETTINGS!$L$19)*SETTINGS!$L$20,0)),"")</f>
        <v/>
      </c>
      <c r="AU22" s="106" t="str">
        <f t="shared" si="20"/>
        <v/>
      </c>
      <c r="AV22" s="103" t="str">
        <f t="shared" si="3"/>
        <v/>
      </c>
      <c r="AW22" s="107" t="str">
        <f t="shared" si="21"/>
        <v/>
      </c>
      <c r="AX22" s="130"/>
      <c r="AY22" s="190" t="str">
        <f>IFERROR(IF(ISBLANK(DATA!AA22),"",DATA!AA22),"")</f>
        <v/>
      </c>
      <c r="AZ22" s="190" t="str">
        <f>IFERROR(IF(ISBLANK(DATA!AB22),"",DATA!AB22),"")</f>
        <v/>
      </c>
      <c r="BA22" s="190" t="str">
        <f>IFERROR(IF(ISBLANK(DATA!AC22),"",DATA!AC22),"")</f>
        <v/>
      </c>
      <c r="BB22" s="190" t="str">
        <f>IFERROR(IF(ISBLANK(DATA!AD22),"",DATA!AD22),"")</f>
        <v/>
      </c>
      <c r="BC22" s="97" t="str">
        <f t="shared" si="22"/>
        <v/>
      </c>
      <c r="BD22" s="106" t="str">
        <f>IFERROR(IF(BC22=0,"",ROUND((BC22/SUM(SETTINGS!$L$14:$L$17))*SETTINGS!$L$18,0)),"")</f>
        <v/>
      </c>
      <c r="BE22" s="190" t="str">
        <f>IFERROR(IF(ISBLANK(DATA!AE22),"",DATA!AE22),"")</f>
        <v/>
      </c>
      <c r="BF22" s="106" t="str">
        <f>IFERROR(IF(ISBLANK(BE22),"",ROUND((BE22/SETTINGS!$L$19)*SETTINGS!$L$20,0)),"")</f>
        <v/>
      </c>
      <c r="BG22" s="106" t="str">
        <f t="shared" si="23"/>
        <v/>
      </c>
      <c r="BH22" s="103" t="str">
        <f t="shared" si="4"/>
        <v/>
      </c>
      <c r="BI22" s="108" t="str">
        <f t="shared" si="24"/>
        <v/>
      </c>
      <c r="BJ22" s="130"/>
      <c r="BK22" s="190" t="str">
        <f>IFERROR(IF(ISBLANK(DATA!AG22),"",DATA!AG22),"")</f>
        <v/>
      </c>
      <c r="BL22" s="190" t="str">
        <f>IFERROR(IF(ISBLANK(DATA!AH22),"",DATA!AH22),"")</f>
        <v/>
      </c>
      <c r="BM22" s="190" t="str">
        <f>IFERROR(IF(ISBLANK(DATA!AI22),"",DATA!AI22),"")</f>
        <v/>
      </c>
      <c r="BN22" s="190" t="str">
        <f>IFERROR(IF(ISBLANK(DATA!AJ22),"",DATA!AJ22),"")</f>
        <v/>
      </c>
      <c r="BO22" s="97" t="str">
        <f t="shared" si="25"/>
        <v/>
      </c>
      <c r="BP22" s="106" t="str">
        <f>IFERROR(IF(BO22=0,"",ROUND((BO22/SUM(SETTINGS!$L$14:$L$17))*SETTINGS!$L$18,0)),"")</f>
        <v/>
      </c>
      <c r="BQ22" s="190" t="str">
        <f>IFERROR(IF(ISBLANK(DATA!AK22),"",DATA!AK22),"")</f>
        <v/>
      </c>
      <c r="BR22" s="106" t="str">
        <f>IFERROR(IF(ISBLANK(BQ22),"",ROUND((BQ22/SETTINGS!$L$19)*SETTINGS!$L$20,0)),"")</f>
        <v/>
      </c>
      <c r="BS22" s="106" t="str">
        <f t="shared" si="26"/>
        <v/>
      </c>
      <c r="BT22" s="103" t="str">
        <f t="shared" si="5"/>
        <v/>
      </c>
      <c r="BU22" s="107" t="str">
        <f t="shared" si="27"/>
        <v/>
      </c>
      <c r="BV22" s="130"/>
      <c r="BW22" s="190" t="str">
        <f>IFERROR(IF(ISBLANK(DATA!AM22),"",DATA!AM22),"")</f>
        <v/>
      </c>
      <c r="BX22" s="190" t="str">
        <f>IFERROR(IF(ISBLANK(DATA!AN22),"",DATA!AN22),"")</f>
        <v/>
      </c>
      <c r="BY22" s="190" t="str">
        <f>IFERROR(IF(ISBLANK(DATA!AO22),"",DATA!AO22),"")</f>
        <v/>
      </c>
      <c r="BZ22" s="190" t="str">
        <f>IFERROR(IF(ISBLANK(DATA!AP22),"",DATA!AP22),"")</f>
        <v/>
      </c>
      <c r="CA22" s="97" t="str">
        <f t="shared" si="28"/>
        <v/>
      </c>
      <c r="CB22" s="106" t="str">
        <f>IFERROR(IF(CA22=0,"",ROUND((CA22/SUM(SETTINGS!$L$14:$L$17))*SETTINGS!$L$18,0)),"")</f>
        <v/>
      </c>
      <c r="CC22" s="190" t="str">
        <f>IFERROR(IF(ISBLANK(DATA!AQ22),"",DATA!AQ22),"")</f>
        <v/>
      </c>
      <c r="CD22" s="106" t="str">
        <f>IFERROR(IF(ISBLANK(CC22),"",ROUND((CC22/SETTINGS!$L$19)*SETTINGS!$L$20,0)),"")</f>
        <v/>
      </c>
      <c r="CE22" s="106" t="str">
        <f t="shared" si="29"/>
        <v/>
      </c>
      <c r="CF22" s="103" t="str">
        <f t="shared" si="6"/>
        <v/>
      </c>
      <c r="CG22" s="107" t="str">
        <f t="shared" si="30"/>
        <v/>
      </c>
      <c r="CH22" s="130"/>
      <c r="CI22" s="190" t="str">
        <f>IFERROR(IF(ISBLANK(DATA!AS22),"",DATA!AS22),"")</f>
        <v/>
      </c>
      <c r="CJ22" s="190" t="str">
        <f>IFERROR(IF(ISBLANK(DATA!AT22),"",DATA!AT22),"")</f>
        <v/>
      </c>
      <c r="CK22" s="190" t="str">
        <f>IFERROR(IF(ISBLANK(DATA!AU22),"",DATA!AU22),"")</f>
        <v/>
      </c>
      <c r="CL22" s="190" t="str">
        <f>IFERROR(IF(ISBLANK(DATA!AV22),"",DATA!AV22),"")</f>
        <v/>
      </c>
      <c r="CM22" s="97" t="str">
        <f t="shared" si="31"/>
        <v/>
      </c>
      <c r="CN22" s="106" t="str">
        <f>IFERROR(IF(CM22=0,"",ROUND((CM22/SUM(SETTINGS!$L$14:$L$17))*SETTINGS!$L$18,0)),"")</f>
        <v/>
      </c>
      <c r="CO22" s="190" t="str">
        <f>IFERROR(IF(ISBLANK(DATA!AW22),"",DATA!AW22),"")</f>
        <v/>
      </c>
      <c r="CP22" s="106" t="str">
        <f>IFERROR(IF(ISBLANK(CO22),"",ROUND((CO22/SETTINGS!$L$19)*SETTINGS!$L$20,0)),"")</f>
        <v/>
      </c>
      <c r="CQ22" s="106" t="str">
        <f t="shared" si="32"/>
        <v/>
      </c>
      <c r="CR22" s="103" t="str">
        <f t="shared" si="7"/>
        <v/>
      </c>
      <c r="CS22" s="107" t="str">
        <f t="shared" si="33"/>
        <v/>
      </c>
      <c r="CT22" s="130"/>
      <c r="CU22" s="190" t="str">
        <f>IFERROR(IF(ISBLANK(DATA!AY22),"",DATA!AY22),"")</f>
        <v/>
      </c>
      <c r="CV22" s="190" t="str">
        <f>IFERROR(IF(ISBLANK(DATA!AZ22),"",DATA!AZ22),"")</f>
        <v/>
      </c>
      <c r="CW22" s="190" t="str">
        <f>IFERROR(IF(ISBLANK(DATA!BA22),"",DATA!BA22),"")</f>
        <v/>
      </c>
      <c r="CX22" s="190" t="str">
        <f>IFERROR(IF(ISBLANK(DATA!BB22),"",DATA!BB22),"")</f>
        <v/>
      </c>
      <c r="CY22" s="97" t="str">
        <f t="shared" si="34"/>
        <v/>
      </c>
      <c r="CZ22" s="106" t="str">
        <f>IFERROR(IF(CY22=0,"",ROUND((CY22/SUM(SETTINGS!$L$14:$L$17))*SETTINGS!$L$18,0)),"")</f>
        <v/>
      </c>
      <c r="DA22" s="190" t="str">
        <f>IFERROR(IF(ISBLANK(DATA!BC22),"",DATA!BC22),"")</f>
        <v/>
      </c>
      <c r="DB22" s="106" t="str">
        <f>IFERROR(IF(ISBLANK(DA22),"",ROUND((DA22/SETTINGS!$L$19)*SETTINGS!$L$20,0)),"")</f>
        <v/>
      </c>
      <c r="DC22" s="106" t="str">
        <f t="shared" si="35"/>
        <v/>
      </c>
      <c r="DD22" s="103" t="str">
        <f t="shared" si="8"/>
        <v/>
      </c>
      <c r="DE22" s="107" t="str">
        <f t="shared" si="36"/>
        <v/>
      </c>
      <c r="DF22" s="103" t="str">
        <f t="shared" si="9"/>
        <v/>
      </c>
      <c r="DG22" s="103" t="str">
        <f>IFERROR(IF(AND(K22,W22,AI22,AU22,BG22,BS22,CE22,CQ22,DC22)="","",SUM(K22,W22,AI22,AU22,LARGE((BG22,BS22,CE22,CQ22,DC22),{1,2}))),"")</f>
        <v/>
      </c>
      <c r="DH22" s="103" t="str">
        <f>IFERROR(IF(AND(M22,Y22,AK22,AW22,,BI22,BU22,CG22,CS22,DE22)="","",SUM(M22,Y22,AK22,AW22,SMALL((BI22,BU22,CG22,CS22,DE22),{1,2}))),"")</f>
        <v/>
      </c>
      <c r="DI22" s="109" t="str">
        <f>IFERROR(IF(ISBLANK($D22),"",pos&amp;IF(AND(MOD(ABS(pos),100)&gt;10,MOD(ABS(pos),100)&lt;14),"th",CHOOSE(MOD(ABS(pos),10)+1,"th","st","nd","rd","th","th","th","th","th","th"))),"")</f>
        <v/>
      </c>
      <c r="DJ22" s="62">
        <f>ROWS($B$12:$B22)</f>
        <v>11</v>
      </c>
      <c r="DK22" s="62" t="str">
        <f>IF($B22=REPORT_CARD!$M$12,$DJ22,"")</f>
        <v/>
      </c>
      <c r="DL22" s="62"/>
      <c r="DM22" s="186"/>
    </row>
    <row r="23" spans="1:117" ht="19.5" customHeight="1">
      <c r="A23" s="187" t="str">
        <f>IFERROR(IF(ISBLANK(DATA!$A23),"",DATA!$A23),"")</f>
        <v/>
      </c>
      <c r="B23" s="187" t="str">
        <f>IFERROR(IF(ISBLANK(DATA!$B23),"",DATA!$B23),"")</f>
        <v/>
      </c>
      <c r="C23" s="190" t="str">
        <f>IFERROR(IF(ISBLANK(DATA!C23),"",DATA!C23),"")</f>
        <v/>
      </c>
      <c r="D23" s="190" t="str">
        <f>IFERROR(IF(ISBLANK(DATA!D23),"",DATA!D23),"")</f>
        <v/>
      </c>
      <c r="E23" s="190" t="str">
        <f>IFERROR(IF(ISBLANK(DATA!E23),"",DATA!E23),"")</f>
        <v/>
      </c>
      <c r="F23" s="190" t="str">
        <f>IFERROR(IF(ISBLANK(DATA!F23),"",DATA!F23),"")</f>
        <v/>
      </c>
      <c r="G23" s="97" t="str">
        <f t="shared" si="37"/>
        <v/>
      </c>
      <c r="H23" s="106" t="str">
        <f>IFERROR(IF(G23=0,"",ROUND((G23/SUM(SETTINGS!$L$14:$L$17))*SETTINGS!$L$18,0)),"")</f>
        <v/>
      </c>
      <c r="I23" s="190" t="str">
        <f>IFERROR(IF(ISBLANK(DATA!G23),"",DATA!G23),"")</f>
        <v/>
      </c>
      <c r="J23" s="106" t="str">
        <f>IFERROR(IF(ISBLANK(I23),"",ROUND((I23/SETTINGS!$L$19)*SETTINGS!$L$20,0)),"")</f>
        <v/>
      </c>
      <c r="K23" s="106" t="str">
        <f t="shared" si="10"/>
        <v/>
      </c>
      <c r="L23" s="103" t="str">
        <f t="shared" si="0"/>
        <v/>
      </c>
      <c r="M23" s="107" t="str">
        <f t="shared" si="11"/>
        <v/>
      </c>
      <c r="N23" s="136"/>
      <c r="O23" s="190" t="str">
        <f>IFERROR(IF(ISBLANK(DATA!I23),"",DATA!I23),"")</f>
        <v/>
      </c>
      <c r="P23" s="190" t="str">
        <f>IFERROR(IF(ISBLANK(DATA!J23),"",DATA!J23),"")</f>
        <v/>
      </c>
      <c r="Q23" s="190" t="str">
        <f>IFERROR(IF(ISBLANK(DATA!K23),"",DATA!K23),"")</f>
        <v/>
      </c>
      <c r="R23" s="190" t="str">
        <f>IFERROR(IF(ISBLANK(DATA!L23),"",DATA!L23),"")</f>
        <v/>
      </c>
      <c r="S23" s="97" t="str">
        <f t="shared" si="12"/>
        <v/>
      </c>
      <c r="T23" s="106" t="str">
        <f>IFERROR(IF(S23=0,"",ROUND((S23/SUM(SETTINGS!$L$14:$L$17))*SETTINGS!$L$18,0)),"")</f>
        <v/>
      </c>
      <c r="U23" s="190" t="str">
        <f>IFERROR(IF(ISBLANK(DATA!M23),"",DATA!M23),"")</f>
        <v/>
      </c>
      <c r="V23" s="106" t="str">
        <f>IFERROR(IF(ISBLANK(U23),"",ROUND((U23/SETTINGS!$L$19)*SETTINGS!$L$20,0)),"")</f>
        <v/>
      </c>
      <c r="W23" s="106" t="str">
        <f t="shared" si="13"/>
        <v/>
      </c>
      <c r="X23" s="103" t="str">
        <f t="shared" si="14"/>
        <v/>
      </c>
      <c r="Y23" s="107" t="str">
        <f t="shared" si="15"/>
        <v/>
      </c>
      <c r="Z23" s="130"/>
      <c r="AA23" s="190" t="str">
        <f>IFERROR(IF(ISBLANK(DATA!O23),"",DATA!O23),"")</f>
        <v/>
      </c>
      <c r="AB23" s="190" t="str">
        <f>IFERROR(IF(ISBLANK(DATA!P23),"",DATA!P23),"")</f>
        <v/>
      </c>
      <c r="AC23" s="190" t="str">
        <f>IFERROR(IF(ISBLANK(DATA!Q23),"",DATA!Q23),"")</f>
        <v/>
      </c>
      <c r="AD23" s="190" t="str">
        <f>IFERROR(IF(ISBLANK(DATA!R23),"",DATA!R23),"")</f>
        <v/>
      </c>
      <c r="AE23" s="97" t="str">
        <f t="shared" si="16"/>
        <v/>
      </c>
      <c r="AF23" s="106" t="str">
        <f>IFERROR(IF(AE23=0,"",ROUND((AE23/SUM(SETTINGS!$L$14:$L$17))*SETTINGS!$L$18,0)),"")</f>
        <v/>
      </c>
      <c r="AG23" s="190" t="str">
        <f>IFERROR(IF(ISBLANK(DATA!S23),"",DATA!S23),"")</f>
        <v/>
      </c>
      <c r="AH23" s="106" t="str">
        <f>IFERROR(IF(ISBLANK(AG23),"",ROUND((AG23/SETTINGS!$L$19)*SETTINGS!$L$20,0)),"")</f>
        <v/>
      </c>
      <c r="AI23" s="106" t="str">
        <f t="shared" si="17"/>
        <v/>
      </c>
      <c r="AJ23" s="103" t="str">
        <f t="shared" si="2"/>
        <v/>
      </c>
      <c r="AK23" s="108" t="str">
        <f t="shared" si="18"/>
        <v/>
      </c>
      <c r="AL23" s="130"/>
      <c r="AM23" s="190" t="str">
        <f>IFERROR(IF(ISBLANK(DATA!U23),"",DATA!U23),"")</f>
        <v/>
      </c>
      <c r="AN23" s="190" t="str">
        <f>IFERROR(IF(ISBLANK(DATA!V23),"",DATA!V23),"")</f>
        <v/>
      </c>
      <c r="AO23" s="190" t="str">
        <f>IFERROR(IF(ISBLANK(DATA!W23),"",DATA!W23),"")</f>
        <v/>
      </c>
      <c r="AP23" s="190" t="str">
        <f>IFERROR(IF(ISBLANK(DATA!X23),"",DATA!X23),"")</f>
        <v/>
      </c>
      <c r="AQ23" s="97" t="str">
        <f t="shared" si="19"/>
        <v/>
      </c>
      <c r="AR23" s="106" t="str">
        <f>IFERROR(IF(AQ23=0,"",ROUND((AQ23/SUM(SETTINGS!$L$14:$L$17))*SETTINGS!$L$18,0)),"")</f>
        <v/>
      </c>
      <c r="AS23" s="190" t="str">
        <f>IFERROR(IF(ISBLANK(DATA!Y23),"",DATA!Y23),"")</f>
        <v/>
      </c>
      <c r="AT23" s="106" t="str">
        <f>IFERROR(IF(ISBLANK(AS23),"",ROUND((AS23/SETTINGS!$L$19)*SETTINGS!$L$20,0)),"")</f>
        <v/>
      </c>
      <c r="AU23" s="106" t="str">
        <f t="shared" si="20"/>
        <v/>
      </c>
      <c r="AV23" s="103" t="str">
        <f t="shared" si="3"/>
        <v/>
      </c>
      <c r="AW23" s="107" t="str">
        <f t="shared" si="21"/>
        <v/>
      </c>
      <c r="AX23" s="130"/>
      <c r="AY23" s="190" t="str">
        <f>IFERROR(IF(ISBLANK(DATA!AA23),"",DATA!AA23),"")</f>
        <v/>
      </c>
      <c r="AZ23" s="190" t="str">
        <f>IFERROR(IF(ISBLANK(DATA!AB23),"",DATA!AB23),"")</f>
        <v/>
      </c>
      <c r="BA23" s="190" t="str">
        <f>IFERROR(IF(ISBLANK(DATA!AC23),"",DATA!AC23),"")</f>
        <v/>
      </c>
      <c r="BB23" s="190" t="str">
        <f>IFERROR(IF(ISBLANK(DATA!AD23),"",DATA!AD23),"")</f>
        <v/>
      </c>
      <c r="BC23" s="97" t="str">
        <f t="shared" si="22"/>
        <v/>
      </c>
      <c r="BD23" s="106" t="str">
        <f>IFERROR(IF(BC23=0,"",ROUND((BC23/SUM(SETTINGS!$L$14:$L$17))*SETTINGS!$L$18,0)),"")</f>
        <v/>
      </c>
      <c r="BE23" s="190" t="str">
        <f>IFERROR(IF(ISBLANK(DATA!AE23),"",DATA!AE23),"")</f>
        <v/>
      </c>
      <c r="BF23" s="106" t="str">
        <f>IFERROR(IF(ISBLANK(BE23),"",ROUND((BE23/SETTINGS!$L$19)*SETTINGS!$L$20,0)),"")</f>
        <v/>
      </c>
      <c r="BG23" s="106" t="str">
        <f t="shared" si="23"/>
        <v/>
      </c>
      <c r="BH23" s="103" t="str">
        <f t="shared" si="4"/>
        <v/>
      </c>
      <c r="BI23" s="108" t="str">
        <f t="shared" si="24"/>
        <v/>
      </c>
      <c r="BJ23" s="130"/>
      <c r="BK23" s="190" t="str">
        <f>IFERROR(IF(ISBLANK(DATA!AG23),"",DATA!AG23),"")</f>
        <v/>
      </c>
      <c r="BL23" s="190" t="str">
        <f>IFERROR(IF(ISBLANK(DATA!AH23),"",DATA!AH23),"")</f>
        <v/>
      </c>
      <c r="BM23" s="190" t="str">
        <f>IFERROR(IF(ISBLANK(DATA!AI23),"",DATA!AI23),"")</f>
        <v/>
      </c>
      <c r="BN23" s="190" t="str">
        <f>IFERROR(IF(ISBLANK(DATA!AJ23),"",DATA!AJ23),"")</f>
        <v/>
      </c>
      <c r="BO23" s="97" t="str">
        <f t="shared" si="25"/>
        <v/>
      </c>
      <c r="BP23" s="106" t="str">
        <f>IFERROR(IF(BO23=0,"",ROUND((BO23/SUM(SETTINGS!$L$14:$L$17))*SETTINGS!$L$18,0)),"")</f>
        <v/>
      </c>
      <c r="BQ23" s="190" t="str">
        <f>IFERROR(IF(ISBLANK(DATA!AK23),"",DATA!AK23),"")</f>
        <v/>
      </c>
      <c r="BR23" s="106" t="str">
        <f>IFERROR(IF(ISBLANK(BQ23),"",ROUND((BQ23/SETTINGS!$L$19)*SETTINGS!$L$20,0)),"")</f>
        <v/>
      </c>
      <c r="BS23" s="106" t="str">
        <f t="shared" si="26"/>
        <v/>
      </c>
      <c r="BT23" s="103" t="str">
        <f t="shared" si="5"/>
        <v/>
      </c>
      <c r="BU23" s="107" t="str">
        <f t="shared" si="27"/>
        <v/>
      </c>
      <c r="BV23" s="130"/>
      <c r="BW23" s="190" t="str">
        <f>IFERROR(IF(ISBLANK(DATA!AM23),"",DATA!AM23),"")</f>
        <v/>
      </c>
      <c r="BX23" s="190" t="str">
        <f>IFERROR(IF(ISBLANK(DATA!AN23),"",DATA!AN23),"")</f>
        <v/>
      </c>
      <c r="BY23" s="190" t="str">
        <f>IFERROR(IF(ISBLANK(DATA!AO23),"",DATA!AO23),"")</f>
        <v/>
      </c>
      <c r="BZ23" s="190" t="str">
        <f>IFERROR(IF(ISBLANK(DATA!AP23),"",DATA!AP23),"")</f>
        <v/>
      </c>
      <c r="CA23" s="97" t="str">
        <f t="shared" si="28"/>
        <v/>
      </c>
      <c r="CB23" s="106" t="str">
        <f>IFERROR(IF(CA23=0,"",ROUND((CA23/SUM(SETTINGS!$L$14:$L$17))*SETTINGS!$L$18,0)),"")</f>
        <v/>
      </c>
      <c r="CC23" s="190" t="str">
        <f>IFERROR(IF(ISBLANK(DATA!AQ23),"",DATA!AQ23),"")</f>
        <v/>
      </c>
      <c r="CD23" s="106" t="str">
        <f>IFERROR(IF(ISBLANK(CC23),"",ROUND((CC23/SETTINGS!$L$19)*SETTINGS!$L$20,0)),"")</f>
        <v/>
      </c>
      <c r="CE23" s="106" t="str">
        <f t="shared" si="29"/>
        <v/>
      </c>
      <c r="CF23" s="103" t="str">
        <f t="shared" si="6"/>
        <v/>
      </c>
      <c r="CG23" s="107" t="str">
        <f t="shared" si="30"/>
        <v/>
      </c>
      <c r="CH23" s="130"/>
      <c r="CI23" s="190" t="str">
        <f>IFERROR(IF(ISBLANK(DATA!AS23),"",DATA!AS23),"")</f>
        <v/>
      </c>
      <c r="CJ23" s="190" t="str">
        <f>IFERROR(IF(ISBLANK(DATA!AT23),"",DATA!AT23),"")</f>
        <v/>
      </c>
      <c r="CK23" s="190" t="str">
        <f>IFERROR(IF(ISBLANK(DATA!AU23),"",DATA!AU23),"")</f>
        <v/>
      </c>
      <c r="CL23" s="190" t="str">
        <f>IFERROR(IF(ISBLANK(DATA!AV23),"",DATA!AV23),"")</f>
        <v/>
      </c>
      <c r="CM23" s="97" t="str">
        <f t="shared" si="31"/>
        <v/>
      </c>
      <c r="CN23" s="106" t="str">
        <f>IFERROR(IF(CM23=0,"",ROUND((CM23/SUM(SETTINGS!$L$14:$L$17))*SETTINGS!$L$18,0)),"")</f>
        <v/>
      </c>
      <c r="CO23" s="190" t="str">
        <f>IFERROR(IF(ISBLANK(DATA!AW23),"",DATA!AW23),"")</f>
        <v/>
      </c>
      <c r="CP23" s="106" t="str">
        <f>IFERROR(IF(ISBLANK(CO23),"",ROUND((CO23/SETTINGS!$L$19)*SETTINGS!$L$20,0)),"")</f>
        <v/>
      </c>
      <c r="CQ23" s="106" t="str">
        <f t="shared" si="32"/>
        <v/>
      </c>
      <c r="CR23" s="103" t="str">
        <f t="shared" si="7"/>
        <v/>
      </c>
      <c r="CS23" s="107" t="str">
        <f t="shared" si="33"/>
        <v/>
      </c>
      <c r="CT23" s="130"/>
      <c r="CU23" s="190" t="str">
        <f>IFERROR(IF(ISBLANK(DATA!AY23),"",DATA!AY23),"")</f>
        <v/>
      </c>
      <c r="CV23" s="190" t="str">
        <f>IFERROR(IF(ISBLANK(DATA!AZ23),"",DATA!AZ23),"")</f>
        <v/>
      </c>
      <c r="CW23" s="190" t="str">
        <f>IFERROR(IF(ISBLANK(DATA!BA23),"",DATA!BA23),"")</f>
        <v/>
      </c>
      <c r="CX23" s="190" t="str">
        <f>IFERROR(IF(ISBLANK(DATA!BB23),"",DATA!BB23),"")</f>
        <v/>
      </c>
      <c r="CY23" s="97" t="str">
        <f t="shared" si="34"/>
        <v/>
      </c>
      <c r="CZ23" s="106" t="str">
        <f>IFERROR(IF(CY23=0,"",ROUND((CY23/SUM(SETTINGS!$L$14:$L$17))*SETTINGS!$L$18,0)),"")</f>
        <v/>
      </c>
      <c r="DA23" s="190" t="str">
        <f>IFERROR(IF(ISBLANK(DATA!BC23),"",DATA!BC23),"")</f>
        <v/>
      </c>
      <c r="DB23" s="106" t="str">
        <f>IFERROR(IF(ISBLANK(DA23),"",ROUND((DA23/SETTINGS!$L$19)*SETTINGS!$L$20,0)),"")</f>
        <v/>
      </c>
      <c r="DC23" s="106" t="str">
        <f t="shared" si="35"/>
        <v/>
      </c>
      <c r="DD23" s="103" t="str">
        <f t="shared" si="8"/>
        <v/>
      </c>
      <c r="DE23" s="107" t="str">
        <f t="shared" si="36"/>
        <v/>
      </c>
      <c r="DF23" s="103" t="str">
        <f t="shared" si="9"/>
        <v/>
      </c>
      <c r="DG23" s="103" t="str">
        <f>IFERROR(IF(AND(K23,W23,AI23,AU23,BG23,BS23,CE23,CQ23,DC23)="","",SUM(K23,W23,AI23,AU23,LARGE((BG23,BS23,CE23,CQ23,DC23),{1,2}))),"")</f>
        <v/>
      </c>
      <c r="DH23" s="103" t="str">
        <f>IFERROR(IF(AND(M23,Y23,AK23,AW23,,BI23,BU23,CG23,CS23,DE23)="","",SUM(M23,Y23,AK23,AW23,SMALL((BI23,BU23,CG23,CS23,DE23),{1,2}))),"")</f>
        <v/>
      </c>
      <c r="DI23" s="109" t="str">
        <f>IFERROR(IF(ISBLANK($D23),"",pos&amp;IF(AND(MOD(ABS(pos),100)&gt;10,MOD(ABS(pos),100)&lt;14),"th",CHOOSE(MOD(ABS(pos),10)+1,"th","st","nd","rd","th","th","th","th","th","th"))),"")</f>
        <v/>
      </c>
      <c r="DJ23" s="62">
        <f>ROWS($B$12:$B23)</f>
        <v>12</v>
      </c>
      <c r="DK23" s="62" t="str">
        <f>IF($B23=REPORT_CARD!$M$12,$DJ23,"")</f>
        <v/>
      </c>
      <c r="DL23" s="62"/>
      <c r="DM23" s="186"/>
    </row>
    <row r="24" spans="1:117" ht="19.5" customHeight="1">
      <c r="A24" s="187" t="str">
        <f>IFERROR(IF(ISBLANK(DATA!$A24),"",DATA!$A24),"")</f>
        <v/>
      </c>
      <c r="B24" s="187" t="str">
        <f>IFERROR(IF(ISBLANK(DATA!$B24),"",DATA!$B24),"")</f>
        <v/>
      </c>
      <c r="C24" s="190" t="str">
        <f>IFERROR(IF(ISBLANK(DATA!C24),"",DATA!C24),"")</f>
        <v/>
      </c>
      <c r="D24" s="190" t="str">
        <f>IFERROR(IF(ISBLANK(DATA!D24),"",DATA!D24),"")</f>
        <v/>
      </c>
      <c r="E24" s="190" t="str">
        <f>IFERROR(IF(ISBLANK(DATA!E24),"",DATA!E24),"")</f>
        <v/>
      </c>
      <c r="F24" s="190" t="str">
        <f>IFERROR(IF(ISBLANK(DATA!F24),"",DATA!F24),"")</f>
        <v/>
      </c>
      <c r="G24" s="97" t="str">
        <f t="shared" si="37"/>
        <v/>
      </c>
      <c r="H24" s="106" t="str">
        <f>IFERROR(IF(G24=0,"",ROUND((G24/SUM(SETTINGS!$L$14:$L$17))*SETTINGS!$L$18,0)),"")</f>
        <v/>
      </c>
      <c r="I24" s="190" t="str">
        <f>IFERROR(IF(ISBLANK(DATA!G24),"",DATA!G24),"")</f>
        <v/>
      </c>
      <c r="J24" s="106" t="str">
        <f>IFERROR(IF(ISBLANK(I24),"",ROUND((I24/SETTINGS!$L$19)*SETTINGS!$L$20,0)),"")</f>
        <v/>
      </c>
      <c r="K24" s="106" t="str">
        <f t="shared" si="10"/>
        <v/>
      </c>
      <c r="L24" s="103" t="str">
        <f t="shared" si="0"/>
        <v/>
      </c>
      <c r="M24" s="107" t="str">
        <f t="shared" si="11"/>
        <v/>
      </c>
      <c r="N24" s="136"/>
      <c r="O24" s="190" t="str">
        <f>IFERROR(IF(ISBLANK(DATA!I24),"",DATA!I24),"")</f>
        <v/>
      </c>
      <c r="P24" s="190" t="str">
        <f>IFERROR(IF(ISBLANK(DATA!J24),"",DATA!J24),"")</f>
        <v/>
      </c>
      <c r="Q24" s="190" t="str">
        <f>IFERROR(IF(ISBLANK(DATA!K24),"",DATA!K24),"")</f>
        <v/>
      </c>
      <c r="R24" s="190" t="str">
        <f>IFERROR(IF(ISBLANK(DATA!L24),"",DATA!L24),"")</f>
        <v/>
      </c>
      <c r="S24" s="97" t="str">
        <f t="shared" si="12"/>
        <v/>
      </c>
      <c r="T24" s="106" t="str">
        <f>IFERROR(IF(S24=0,"",ROUND((S24/SUM(SETTINGS!$L$14:$L$17))*SETTINGS!$L$18,0)),"")</f>
        <v/>
      </c>
      <c r="U24" s="190" t="str">
        <f>IFERROR(IF(ISBLANK(DATA!M24),"",DATA!M24),"")</f>
        <v/>
      </c>
      <c r="V24" s="106" t="str">
        <f>IFERROR(IF(ISBLANK(U24),"",ROUND((U24/SETTINGS!$L$19)*SETTINGS!$L$20,0)),"")</f>
        <v/>
      </c>
      <c r="W24" s="106" t="str">
        <f t="shared" si="13"/>
        <v/>
      </c>
      <c r="X24" s="103" t="str">
        <f t="shared" si="14"/>
        <v/>
      </c>
      <c r="Y24" s="107" t="str">
        <f t="shared" si="15"/>
        <v/>
      </c>
      <c r="Z24" s="130"/>
      <c r="AA24" s="190" t="str">
        <f>IFERROR(IF(ISBLANK(DATA!O24),"",DATA!O24),"")</f>
        <v/>
      </c>
      <c r="AB24" s="190" t="str">
        <f>IFERROR(IF(ISBLANK(DATA!P24),"",DATA!P24),"")</f>
        <v/>
      </c>
      <c r="AC24" s="190" t="str">
        <f>IFERROR(IF(ISBLANK(DATA!Q24),"",DATA!Q24),"")</f>
        <v/>
      </c>
      <c r="AD24" s="190" t="str">
        <f>IFERROR(IF(ISBLANK(DATA!R24),"",DATA!R24),"")</f>
        <v/>
      </c>
      <c r="AE24" s="97" t="str">
        <f t="shared" si="16"/>
        <v/>
      </c>
      <c r="AF24" s="106" t="str">
        <f>IFERROR(IF(AE24=0,"",ROUND((AE24/SUM(SETTINGS!$L$14:$L$17))*SETTINGS!$L$18,0)),"")</f>
        <v/>
      </c>
      <c r="AG24" s="190" t="str">
        <f>IFERROR(IF(ISBLANK(DATA!S24),"",DATA!S24),"")</f>
        <v/>
      </c>
      <c r="AH24" s="106" t="str">
        <f>IFERROR(IF(ISBLANK(AG24),"",ROUND((AG24/SETTINGS!$L$19)*SETTINGS!$L$20,0)),"")</f>
        <v/>
      </c>
      <c r="AI24" s="106" t="str">
        <f t="shared" si="17"/>
        <v/>
      </c>
      <c r="AJ24" s="103" t="str">
        <f t="shared" si="2"/>
        <v/>
      </c>
      <c r="AK24" s="108" t="str">
        <f t="shared" si="18"/>
        <v/>
      </c>
      <c r="AL24" s="130"/>
      <c r="AM24" s="190" t="str">
        <f>IFERROR(IF(ISBLANK(DATA!U24),"",DATA!U24),"")</f>
        <v/>
      </c>
      <c r="AN24" s="190" t="str">
        <f>IFERROR(IF(ISBLANK(DATA!V24),"",DATA!V24),"")</f>
        <v/>
      </c>
      <c r="AO24" s="190" t="str">
        <f>IFERROR(IF(ISBLANK(DATA!W24),"",DATA!W24),"")</f>
        <v/>
      </c>
      <c r="AP24" s="190" t="str">
        <f>IFERROR(IF(ISBLANK(DATA!X24),"",DATA!X24),"")</f>
        <v/>
      </c>
      <c r="AQ24" s="97" t="str">
        <f t="shared" si="19"/>
        <v/>
      </c>
      <c r="AR24" s="106" t="str">
        <f>IFERROR(IF(AQ24=0,"",ROUND((AQ24/SUM(SETTINGS!$L$14:$L$17))*SETTINGS!$L$18,0)),"")</f>
        <v/>
      </c>
      <c r="AS24" s="190" t="str">
        <f>IFERROR(IF(ISBLANK(DATA!Y24),"",DATA!Y24),"")</f>
        <v/>
      </c>
      <c r="AT24" s="106" t="str">
        <f>IFERROR(IF(ISBLANK(AS24),"",ROUND((AS24/SETTINGS!$L$19)*SETTINGS!$L$20,0)),"")</f>
        <v/>
      </c>
      <c r="AU24" s="106" t="str">
        <f t="shared" si="20"/>
        <v/>
      </c>
      <c r="AV24" s="103" t="str">
        <f t="shared" si="3"/>
        <v/>
      </c>
      <c r="AW24" s="107" t="str">
        <f t="shared" si="21"/>
        <v/>
      </c>
      <c r="AX24" s="130"/>
      <c r="AY24" s="190" t="str">
        <f>IFERROR(IF(ISBLANK(DATA!AA24),"",DATA!AA24),"")</f>
        <v/>
      </c>
      <c r="AZ24" s="190" t="str">
        <f>IFERROR(IF(ISBLANK(DATA!AB24),"",DATA!AB24),"")</f>
        <v/>
      </c>
      <c r="BA24" s="190" t="str">
        <f>IFERROR(IF(ISBLANK(DATA!AC24),"",DATA!AC24),"")</f>
        <v/>
      </c>
      <c r="BB24" s="190" t="str">
        <f>IFERROR(IF(ISBLANK(DATA!AD24),"",DATA!AD24),"")</f>
        <v/>
      </c>
      <c r="BC24" s="97" t="str">
        <f t="shared" si="22"/>
        <v/>
      </c>
      <c r="BD24" s="106" t="str">
        <f>IFERROR(IF(BC24=0,"",ROUND((BC24/SUM(SETTINGS!$L$14:$L$17))*SETTINGS!$L$18,0)),"")</f>
        <v/>
      </c>
      <c r="BE24" s="190" t="str">
        <f>IFERROR(IF(ISBLANK(DATA!AE24),"",DATA!AE24),"")</f>
        <v/>
      </c>
      <c r="BF24" s="106" t="str">
        <f>IFERROR(IF(ISBLANK(BE24),"",ROUND((BE24/SETTINGS!$L$19)*SETTINGS!$L$20,0)),"")</f>
        <v/>
      </c>
      <c r="BG24" s="106" t="str">
        <f t="shared" si="23"/>
        <v/>
      </c>
      <c r="BH24" s="103" t="str">
        <f t="shared" si="4"/>
        <v/>
      </c>
      <c r="BI24" s="108" t="str">
        <f t="shared" si="24"/>
        <v/>
      </c>
      <c r="BJ24" s="130"/>
      <c r="BK24" s="190" t="str">
        <f>IFERROR(IF(ISBLANK(DATA!AG24),"",DATA!AG24),"")</f>
        <v/>
      </c>
      <c r="BL24" s="190" t="str">
        <f>IFERROR(IF(ISBLANK(DATA!AH24),"",DATA!AH24),"")</f>
        <v/>
      </c>
      <c r="BM24" s="190" t="str">
        <f>IFERROR(IF(ISBLANK(DATA!AI24),"",DATA!AI24),"")</f>
        <v/>
      </c>
      <c r="BN24" s="190" t="str">
        <f>IFERROR(IF(ISBLANK(DATA!AJ24),"",DATA!AJ24),"")</f>
        <v/>
      </c>
      <c r="BO24" s="97" t="str">
        <f t="shared" si="25"/>
        <v/>
      </c>
      <c r="BP24" s="106" t="str">
        <f>IFERROR(IF(BO24=0,"",ROUND((BO24/SUM(SETTINGS!$L$14:$L$17))*SETTINGS!$L$18,0)),"")</f>
        <v/>
      </c>
      <c r="BQ24" s="190" t="str">
        <f>IFERROR(IF(ISBLANK(DATA!AK24),"",DATA!AK24),"")</f>
        <v/>
      </c>
      <c r="BR24" s="106" t="str">
        <f>IFERROR(IF(ISBLANK(BQ24),"",ROUND((BQ24/SETTINGS!$L$19)*SETTINGS!$L$20,0)),"")</f>
        <v/>
      </c>
      <c r="BS24" s="106" t="str">
        <f t="shared" si="26"/>
        <v/>
      </c>
      <c r="BT24" s="103" t="str">
        <f t="shared" si="5"/>
        <v/>
      </c>
      <c r="BU24" s="107" t="str">
        <f t="shared" si="27"/>
        <v/>
      </c>
      <c r="BV24" s="130"/>
      <c r="BW24" s="190" t="str">
        <f>IFERROR(IF(ISBLANK(DATA!AM24),"",DATA!AM24),"")</f>
        <v/>
      </c>
      <c r="BX24" s="190" t="str">
        <f>IFERROR(IF(ISBLANK(DATA!AN24),"",DATA!AN24),"")</f>
        <v/>
      </c>
      <c r="BY24" s="190" t="str">
        <f>IFERROR(IF(ISBLANK(DATA!AO24),"",DATA!AO24),"")</f>
        <v/>
      </c>
      <c r="BZ24" s="190" t="str">
        <f>IFERROR(IF(ISBLANK(DATA!AP24),"",DATA!AP24),"")</f>
        <v/>
      </c>
      <c r="CA24" s="97" t="str">
        <f t="shared" si="28"/>
        <v/>
      </c>
      <c r="CB24" s="106" t="str">
        <f>IFERROR(IF(CA24=0,"",ROUND((CA24/SUM(SETTINGS!$L$14:$L$17))*SETTINGS!$L$18,0)),"")</f>
        <v/>
      </c>
      <c r="CC24" s="190" t="str">
        <f>IFERROR(IF(ISBLANK(DATA!AQ24),"",DATA!AQ24),"")</f>
        <v/>
      </c>
      <c r="CD24" s="106" t="str">
        <f>IFERROR(IF(ISBLANK(CC24),"",ROUND((CC24/SETTINGS!$L$19)*SETTINGS!$L$20,0)),"")</f>
        <v/>
      </c>
      <c r="CE24" s="106" t="str">
        <f t="shared" si="29"/>
        <v/>
      </c>
      <c r="CF24" s="103" t="str">
        <f t="shared" si="6"/>
        <v/>
      </c>
      <c r="CG24" s="107" t="str">
        <f t="shared" si="30"/>
        <v/>
      </c>
      <c r="CH24" s="130"/>
      <c r="CI24" s="190" t="str">
        <f>IFERROR(IF(ISBLANK(DATA!AS24),"",DATA!AS24),"")</f>
        <v/>
      </c>
      <c r="CJ24" s="190" t="str">
        <f>IFERROR(IF(ISBLANK(DATA!AT24),"",DATA!AT24),"")</f>
        <v/>
      </c>
      <c r="CK24" s="190" t="str">
        <f>IFERROR(IF(ISBLANK(DATA!AU24),"",DATA!AU24),"")</f>
        <v/>
      </c>
      <c r="CL24" s="190" t="str">
        <f>IFERROR(IF(ISBLANK(DATA!AV24),"",DATA!AV24),"")</f>
        <v/>
      </c>
      <c r="CM24" s="97" t="str">
        <f t="shared" si="31"/>
        <v/>
      </c>
      <c r="CN24" s="106" t="str">
        <f>IFERROR(IF(CM24=0,"",ROUND((CM24/SUM(SETTINGS!$L$14:$L$17))*SETTINGS!$L$18,0)),"")</f>
        <v/>
      </c>
      <c r="CO24" s="190" t="str">
        <f>IFERROR(IF(ISBLANK(DATA!AW24),"",DATA!AW24),"")</f>
        <v/>
      </c>
      <c r="CP24" s="106" t="str">
        <f>IFERROR(IF(ISBLANK(CO24),"",ROUND((CO24/SETTINGS!$L$19)*SETTINGS!$L$20,0)),"")</f>
        <v/>
      </c>
      <c r="CQ24" s="106" t="str">
        <f t="shared" si="32"/>
        <v/>
      </c>
      <c r="CR24" s="103" t="str">
        <f t="shared" si="7"/>
        <v/>
      </c>
      <c r="CS24" s="107" t="str">
        <f t="shared" si="33"/>
        <v/>
      </c>
      <c r="CT24" s="130"/>
      <c r="CU24" s="190" t="str">
        <f>IFERROR(IF(ISBLANK(DATA!AY24),"",DATA!AY24),"")</f>
        <v/>
      </c>
      <c r="CV24" s="190" t="str">
        <f>IFERROR(IF(ISBLANK(DATA!AZ24),"",DATA!AZ24),"")</f>
        <v/>
      </c>
      <c r="CW24" s="190" t="str">
        <f>IFERROR(IF(ISBLANK(DATA!BA24),"",DATA!BA24),"")</f>
        <v/>
      </c>
      <c r="CX24" s="190" t="str">
        <f>IFERROR(IF(ISBLANK(DATA!BB24),"",DATA!BB24),"")</f>
        <v/>
      </c>
      <c r="CY24" s="97" t="str">
        <f t="shared" si="34"/>
        <v/>
      </c>
      <c r="CZ24" s="106" t="str">
        <f>IFERROR(IF(CY24=0,"",ROUND((CY24/SUM(SETTINGS!$L$14:$L$17))*SETTINGS!$L$18,0)),"")</f>
        <v/>
      </c>
      <c r="DA24" s="190" t="str">
        <f>IFERROR(IF(ISBLANK(DATA!BC24),"",DATA!BC24),"")</f>
        <v/>
      </c>
      <c r="DB24" s="106" t="str">
        <f>IFERROR(IF(ISBLANK(DA24),"",ROUND((DA24/SETTINGS!$L$19)*SETTINGS!$L$20,0)),"")</f>
        <v/>
      </c>
      <c r="DC24" s="106" t="str">
        <f t="shared" si="35"/>
        <v/>
      </c>
      <c r="DD24" s="103" t="str">
        <f t="shared" si="8"/>
        <v/>
      </c>
      <c r="DE24" s="107" t="str">
        <f t="shared" si="36"/>
        <v/>
      </c>
      <c r="DF24" s="103" t="str">
        <f t="shared" si="9"/>
        <v/>
      </c>
      <c r="DG24" s="103" t="str">
        <f>IFERROR(IF(AND(K24,W24,AI24,AU24,BG24,BS24,CE24,CQ24,DC24)="","",SUM(K24,W24,AI24,AU24,LARGE((BG24,BS24,CE24,CQ24,DC24),{1,2}))),"")</f>
        <v/>
      </c>
      <c r="DH24" s="103" t="str">
        <f>IFERROR(IF(AND(M24,Y24,AK24,AW24,,BI24,BU24,CG24,CS24,DE24)="","",SUM(M24,Y24,AK24,AW24,SMALL((BI24,BU24,CG24,CS24,DE24),{1,2}))),"")</f>
        <v/>
      </c>
      <c r="DI24" s="109" t="str">
        <f>IFERROR(IF(ISBLANK($D24),"",pos&amp;IF(AND(MOD(ABS(pos),100)&gt;10,MOD(ABS(pos),100)&lt;14),"th",CHOOSE(MOD(ABS(pos),10)+1,"th","st","nd","rd","th","th","th","th","th","th"))),"")</f>
        <v/>
      </c>
      <c r="DJ24" s="62">
        <f>ROWS($B$12:$B24)</f>
        <v>13</v>
      </c>
      <c r="DK24" s="62" t="str">
        <f>IF($B24=REPORT_CARD!$M$12,$DJ24,"")</f>
        <v/>
      </c>
      <c r="DL24" s="62"/>
      <c r="DM24" s="186"/>
    </row>
    <row r="25" spans="1:117" ht="19.5" customHeight="1">
      <c r="A25" s="187" t="str">
        <f>IFERROR(IF(ISBLANK(DATA!$A25),"",DATA!$A25),"")</f>
        <v/>
      </c>
      <c r="B25" s="187" t="str">
        <f>IFERROR(IF(ISBLANK(DATA!$B25),"",DATA!$B25),"")</f>
        <v/>
      </c>
      <c r="C25" s="190" t="str">
        <f>IFERROR(IF(ISBLANK(DATA!C25),"",DATA!C25),"")</f>
        <v/>
      </c>
      <c r="D25" s="190" t="str">
        <f>IFERROR(IF(ISBLANK(DATA!D25),"",DATA!D25),"")</f>
        <v/>
      </c>
      <c r="E25" s="190" t="str">
        <f>IFERROR(IF(ISBLANK(DATA!E25),"",DATA!E25),"")</f>
        <v/>
      </c>
      <c r="F25" s="190" t="str">
        <f>IFERROR(IF(ISBLANK(DATA!F25),"",DATA!F25),"")</f>
        <v/>
      </c>
      <c r="G25" s="97" t="str">
        <f t="shared" si="37"/>
        <v/>
      </c>
      <c r="H25" s="106" t="str">
        <f>IFERROR(IF(G25=0,"",ROUND((G25/SUM(SETTINGS!$L$14:$L$17))*SETTINGS!$L$18,0)),"")</f>
        <v/>
      </c>
      <c r="I25" s="190" t="str">
        <f>IFERROR(IF(ISBLANK(DATA!G25),"",DATA!G25),"")</f>
        <v/>
      </c>
      <c r="J25" s="106" t="str">
        <f>IFERROR(IF(ISBLANK(I25),"",ROUND((I25/SETTINGS!$L$19)*SETTINGS!$L$20,0)),"")</f>
        <v/>
      </c>
      <c r="K25" s="106" t="str">
        <f t="shared" si="10"/>
        <v/>
      </c>
      <c r="L25" s="103" t="str">
        <f t="shared" si="0"/>
        <v/>
      </c>
      <c r="M25" s="107" t="str">
        <f t="shared" si="11"/>
        <v/>
      </c>
      <c r="N25" s="136"/>
      <c r="O25" s="190" t="str">
        <f>IFERROR(IF(ISBLANK(DATA!I25),"",DATA!I25),"")</f>
        <v/>
      </c>
      <c r="P25" s="190" t="str">
        <f>IFERROR(IF(ISBLANK(DATA!J25),"",DATA!J25),"")</f>
        <v/>
      </c>
      <c r="Q25" s="190" t="str">
        <f>IFERROR(IF(ISBLANK(DATA!K25),"",DATA!K25),"")</f>
        <v/>
      </c>
      <c r="R25" s="190" t="str">
        <f>IFERROR(IF(ISBLANK(DATA!L25),"",DATA!L25),"")</f>
        <v/>
      </c>
      <c r="S25" s="97" t="str">
        <f t="shared" si="12"/>
        <v/>
      </c>
      <c r="T25" s="106" t="str">
        <f>IFERROR(IF(S25=0,"",ROUND((S25/SUM(SETTINGS!$L$14:$L$17))*SETTINGS!$L$18,0)),"")</f>
        <v/>
      </c>
      <c r="U25" s="190" t="str">
        <f>IFERROR(IF(ISBLANK(DATA!M25),"",DATA!M25),"")</f>
        <v/>
      </c>
      <c r="V25" s="106" t="str">
        <f>IFERROR(IF(ISBLANK(U25),"",ROUND((U25/SETTINGS!$L$19)*SETTINGS!$L$20,0)),"")</f>
        <v/>
      </c>
      <c r="W25" s="106" t="str">
        <f t="shared" si="13"/>
        <v/>
      </c>
      <c r="X25" s="103" t="str">
        <f t="shared" si="14"/>
        <v/>
      </c>
      <c r="Y25" s="107" t="str">
        <f t="shared" si="15"/>
        <v/>
      </c>
      <c r="Z25" s="130"/>
      <c r="AA25" s="190" t="str">
        <f>IFERROR(IF(ISBLANK(DATA!O25),"",DATA!O25),"")</f>
        <v/>
      </c>
      <c r="AB25" s="190" t="str">
        <f>IFERROR(IF(ISBLANK(DATA!P25),"",DATA!P25),"")</f>
        <v/>
      </c>
      <c r="AC25" s="190" t="str">
        <f>IFERROR(IF(ISBLANK(DATA!Q25),"",DATA!Q25),"")</f>
        <v/>
      </c>
      <c r="AD25" s="190" t="str">
        <f>IFERROR(IF(ISBLANK(DATA!R25),"",DATA!R25),"")</f>
        <v/>
      </c>
      <c r="AE25" s="97" t="str">
        <f t="shared" si="16"/>
        <v/>
      </c>
      <c r="AF25" s="106" t="str">
        <f>IFERROR(IF(AE25=0,"",ROUND((AE25/SUM(SETTINGS!$L$14:$L$17))*SETTINGS!$L$18,0)),"")</f>
        <v/>
      </c>
      <c r="AG25" s="190" t="str">
        <f>IFERROR(IF(ISBLANK(DATA!S25),"",DATA!S25),"")</f>
        <v/>
      </c>
      <c r="AH25" s="106" t="str">
        <f>IFERROR(IF(ISBLANK(AG25),"",ROUND((AG25/SETTINGS!$L$19)*SETTINGS!$L$20,0)),"")</f>
        <v/>
      </c>
      <c r="AI25" s="106" t="str">
        <f t="shared" si="17"/>
        <v/>
      </c>
      <c r="AJ25" s="103" t="str">
        <f t="shared" si="2"/>
        <v/>
      </c>
      <c r="AK25" s="108" t="str">
        <f t="shared" si="18"/>
        <v/>
      </c>
      <c r="AL25" s="130"/>
      <c r="AM25" s="190" t="str">
        <f>IFERROR(IF(ISBLANK(DATA!U25),"",DATA!U25),"")</f>
        <v/>
      </c>
      <c r="AN25" s="190" t="str">
        <f>IFERROR(IF(ISBLANK(DATA!V25),"",DATA!V25),"")</f>
        <v/>
      </c>
      <c r="AO25" s="190" t="str">
        <f>IFERROR(IF(ISBLANK(DATA!W25),"",DATA!W25),"")</f>
        <v/>
      </c>
      <c r="AP25" s="190" t="str">
        <f>IFERROR(IF(ISBLANK(DATA!X25),"",DATA!X25),"")</f>
        <v/>
      </c>
      <c r="AQ25" s="97" t="str">
        <f t="shared" si="19"/>
        <v/>
      </c>
      <c r="AR25" s="106" t="str">
        <f>IFERROR(IF(AQ25=0,"",ROUND((AQ25/SUM(SETTINGS!$L$14:$L$17))*SETTINGS!$L$18,0)),"")</f>
        <v/>
      </c>
      <c r="AS25" s="190" t="str">
        <f>IFERROR(IF(ISBLANK(DATA!Y25),"",DATA!Y25),"")</f>
        <v/>
      </c>
      <c r="AT25" s="106" t="str">
        <f>IFERROR(IF(ISBLANK(AS25),"",ROUND((AS25/SETTINGS!$L$19)*SETTINGS!$L$20,0)),"")</f>
        <v/>
      </c>
      <c r="AU25" s="106" t="str">
        <f t="shared" si="20"/>
        <v/>
      </c>
      <c r="AV25" s="103" t="str">
        <f t="shared" si="3"/>
        <v/>
      </c>
      <c r="AW25" s="107" t="str">
        <f t="shared" si="21"/>
        <v/>
      </c>
      <c r="AX25" s="130"/>
      <c r="AY25" s="190" t="str">
        <f>IFERROR(IF(ISBLANK(DATA!AA25),"",DATA!AA25),"")</f>
        <v/>
      </c>
      <c r="AZ25" s="190" t="str">
        <f>IFERROR(IF(ISBLANK(DATA!AB25),"",DATA!AB25),"")</f>
        <v/>
      </c>
      <c r="BA25" s="190" t="str">
        <f>IFERROR(IF(ISBLANK(DATA!AC25),"",DATA!AC25),"")</f>
        <v/>
      </c>
      <c r="BB25" s="190" t="str">
        <f>IFERROR(IF(ISBLANK(DATA!AD25),"",DATA!AD25),"")</f>
        <v/>
      </c>
      <c r="BC25" s="97" t="str">
        <f t="shared" si="22"/>
        <v/>
      </c>
      <c r="BD25" s="106" t="str">
        <f>IFERROR(IF(BC25=0,"",ROUND((BC25/SUM(SETTINGS!$L$14:$L$17))*SETTINGS!$L$18,0)),"")</f>
        <v/>
      </c>
      <c r="BE25" s="190" t="str">
        <f>IFERROR(IF(ISBLANK(DATA!AE25),"",DATA!AE25),"")</f>
        <v/>
      </c>
      <c r="BF25" s="106" t="str">
        <f>IFERROR(IF(ISBLANK(BE25),"",ROUND((BE25/SETTINGS!$L$19)*SETTINGS!$L$20,0)),"")</f>
        <v/>
      </c>
      <c r="BG25" s="106" t="str">
        <f t="shared" si="23"/>
        <v/>
      </c>
      <c r="BH25" s="103" t="str">
        <f t="shared" si="4"/>
        <v/>
      </c>
      <c r="BI25" s="108" t="str">
        <f t="shared" si="24"/>
        <v/>
      </c>
      <c r="BJ25" s="130"/>
      <c r="BK25" s="190" t="str">
        <f>IFERROR(IF(ISBLANK(DATA!AG25),"",DATA!AG25),"")</f>
        <v/>
      </c>
      <c r="BL25" s="190" t="str">
        <f>IFERROR(IF(ISBLANK(DATA!AH25),"",DATA!AH25),"")</f>
        <v/>
      </c>
      <c r="BM25" s="190" t="str">
        <f>IFERROR(IF(ISBLANK(DATA!AI25),"",DATA!AI25),"")</f>
        <v/>
      </c>
      <c r="BN25" s="190" t="str">
        <f>IFERROR(IF(ISBLANK(DATA!AJ25),"",DATA!AJ25),"")</f>
        <v/>
      </c>
      <c r="BO25" s="97" t="str">
        <f t="shared" si="25"/>
        <v/>
      </c>
      <c r="BP25" s="106" t="str">
        <f>IFERROR(IF(BO25=0,"",ROUND((BO25/SUM(SETTINGS!$L$14:$L$17))*SETTINGS!$L$18,0)),"")</f>
        <v/>
      </c>
      <c r="BQ25" s="190" t="str">
        <f>IFERROR(IF(ISBLANK(DATA!AK25),"",DATA!AK25),"")</f>
        <v/>
      </c>
      <c r="BR25" s="106" t="str">
        <f>IFERROR(IF(ISBLANK(BQ25),"",ROUND((BQ25/SETTINGS!$L$19)*SETTINGS!$L$20,0)),"")</f>
        <v/>
      </c>
      <c r="BS25" s="106" t="str">
        <f t="shared" si="26"/>
        <v/>
      </c>
      <c r="BT25" s="103" t="str">
        <f t="shared" si="5"/>
        <v/>
      </c>
      <c r="BU25" s="107" t="str">
        <f t="shared" si="27"/>
        <v/>
      </c>
      <c r="BV25" s="130"/>
      <c r="BW25" s="190" t="str">
        <f>IFERROR(IF(ISBLANK(DATA!AM25),"",DATA!AM25),"")</f>
        <v/>
      </c>
      <c r="BX25" s="190" t="str">
        <f>IFERROR(IF(ISBLANK(DATA!AN25),"",DATA!AN25),"")</f>
        <v/>
      </c>
      <c r="BY25" s="190" t="str">
        <f>IFERROR(IF(ISBLANK(DATA!AO25),"",DATA!AO25),"")</f>
        <v/>
      </c>
      <c r="BZ25" s="190" t="str">
        <f>IFERROR(IF(ISBLANK(DATA!AP25),"",DATA!AP25),"")</f>
        <v/>
      </c>
      <c r="CA25" s="97" t="str">
        <f t="shared" si="28"/>
        <v/>
      </c>
      <c r="CB25" s="106" t="str">
        <f>IFERROR(IF(CA25=0,"",ROUND((CA25/SUM(SETTINGS!$L$14:$L$17))*SETTINGS!$L$18,0)),"")</f>
        <v/>
      </c>
      <c r="CC25" s="190" t="str">
        <f>IFERROR(IF(ISBLANK(DATA!AQ25),"",DATA!AQ25),"")</f>
        <v/>
      </c>
      <c r="CD25" s="106" t="str">
        <f>IFERROR(IF(ISBLANK(CC25),"",ROUND((CC25/SETTINGS!$L$19)*SETTINGS!$L$20,0)),"")</f>
        <v/>
      </c>
      <c r="CE25" s="106" t="str">
        <f t="shared" si="29"/>
        <v/>
      </c>
      <c r="CF25" s="103" t="str">
        <f t="shared" si="6"/>
        <v/>
      </c>
      <c r="CG25" s="107" t="str">
        <f t="shared" si="30"/>
        <v/>
      </c>
      <c r="CH25" s="130"/>
      <c r="CI25" s="190" t="str">
        <f>IFERROR(IF(ISBLANK(DATA!AS25),"",DATA!AS25),"")</f>
        <v/>
      </c>
      <c r="CJ25" s="190" t="str">
        <f>IFERROR(IF(ISBLANK(DATA!AT25),"",DATA!AT25),"")</f>
        <v/>
      </c>
      <c r="CK25" s="190" t="str">
        <f>IFERROR(IF(ISBLANK(DATA!AU25),"",DATA!AU25),"")</f>
        <v/>
      </c>
      <c r="CL25" s="190" t="str">
        <f>IFERROR(IF(ISBLANK(DATA!AV25),"",DATA!AV25),"")</f>
        <v/>
      </c>
      <c r="CM25" s="97" t="str">
        <f t="shared" si="31"/>
        <v/>
      </c>
      <c r="CN25" s="106" t="str">
        <f>IFERROR(IF(CM25=0,"",ROUND((CM25/SUM(SETTINGS!$L$14:$L$17))*SETTINGS!$L$18,0)),"")</f>
        <v/>
      </c>
      <c r="CO25" s="190" t="str">
        <f>IFERROR(IF(ISBLANK(DATA!AW25),"",DATA!AW25),"")</f>
        <v/>
      </c>
      <c r="CP25" s="106" t="str">
        <f>IFERROR(IF(ISBLANK(CO25),"",ROUND((CO25/SETTINGS!$L$19)*SETTINGS!$L$20,0)),"")</f>
        <v/>
      </c>
      <c r="CQ25" s="106" t="str">
        <f t="shared" si="32"/>
        <v/>
      </c>
      <c r="CR25" s="103" t="str">
        <f t="shared" si="7"/>
        <v/>
      </c>
      <c r="CS25" s="107" t="str">
        <f t="shared" si="33"/>
        <v/>
      </c>
      <c r="CT25" s="130"/>
      <c r="CU25" s="190" t="str">
        <f>IFERROR(IF(ISBLANK(DATA!AY25),"",DATA!AY25),"")</f>
        <v/>
      </c>
      <c r="CV25" s="190" t="str">
        <f>IFERROR(IF(ISBLANK(DATA!AZ25),"",DATA!AZ25),"")</f>
        <v/>
      </c>
      <c r="CW25" s="190" t="str">
        <f>IFERROR(IF(ISBLANK(DATA!BA25),"",DATA!BA25),"")</f>
        <v/>
      </c>
      <c r="CX25" s="190" t="str">
        <f>IFERROR(IF(ISBLANK(DATA!BB25),"",DATA!BB25),"")</f>
        <v/>
      </c>
      <c r="CY25" s="97" t="str">
        <f t="shared" si="34"/>
        <v/>
      </c>
      <c r="CZ25" s="106" t="str">
        <f>IFERROR(IF(CY25=0,"",ROUND((CY25/SUM(SETTINGS!$L$14:$L$17))*SETTINGS!$L$18,0)),"")</f>
        <v/>
      </c>
      <c r="DA25" s="190" t="str">
        <f>IFERROR(IF(ISBLANK(DATA!BC25),"",DATA!BC25),"")</f>
        <v/>
      </c>
      <c r="DB25" s="106" t="str">
        <f>IFERROR(IF(ISBLANK(DA25),"",ROUND((DA25/SETTINGS!$L$19)*SETTINGS!$L$20,0)),"")</f>
        <v/>
      </c>
      <c r="DC25" s="106" t="str">
        <f t="shared" si="35"/>
        <v/>
      </c>
      <c r="DD25" s="103" t="str">
        <f t="shared" si="8"/>
        <v/>
      </c>
      <c r="DE25" s="107" t="str">
        <f t="shared" si="36"/>
        <v/>
      </c>
      <c r="DF25" s="103" t="str">
        <f t="shared" si="9"/>
        <v/>
      </c>
      <c r="DG25" s="103" t="str">
        <f>IFERROR(IF(AND(K25,W25,AI25,AU25,BG25,BS25,CE25,CQ25,DC25)="","",SUM(K25,W25,AI25,AU25,LARGE((BG25,BS25,CE25,CQ25,DC25),{1,2}))),"")</f>
        <v/>
      </c>
      <c r="DH25" s="103" t="str">
        <f>IFERROR(IF(AND(M25,Y25,AK25,AW25,,BI25,BU25,CG25,CS25,DE25)="","",SUM(M25,Y25,AK25,AW25,SMALL((BI25,BU25,CG25,CS25,DE25),{1,2}))),"")</f>
        <v/>
      </c>
      <c r="DI25" s="109" t="str">
        <f>IFERROR(IF(ISBLANK($D25),"",pos&amp;IF(AND(MOD(ABS(pos),100)&gt;10,MOD(ABS(pos),100)&lt;14),"th",CHOOSE(MOD(ABS(pos),10)+1,"th","st","nd","rd","th","th","th","th","th","th"))),"")</f>
        <v/>
      </c>
      <c r="DJ25" s="62">
        <f>ROWS($B$12:$B25)</f>
        <v>14</v>
      </c>
      <c r="DK25" s="62" t="str">
        <f>IF($B25=REPORT_CARD!$M$12,$DJ25,"")</f>
        <v/>
      </c>
      <c r="DL25" s="62"/>
      <c r="DM25" s="186"/>
    </row>
    <row r="26" spans="1:117" ht="19.5" customHeight="1">
      <c r="A26" s="187" t="str">
        <f>IFERROR(IF(ISBLANK(DATA!$A26),"",DATA!$A26),"")</f>
        <v/>
      </c>
      <c r="B26" s="187" t="str">
        <f>IFERROR(IF(ISBLANK(DATA!$B26),"",DATA!$B26),"")</f>
        <v/>
      </c>
      <c r="C26" s="190" t="str">
        <f>IFERROR(IF(ISBLANK(DATA!C26),"",DATA!C26),"")</f>
        <v/>
      </c>
      <c r="D26" s="190" t="str">
        <f>IFERROR(IF(ISBLANK(DATA!D26),"",DATA!D26),"")</f>
        <v/>
      </c>
      <c r="E26" s="190" t="str">
        <f>IFERROR(IF(ISBLANK(DATA!E26),"",DATA!E26),"")</f>
        <v/>
      </c>
      <c r="F26" s="190" t="str">
        <f>IFERROR(IF(ISBLANK(DATA!F26),"",DATA!F26),"")</f>
        <v/>
      </c>
      <c r="G26" s="97" t="str">
        <f t="shared" si="37"/>
        <v/>
      </c>
      <c r="H26" s="106" t="str">
        <f>IFERROR(IF(G26=0,"",ROUND((G26/SUM(SETTINGS!$L$14:$L$17))*SETTINGS!$L$18,0)),"")</f>
        <v/>
      </c>
      <c r="I26" s="190" t="str">
        <f>IFERROR(IF(ISBLANK(DATA!G26),"",DATA!G26),"")</f>
        <v/>
      </c>
      <c r="J26" s="106" t="str">
        <f>IFERROR(IF(ISBLANK(I26),"",ROUND((I26/SETTINGS!$L$19)*SETTINGS!$L$20,0)),"")</f>
        <v/>
      </c>
      <c r="K26" s="106" t="str">
        <f t="shared" si="10"/>
        <v/>
      </c>
      <c r="L26" s="103" t="str">
        <f t="shared" si="0"/>
        <v/>
      </c>
      <c r="M26" s="107" t="str">
        <f t="shared" si="11"/>
        <v/>
      </c>
      <c r="N26" s="136"/>
      <c r="O26" s="190" t="str">
        <f>IFERROR(IF(ISBLANK(DATA!I26),"",DATA!I26),"")</f>
        <v/>
      </c>
      <c r="P26" s="190" t="str">
        <f>IFERROR(IF(ISBLANK(DATA!J26),"",DATA!J26),"")</f>
        <v/>
      </c>
      <c r="Q26" s="190" t="str">
        <f>IFERROR(IF(ISBLANK(DATA!K26),"",DATA!K26),"")</f>
        <v/>
      </c>
      <c r="R26" s="190" t="str">
        <f>IFERROR(IF(ISBLANK(DATA!L26),"",DATA!L26),"")</f>
        <v/>
      </c>
      <c r="S26" s="97" t="str">
        <f t="shared" si="12"/>
        <v/>
      </c>
      <c r="T26" s="106" t="str">
        <f>IFERROR(IF(S26=0,"",ROUND((S26/SUM(SETTINGS!$L$14:$L$17))*SETTINGS!$L$18,0)),"")</f>
        <v/>
      </c>
      <c r="U26" s="190" t="str">
        <f>IFERROR(IF(ISBLANK(DATA!M26),"",DATA!M26),"")</f>
        <v/>
      </c>
      <c r="V26" s="106" t="str">
        <f>IFERROR(IF(ISBLANK(U26),"",ROUND((U26/SETTINGS!$L$19)*SETTINGS!$L$20,0)),"")</f>
        <v/>
      </c>
      <c r="W26" s="106" t="str">
        <f t="shared" si="13"/>
        <v/>
      </c>
      <c r="X26" s="103" t="str">
        <f t="shared" si="14"/>
        <v/>
      </c>
      <c r="Y26" s="107" t="str">
        <f t="shared" si="15"/>
        <v/>
      </c>
      <c r="Z26" s="130"/>
      <c r="AA26" s="190" t="str">
        <f>IFERROR(IF(ISBLANK(DATA!O26),"",DATA!O26),"")</f>
        <v/>
      </c>
      <c r="AB26" s="190" t="str">
        <f>IFERROR(IF(ISBLANK(DATA!P26),"",DATA!P26),"")</f>
        <v/>
      </c>
      <c r="AC26" s="190" t="str">
        <f>IFERROR(IF(ISBLANK(DATA!Q26),"",DATA!Q26),"")</f>
        <v/>
      </c>
      <c r="AD26" s="190" t="str">
        <f>IFERROR(IF(ISBLANK(DATA!R26),"",DATA!R26),"")</f>
        <v/>
      </c>
      <c r="AE26" s="97" t="str">
        <f t="shared" si="16"/>
        <v/>
      </c>
      <c r="AF26" s="106" t="str">
        <f>IFERROR(IF(AE26=0,"",ROUND((AE26/SUM(SETTINGS!$L$14:$L$17))*SETTINGS!$L$18,0)),"")</f>
        <v/>
      </c>
      <c r="AG26" s="190" t="str">
        <f>IFERROR(IF(ISBLANK(DATA!S26),"",DATA!S26),"")</f>
        <v/>
      </c>
      <c r="AH26" s="106" t="str">
        <f>IFERROR(IF(ISBLANK(AG26),"",ROUND((AG26/SETTINGS!$L$19)*SETTINGS!$L$20,0)),"")</f>
        <v/>
      </c>
      <c r="AI26" s="106" t="str">
        <f t="shared" si="17"/>
        <v/>
      </c>
      <c r="AJ26" s="103" t="str">
        <f t="shared" si="2"/>
        <v/>
      </c>
      <c r="AK26" s="108" t="str">
        <f t="shared" si="18"/>
        <v/>
      </c>
      <c r="AL26" s="130"/>
      <c r="AM26" s="190" t="str">
        <f>IFERROR(IF(ISBLANK(DATA!U26),"",DATA!U26),"")</f>
        <v/>
      </c>
      <c r="AN26" s="190" t="str">
        <f>IFERROR(IF(ISBLANK(DATA!V26),"",DATA!V26),"")</f>
        <v/>
      </c>
      <c r="AO26" s="190" t="str">
        <f>IFERROR(IF(ISBLANK(DATA!W26),"",DATA!W26),"")</f>
        <v/>
      </c>
      <c r="AP26" s="190" t="str">
        <f>IFERROR(IF(ISBLANK(DATA!X26),"",DATA!X26),"")</f>
        <v/>
      </c>
      <c r="AQ26" s="97" t="str">
        <f t="shared" si="19"/>
        <v/>
      </c>
      <c r="AR26" s="106" t="str">
        <f>IFERROR(IF(AQ26=0,"",ROUND((AQ26/SUM(SETTINGS!$L$14:$L$17))*SETTINGS!$L$18,0)),"")</f>
        <v/>
      </c>
      <c r="AS26" s="190" t="str">
        <f>IFERROR(IF(ISBLANK(DATA!Y26),"",DATA!Y26),"")</f>
        <v/>
      </c>
      <c r="AT26" s="106" t="str">
        <f>IFERROR(IF(ISBLANK(AS26),"",ROUND((AS26/SETTINGS!$L$19)*SETTINGS!$L$20,0)),"")</f>
        <v/>
      </c>
      <c r="AU26" s="106" t="str">
        <f t="shared" si="20"/>
        <v/>
      </c>
      <c r="AV26" s="103" t="str">
        <f t="shared" si="3"/>
        <v/>
      </c>
      <c r="AW26" s="107" t="str">
        <f t="shared" si="21"/>
        <v/>
      </c>
      <c r="AX26" s="130"/>
      <c r="AY26" s="190" t="str">
        <f>IFERROR(IF(ISBLANK(DATA!AA26),"",DATA!AA26),"")</f>
        <v/>
      </c>
      <c r="AZ26" s="190" t="str">
        <f>IFERROR(IF(ISBLANK(DATA!AB26),"",DATA!AB26),"")</f>
        <v/>
      </c>
      <c r="BA26" s="190" t="str">
        <f>IFERROR(IF(ISBLANK(DATA!AC26),"",DATA!AC26),"")</f>
        <v/>
      </c>
      <c r="BB26" s="190" t="str">
        <f>IFERROR(IF(ISBLANK(DATA!AD26),"",DATA!AD26),"")</f>
        <v/>
      </c>
      <c r="BC26" s="97" t="str">
        <f t="shared" si="22"/>
        <v/>
      </c>
      <c r="BD26" s="106" t="str">
        <f>IFERROR(IF(BC26=0,"",ROUND((BC26/SUM(SETTINGS!$L$14:$L$17))*SETTINGS!$L$18,0)),"")</f>
        <v/>
      </c>
      <c r="BE26" s="190" t="str">
        <f>IFERROR(IF(ISBLANK(DATA!AE26),"",DATA!AE26),"")</f>
        <v/>
      </c>
      <c r="BF26" s="106" t="str">
        <f>IFERROR(IF(ISBLANK(BE26),"",ROUND((BE26/SETTINGS!$L$19)*SETTINGS!$L$20,0)),"")</f>
        <v/>
      </c>
      <c r="BG26" s="106" t="str">
        <f t="shared" si="23"/>
        <v/>
      </c>
      <c r="BH26" s="103" t="str">
        <f t="shared" si="4"/>
        <v/>
      </c>
      <c r="BI26" s="108" t="str">
        <f t="shared" si="24"/>
        <v/>
      </c>
      <c r="BJ26" s="130"/>
      <c r="BK26" s="190" t="str">
        <f>IFERROR(IF(ISBLANK(DATA!AG26),"",DATA!AG26),"")</f>
        <v/>
      </c>
      <c r="BL26" s="190" t="str">
        <f>IFERROR(IF(ISBLANK(DATA!AH26),"",DATA!AH26),"")</f>
        <v/>
      </c>
      <c r="BM26" s="190" t="str">
        <f>IFERROR(IF(ISBLANK(DATA!AI26),"",DATA!AI26),"")</f>
        <v/>
      </c>
      <c r="BN26" s="190" t="str">
        <f>IFERROR(IF(ISBLANK(DATA!AJ26),"",DATA!AJ26),"")</f>
        <v/>
      </c>
      <c r="BO26" s="97" t="str">
        <f t="shared" si="25"/>
        <v/>
      </c>
      <c r="BP26" s="106" t="str">
        <f>IFERROR(IF(BO26=0,"",ROUND((BO26/SUM(SETTINGS!$L$14:$L$17))*SETTINGS!$L$18,0)),"")</f>
        <v/>
      </c>
      <c r="BQ26" s="190" t="str">
        <f>IFERROR(IF(ISBLANK(DATA!AK26),"",DATA!AK26),"")</f>
        <v/>
      </c>
      <c r="BR26" s="106" t="str">
        <f>IFERROR(IF(ISBLANK(BQ26),"",ROUND((BQ26/SETTINGS!$L$19)*SETTINGS!$L$20,0)),"")</f>
        <v/>
      </c>
      <c r="BS26" s="106" t="str">
        <f t="shared" si="26"/>
        <v/>
      </c>
      <c r="BT26" s="103" t="str">
        <f t="shared" si="5"/>
        <v/>
      </c>
      <c r="BU26" s="107" t="str">
        <f t="shared" si="27"/>
        <v/>
      </c>
      <c r="BV26" s="130"/>
      <c r="BW26" s="190" t="str">
        <f>IFERROR(IF(ISBLANK(DATA!AM26),"",DATA!AM26),"")</f>
        <v/>
      </c>
      <c r="BX26" s="190" t="str">
        <f>IFERROR(IF(ISBLANK(DATA!AN26),"",DATA!AN26),"")</f>
        <v/>
      </c>
      <c r="BY26" s="190" t="str">
        <f>IFERROR(IF(ISBLANK(DATA!AO26),"",DATA!AO26),"")</f>
        <v/>
      </c>
      <c r="BZ26" s="190" t="str">
        <f>IFERROR(IF(ISBLANK(DATA!AP26),"",DATA!AP26),"")</f>
        <v/>
      </c>
      <c r="CA26" s="97" t="str">
        <f t="shared" si="28"/>
        <v/>
      </c>
      <c r="CB26" s="106" t="str">
        <f>IFERROR(IF(CA26=0,"",ROUND((CA26/SUM(SETTINGS!$L$14:$L$17))*SETTINGS!$L$18,0)),"")</f>
        <v/>
      </c>
      <c r="CC26" s="190" t="str">
        <f>IFERROR(IF(ISBLANK(DATA!AQ26),"",DATA!AQ26),"")</f>
        <v/>
      </c>
      <c r="CD26" s="106" t="str">
        <f>IFERROR(IF(ISBLANK(CC26),"",ROUND((CC26/SETTINGS!$L$19)*SETTINGS!$L$20,0)),"")</f>
        <v/>
      </c>
      <c r="CE26" s="106" t="str">
        <f t="shared" si="29"/>
        <v/>
      </c>
      <c r="CF26" s="103" t="str">
        <f t="shared" si="6"/>
        <v/>
      </c>
      <c r="CG26" s="107" t="str">
        <f t="shared" si="30"/>
        <v/>
      </c>
      <c r="CH26" s="130"/>
      <c r="CI26" s="190" t="str">
        <f>IFERROR(IF(ISBLANK(DATA!AS26),"",DATA!AS26),"")</f>
        <v/>
      </c>
      <c r="CJ26" s="190" t="str">
        <f>IFERROR(IF(ISBLANK(DATA!AT26),"",DATA!AT26),"")</f>
        <v/>
      </c>
      <c r="CK26" s="190" t="str">
        <f>IFERROR(IF(ISBLANK(DATA!AU26),"",DATA!AU26),"")</f>
        <v/>
      </c>
      <c r="CL26" s="190" t="str">
        <f>IFERROR(IF(ISBLANK(DATA!AV26),"",DATA!AV26),"")</f>
        <v/>
      </c>
      <c r="CM26" s="97" t="str">
        <f t="shared" si="31"/>
        <v/>
      </c>
      <c r="CN26" s="106" t="str">
        <f>IFERROR(IF(CM26=0,"",ROUND((CM26/SUM(SETTINGS!$L$14:$L$17))*SETTINGS!$L$18,0)),"")</f>
        <v/>
      </c>
      <c r="CO26" s="190" t="str">
        <f>IFERROR(IF(ISBLANK(DATA!AW26),"",DATA!AW26),"")</f>
        <v/>
      </c>
      <c r="CP26" s="106" t="str">
        <f>IFERROR(IF(ISBLANK(CO26),"",ROUND((CO26/SETTINGS!$L$19)*SETTINGS!$L$20,0)),"")</f>
        <v/>
      </c>
      <c r="CQ26" s="106" t="str">
        <f t="shared" si="32"/>
        <v/>
      </c>
      <c r="CR26" s="103" t="str">
        <f t="shared" si="7"/>
        <v/>
      </c>
      <c r="CS26" s="107" t="str">
        <f t="shared" si="33"/>
        <v/>
      </c>
      <c r="CT26" s="130"/>
      <c r="CU26" s="190" t="str">
        <f>IFERROR(IF(ISBLANK(DATA!AY26),"",DATA!AY26),"")</f>
        <v/>
      </c>
      <c r="CV26" s="190" t="str">
        <f>IFERROR(IF(ISBLANK(DATA!AZ26),"",DATA!AZ26),"")</f>
        <v/>
      </c>
      <c r="CW26" s="190" t="str">
        <f>IFERROR(IF(ISBLANK(DATA!BA26),"",DATA!BA26),"")</f>
        <v/>
      </c>
      <c r="CX26" s="190" t="str">
        <f>IFERROR(IF(ISBLANK(DATA!BB26),"",DATA!BB26),"")</f>
        <v/>
      </c>
      <c r="CY26" s="97" t="str">
        <f t="shared" si="34"/>
        <v/>
      </c>
      <c r="CZ26" s="106" t="str">
        <f>IFERROR(IF(CY26=0,"",ROUND((CY26/SUM(SETTINGS!$L$14:$L$17))*SETTINGS!$L$18,0)),"")</f>
        <v/>
      </c>
      <c r="DA26" s="190" t="str">
        <f>IFERROR(IF(ISBLANK(DATA!BC26),"",DATA!BC26),"")</f>
        <v/>
      </c>
      <c r="DB26" s="106" t="str">
        <f>IFERROR(IF(ISBLANK(DA26),"",ROUND((DA26/SETTINGS!$L$19)*SETTINGS!$L$20,0)),"")</f>
        <v/>
      </c>
      <c r="DC26" s="106" t="str">
        <f t="shared" si="35"/>
        <v/>
      </c>
      <c r="DD26" s="103" t="str">
        <f t="shared" si="8"/>
        <v/>
      </c>
      <c r="DE26" s="107" t="str">
        <f t="shared" si="36"/>
        <v/>
      </c>
      <c r="DF26" s="103" t="str">
        <f t="shared" si="9"/>
        <v/>
      </c>
      <c r="DG26" s="103" t="str">
        <f>IFERROR(IF(AND(K26,W26,AI26,AU26,BG26,BS26,CE26,CQ26,DC26)="","",SUM(K26,W26,AI26,AU26,LARGE((BG26,BS26,CE26,CQ26,DC26),{1,2}))),"")</f>
        <v/>
      </c>
      <c r="DH26" s="103" t="str">
        <f>IFERROR(IF(AND(M26,Y26,AK26,AW26,,BI26,BU26,CG26,CS26,DE26)="","",SUM(M26,Y26,AK26,AW26,SMALL((BI26,BU26,CG26,CS26,DE26),{1,2}))),"")</f>
        <v/>
      </c>
      <c r="DI26" s="109" t="str">
        <f>IFERROR(IF(ISBLANK($D26),"",pos&amp;IF(AND(MOD(ABS(pos),100)&gt;10,MOD(ABS(pos),100)&lt;14),"th",CHOOSE(MOD(ABS(pos),10)+1,"th","st","nd","rd","th","th","th","th","th","th"))),"")</f>
        <v/>
      </c>
      <c r="DJ26" s="62">
        <f>ROWS($B$12:$B26)</f>
        <v>15</v>
      </c>
      <c r="DK26" s="62" t="str">
        <f>IF($B26=REPORT_CARD!$M$12,$DJ26,"")</f>
        <v/>
      </c>
      <c r="DL26" s="62"/>
      <c r="DM26" s="186"/>
    </row>
    <row r="27" spans="1:117" ht="19.5" customHeight="1">
      <c r="A27" s="187" t="str">
        <f>IFERROR(IF(ISBLANK(DATA!$A27),"",DATA!$A27),"")</f>
        <v/>
      </c>
      <c r="B27" s="187" t="str">
        <f>IFERROR(IF(ISBLANK(DATA!$B27),"",DATA!$B27),"")</f>
        <v/>
      </c>
      <c r="C27" s="190" t="str">
        <f>IFERROR(IF(ISBLANK(DATA!C27),"",DATA!C27),"")</f>
        <v/>
      </c>
      <c r="D27" s="190" t="str">
        <f>IFERROR(IF(ISBLANK(DATA!D27),"",DATA!D27),"")</f>
        <v/>
      </c>
      <c r="E27" s="190" t="str">
        <f>IFERROR(IF(ISBLANK(DATA!E27),"",DATA!E27),"")</f>
        <v/>
      </c>
      <c r="F27" s="190" t="str">
        <f>IFERROR(IF(ISBLANK(DATA!F27),"",DATA!F27),"")</f>
        <v/>
      </c>
      <c r="G27" s="97" t="str">
        <f t="shared" si="37"/>
        <v/>
      </c>
      <c r="H27" s="106" t="str">
        <f>IFERROR(IF(G27=0,"",ROUND((G27/SUM(SETTINGS!$L$14:$L$17))*SETTINGS!$L$18,0)),"")</f>
        <v/>
      </c>
      <c r="I27" s="190" t="str">
        <f>IFERROR(IF(ISBLANK(DATA!G27),"",DATA!G27),"")</f>
        <v/>
      </c>
      <c r="J27" s="106" t="str">
        <f>IFERROR(IF(ISBLANK(I27),"",ROUND((I27/SETTINGS!$L$19)*SETTINGS!$L$20,0)),"")</f>
        <v/>
      </c>
      <c r="K27" s="106" t="str">
        <f t="shared" si="10"/>
        <v/>
      </c>
      <c r="L27" s="103" t="str">
        <f t="shared" si="0"/>
        <v/>
      </c>
      <c r="M27" s="107" t="str">
        <f t="shared" si="11"/>
        <v/>
      </c>
      <c r="N27" s="136"/>
      <c r="O27" s="190" t="str">
        <f>IFERROR(IF(ISBLANK(DATA!I27),"",DATA!I27),"")</f>
        <v/>
      </c>
      <c r="P27" s="190" t="str">
        <f>IFERROR(IF(ISBLANK(DATA!J27),"",DATA!J27),"")</f>
        <v/>
      </c>
      <c r="Q27" s="190" t="str">
        <f>IFERROR(IF(ISBLANK(DATA!K27),"",DATA!K27),"")</f>
        <v/>
      </c>
      <c r="R27" s="190" t="str">
        <f>IFERROR(IF(ISBLANK(DATA!L27),"",DATA!L27),"")</f>
        <v/>
      </c>
      <c r="S27" s="97" t="str">
        <f t="shared" si="12"/>
        <v/>
      </c>
      <c r="T27" s="106" t="str">
        <f>IFERROR(IF(S27=0,"",ROUND((S27/SUM(SETTINGS!$L$14:$L$17))*SETTINGS!$L$18,0)),"")</f>
        <v/>
      </c>
      <c r="U27" s="190" t="str">
        <f>IFERROR(IF(ISBLANK(DATA!M27),"",DATA!M27),"")</f>
        <v/>
      </c>
      <c r="V27" s="106" t="str">
        <f>IFERROR(IF(ISBLANK(U27),"",ROUND((U27/SETTINGS!$L$19)*SETTINGS!$L$20,0)),"")</f>
        <v/>
      </c>
      <c r="W27" s="106" t="str">
        <f t="shared" si="13"/>
        <v/>
      </c>
      <c r="X27" s="103" t="str">
        <f t="shared" si="14"/>
        <v/>
      </c>
      <c r="Y27" s="107" t="str">
        <f t="shared" si="15"/>
        <v/>
      </c>
      <c r="Z27" s="130"/>
      <c r="AA27" s="190" t="str">
        <f>IFERROR(IF(ISBLANK(DATA!O27),"",DATA!O27),"")</f>
        <v/>
      </c>
      <c r="AB27" s="190" t="str">
        <f>IFERROR(IF(ISBLANK(DATA!P27),"",DATA!P27),"")</f>
        <v/>
      </c>
      <c r="AC27" s="190" t="str">
        <f>IFERROR(IF(ISBLANK(DATA!Q27),"",DATA!Q27),"")</f>
        <v/>
      </c>
      <c r="AD27" s="190" t="str">
        <f>IFERROR(IF(ISBLANK(DATA!R27),"",DATA!R27),"")</f>
        <v/>
      </c>
      <c r="AE27" s="97" t="str">
        <f t="shared" si="16"/>
        <v/>
      </c>
      <c r="AF27" s="106" t="str">
        <f>IFERROR(IF(AE27=0,"",ROUND((AE27/SUM(SETTINGS!$L$14:$L$17))*SETTINGS!$L$18,0)),"")</f>
        <v/>
      </c>
      <c r="AG27" s="190" t="str">
        <f>IFERROR(IF(ISBLANK(DATA!S27),"",DATA!S27),"")</f>
        <v/>
      </c>
      <c r="AH27" s="106" t="str">
        <f>IFERROR(IF(ISBLANK(AG27),"",ROUND((AG27/SETTINGS!$L$19)*SETTINGS!$L$20,0)),"")</f>
        <v/>
      </c>
      <c r="AI27" s="106" t="str">
        <f t="shared" si="17"/>
        <v/>
      </c>
      <c r="AJ27" s="103" t="str">
        <f t="shared" si="2"/>
        <v/>
      </c>
      <c r="AK27" s="108" t="str">
        <f t="shared" si="18"/>
        <v/>
      </c>
      <c r="AL27" s="130"/>
      <c r="AM27" s="190" t="str">
        <f>IFERROR(IF(ISBLANK(DATA!U27),"",DATA!U27),"")</f>
        <v/>
      </c>
      <c r="AN27" s="190" t="str">
        <f>IFERROR(IF(ISBLANK(DATA!V27),"",DATA!V27),"")</f>
        <v/>
      </c>
      <c r="AO27" s="190" t="str">
        <f>IFERROR(IF(ISBLANK(DATA!W27),"",DATA!W27),"")</f>
        <v/>
      </c>
      <c r="AP27" s="190" t="str">
        <f>IFERROR(IF(ISBLANK(DATA!X27),"",DATA!X27),"")</f>
        <v/>
      </c>
      <c r="AQ27" s="97" t="str">
        <f t="shared" si="19"/>
        <v/>
      </c>
      <c r="AR27" s="106" t="str">
        <f>IFERROR(IF(AQ27=0,"",ROUND((AQ27/SUM(SETTINGS!$L$14:$L$17))*SETTINGS!$L$18,0)),"")</f>
        <v/>
      </c>
      <c r="AS27" s="190" t="str">
        <f>IFERROR(IF(ISBLANK(DATA!Y27),"",DATA!Y27),"")</f>
        <v/>
      </c>
      <c r="AT27" s="106" t="str">
        <f>IFERROR(IF(ISBLANK(AS27),"",ROUND((AS27/SETTINGS!$L$19)*SETTINGS!$L$20,0)),"")</f>
        <v/>
      </c>
      <c r="AU27" s="106" t="str">
        <f t="shared" si="20"/>
        <v/>
      </c>
      <c r="AV27" s="103" t="str">
        <f t="shared" si="3"/>
        <v/>
      </c>
      <c r="AW27" s="107" t="str">
        <f t="shared" si="21"/>
        <v/>
      </c>
      <c r="AX27" s="130"/>
      <c r="AY27" s="190" t="str">
        <f>IFERROR(IF(ISBLANK(DATA!AA27),"",DATA!AA27),"")</f>
        <v/>
      </c>
      <c r="AZ27" s="190" t="str">
        <f>IFERROR(IF(ISBLANK(DATA!AB27),"",DATA!AB27),"")</f>
        <v/>
      </c>
      <c r="BA27" s="190" t="str">
        <f>IFERROR(IF(ISBLANK(DATA!AC27),"",DATA!AC27),"")</f>
        <v/>
      </c>
      <c r="BB27" s="190" t="str">
        <f>IFERROR(IF(ISBLANK(DATA!AD27),"",DATA!AD27),"")</f>
        <v/>
      </c>
      <c r="BC27" s="97" t="str">
        <f t="shared" si="22"/>
        <v/>
      </c>
      <c r="BD27" s="106" t="str">
        <f>IFERROR(IF(BC27=0,"",ROUND((BC27/SUM(SETTINGS!$L$14:$L$17))*SETTINGS!$L$18,0)),"")</f>
        <v/>
      </c>
      <c r="BE27" s="190" t="str">
        <f>IFERROR(IF(ISBLANK(DATA!AE27),"",DATA!AE27),"")</f>
        <v/>
      </c>
      <c r="BF27" s="106" t="str">
        <f>IFERROR(IF(ISBLANK(BE27),"",ROUND((BE27/SETTINGS!$L$19)*SETTINGS!$L$20,0)),"")</f>
        <v/>
      </c>
      <c r="BG27" s="106" t="str">
        <f t="shared" si="23"/>
        <v/>
      </c>
      <c r="BH27" s="103" t="str">
        <f t="shared" si="4"/>
        <v/>
      </c>
      <c r="BI27" s="108" t="str">
        <f t="shared" si="24"/>
        <v/>
      </c>
      <c r="BJ27" s="130"/>
      <c r="BK27" s="190" t="str">
        <f>IFERROR(IF(ISBLANK(DATA!AG27),"",DATA!AG27),"")</f>
        <v/>
      </c>
      <c r="BL27" s="190" t="str">
        <f>IFERROR(IF(ISBLANK(DATA!AH27),"",DATA!AH27),"")</f>
        <v/>
      </c>
      <c r="BM27" s="190" t="str">
        <f>IFERROR(IF(ISBLANK(DATA!AI27),"",DATA!AI27),"")</f>
        <v/>
      </c>
      <c r="BN27" s="190" t="str">
        <f>IFERROR(IF(ISBLANK(DATA!AJ27),"",DATA!AJ27),"")</f>
        <v/>
      </c>
      <c r="BO27" s="97" t="str">
        <f t="shared" si="25"/>
        <v/>
      </c>
      <c r="BP27" s="106" t="str">
        <f>IFERROR(IF(BO27=0,"",ROUND((BO27/SUM(SETTINGS!$L$14:$L$17))*SETTINGS!$L$18,0)),"")</f>
        <v/>
      </c>
      <c r="BQ27" s="190" t="str">
        <f>IFERROR(IF(ISBLANK(DATA!AK27),"",DATA!AK27),"")</f>
        <v/>
      </c>
      <c r="BR27" s="106" t="str">
        <f>IFERROR(IF(ISBLANK(BQ27),"",ROUND((BQ27/SETTINGS!$L$19)*SETTINGS!$L$20,0)),"")</f>
        <v/>
      </c>
      <c r="BS27" s="106" t="str">
        <f t="shared" si="26"/>
        <v/>
      </c>
      <c r="BT27" s="103" t="str">
        <f t="shared" si="5"/>
        <v/>
      </c>
      <c r="BU27" s="107" t="str">
        <f t="shared" si="27"/>
        <v/>
      </c>
      <c r="BV27" s="130"/>
      <c r="BW27" s="190" t="str">
        <f>IFERROR(IF(ISBLANK(DATA!AM27),"",DATA!AM27),"")</f>
        <v/>
      </c>
      <c r="BX27" s="190" t="str">
        <f>IFERROR(IF(ISBLANK(DATA!AN27),"",DATA!AN27),"")</f>
        <v/>
      </c>
      <c r="BY27" s="190" t="str">
        <f>IFERROR(IF(ISBLANK(DATA!AO27),"",DATA!AO27),"")</f>
        <v/>
      </c>
      <c r="BZ27" s="190" t="str">
        <f>IFERROR(IF(ISBLANK(DATA!AP27),"",DATA!AP27),"")</f>
        <v/>
      </c>
      <c r="CA27" s="97" t="str">
        <f t="shared" si="28"/>
        <v/>
      </c>
      <c r="CB27" s="106" t="str">
        <f>IFERROR(IF(CA27=0,"",ROUND((CA27/SUM(SETTINGS!$L$14:$L$17))*SETTINGS!$L$18,0)),"")</f>
        <v/>
      </c>
      <c r="CC27" s="190" t="str">
        <f>IFERROR(IF(ISBLANK(DATA!AQ27),"",DATA!AQ27),"")</f>
        <v/>
      </c>
      <c r="CD27" s="106" t="str">
        <f>IFERROR(IF(ISBLANK(CC27),"",ROUND((CC27/SETTINGS!$L$19)*SETTINGS!$L$20,0)),"")</f>
        <v/>
      </c>
      <c r="CE27" s="106" t="str">
        <f t="shared" si="29"/>
        <v/>
      </c>
      <c r="CF27" s="103" t="str">
        <f t="shared" si="6"/>
        <v/>
      </c>
      <c r="CG27" s="107" t="str">
        <f t="shared" si="30"/>
        <v/>
      </c>
      <c r="CH27" s="130"/>
      <c r="CI27" s="190" t="str">
        <f>IFERROR(IF(ISBLANK(DATA!AS27),"",DATA!AS27),"")</f>
        <v/>
      </c>
      <c r="CJ27" s="190" t="str">
        <f>IFERROR(IF(ISBLANK(DATA!AT27),"",DATA!AT27),"")</f>
        <v/>
      </c>
      <c r="CK27" s="190" t="str">
        <f>IFERROR(IF(ISBLANK(DATA!AU27),"",DATA!AU27),"")</f>
        <v/>
      </c>
      <c r="CL27" s="190" t="str">
        <f>IFERROR(IF(ISBLANK(DATA!AV27),"",DATA!AV27),"")</f>
        <v/>
      </c>
      <c r="CM27" s="97" t="str">
        <f t="shared" si="31"/>
        <v/>
      </c>
      <c r="CN27" s="106" t="str">
        <f>IFERROR(IF(CM27=0,"",ROUND((CM27/SUM(SETTINGS!$L$14:$L$17))*SETTINGS!$L$18,0)),"")</f>
        <v/>
      </c>
      <c r="CO27" s="190" t="str">
        <f>IFERROR(IF(ISBLANK(DATA!AW27),"",DATA!AW27),"")</f>
        <v/>
      </c>
      <c r="CP27" s="106" t="str">
        <f>IFERROR(IF(ISBLANK(CO27),"",ROUND((CO27/SETTINGS!$L$19)*SETTINGS!$L$20,0)),"")</f>
        <v/>
      </c>
      <c r="CQ27" s="106" t="str">
        <f t="shared" si="32"/>
        <v/>
      </c>
      <c r="CR27" s="103" t="str">
        <f t="shared" si="7"/>
        <v/>
      </c>
      <c r="CS27" s="107" t="str">
        <f t="shared" si="33"/>
        <v/>
      </c>
      <c r="CT27" s="130"/>
      <c r="CU27" s="190" t="str">
        <f>IFERROR(IF(ISBLANK(DATA!AY27),"",DATA!AY27),"")</f>
        <v/>
      </c>
      <c r="CV27" s="190" t="str">
        <f>IFERROR(IF(ISBLANK(DATA!AZ27),"",DATA!AZ27),"")</f>
        <v/>
      </c>
      <c r="CW27" s="190" t="str">
        <f>IFERROR(IF(ISBLANK(DATA!BA27),"",DATA!BA27),"")</f>
        <v/>
      </c>
      <c r="CX27" s="190" t="str">
        <f>IFERROR(IF(ISBLANK(DATA!BB27),"",DATA!BB27),"")</f>
        <v/>
      </c>
      <c r="CY27" s="97" t="str">
        <f t="shared" si="34"/>
        <v/>
      </c>
      <c r="CZ27" s="106" t="str">
        <f>IFERROR(IF(CY27=0,"",ROUND((CY27/SUM(SETTINGS!$L$14:$L$17))*SETTINGS!$L$18,0)),"")</f>
        <v/>
      </c>
      <c r="DA27" s="190" t="str">
        <f>IFERROR(IF(ISBLANK(DATA!BC27),"",DATA!BC27),"")</f>
        <v/>
      </c>
      <c r="DB27" s="106" t="str">
        <f>IFERROR(IF(ISBLANK(DA27),"",ROUND((DA27/SETTINGS!$L$19)*SETTINGS!$L$20,0)),"")</f>
        <v/>
      </c>
      <c r="DC27" s="106" t="str">
        <f t="shared" si="35"/>
        <v/>
      </c>
      <c r="DD27" s="103" t="str">
        <f t="shared" si="8"/>
        <v/>
      </c>
      <c r="DE27" s="107" t="str">
        <f t="shared" si="36"/>
        <v/>
      </c>
      <c r="DF27" s="103" t="str">
        <f t="shared" si="9"/>
        <v/>
      </c>
      <c r="DG27" s="103" t="str">
        <f>IFERROR(IF(AND(K27,W27,AI27,AU27,BG27,BS27,CE27,CQ27,DC27)="","",SUM(K27,W27,AI27,AU27,LARGE((BG27,BS27,CE27,CQ27,DC27),{1,2}))),"")</f>
        <v/>
      </c>
      <c r="DH27" s="103" t="str">
        <f>IFERROR(IF(AND(M27,Y27,AK27,AW27,,BI27,BU27,CG27,CS27,DE27)="","",SUM(M27,Y27,AK27,AW27,SMALL((BI27,BU27,CG27,CS27,DE27),{1,2}))),"")</f>
        <v/>
      </c>
      <c r="DI27" s="109" t="str">
        <f>IFERROR(IF(ISBLANK($D27),"",pos&amp;IF(AND(MOD(ABS(pos),100)&gt;10,MOD(ABS(pos),100)&lt;14),"th",CHOOSE(MOD(ABS(pos),10)+1,"th","st","nd","rd","th","th","th","th","th","th"))),"")</f>
        <v/>
      </c>
      <c r="DJ27" s="62">
        <f>ROWS($B$12:$B27)</f>
        <v>16</v>
      </c>
      <c r="DK27" s="62" t="str">
        <f>IF($B27=REPORT_CARD!$M$12,$DJ27,"")</f>
        <v/>
      </c>
      <c r="DL27" s="62"/>
      <c r="DM27" s="186"/>
    </row>
    <row r="28" spans="1:117" ht="19.5" customHeight="1">
      <c r="A28" s="187" t="str">
        <f>IFERROR(IF(ISBLANK(DATA!$A28),"",DATA!$A28),"")</f>
        <v/>
      </c>
      <c r="B28" s="187" t="str">
        <f>IFERROR(IF(ISBLANK(DATA!$B28),"",DATA!$B28),"")</f>
        <v/>
      </c>
      <c r="C28" s="190" t="str">
        <f>IFERROR(IF(ISBLANK(DATA!C28),"",DATA!C28),"")</f>
        <v/>
      </c>
      <c r="D28" s="190" t="str">
        <f>IFERROR(IF(ISBLANK(DATA!D28),"",DATA!D28),"")</f>
        <v/>
      </c>
      <c r="E28" s="190" t="str">
        <f>IFERROR(IF(ISBLANK(DATA!E28),"",DATA!E28),"")</f>
        <v/>
      </c>
      <c r="F28" s="190" t="str">
        <f>IFERROR(IF(ISBLANK(DATA!F28),"",DATA!F28),"")</f>
        <v/>
      </c>
      <c r="G28" s="97" t="str">
        <f t="shared" si="37"/>
        <v/>
      </c>
      <c r="H28" s="106" t="str">
        <f>IFERROR(IF(G28=0,"",ROUND((G28/SUM(SETTINGS!$L$14:$L$17))*SETTINGS!$L$18,0)),"")</f>
        <v/>
      </c>
      <c r="I28" s="190" t="str">
        <f>IFERROR(IF(ISBLANK(DATA!G28),"",DATA!G28),"")</f>
        <v/>
      </c>
      <c r="J28" s="106" t="str">
        <f>IFERROR(IF(ISBLANK(I28),"",ROUND((I28/SETTINGS!$L$19)*SETTINGS!$L$20,0)),"")</f>
        <v/>
      </c>
      <c r="K28" s="106" t="str">
        <f t="shared" si="10"/>
        <v/>
      </c>
      <c r="L28" s="103" t="str">
        <f t="shared" si="0"/>
        <v/>
      </c>
      <c r="M28" s="107" t="str">
        <f t="shared" si="11"/>
        <v/>
      </c>
      <c r="N28" s="136"/>
      <c r="O28" s="190" t="str">
        <f>IFERROR(IF(ISBLANK(DATA!I28),"",DATA!I28),"")</f>
        <v/>
      </c>
      <c r="P28" s="190" t="str">
        <f>IFERROR(IF(ISBLANK(DATA!J28),"",DATA!J28),"")</f>
        <v/>
      </c>
      <c r="Q28" s="190" t="str">
        <f>IFERROR(IF(ISBLANK(DATA!K28),"",DATA!K28),"")</f>
        <v/>
      </c>
      <c r="R28" s="190" t="str">
        <f>IFERROR(IF(ISBLANK(DATA!L28),"",DATA!L28),"")</f>
        <v/>
      </c>
      <c r="S28" s="97" t="str">
        <f t="shared" si="12"/>
        <v/>
      </c>
      <c r="T28" s="106" t="str">
        <f>IFERROR(IF(S28=0,"",ROUND((S28/SUM(SETTINGS!$L$14:$L$17))*SETTINGS!$L$18,0)),"")</f>
        <v/>
      </c>
      <c r="U28" s="190" t="str">
        <f>IFERROR(IF(ISBLANK(DATA!M28),"",DATA!M28),"")</f>
        <v/>
      </c>
      <c r="V28" s="106" t="str">
        <f>IFERROR(IF(ISBLANK(U28),"",ROUND((U28/SETTINGS!$L$19)*SETTINGS!$L$20,0)),"")</f>
        <v/>
      </c>
      <c r="W28" s="106" t="str">
        <f t="shared" si="13"/>
        <v/>
      </c>
      <c r="X28" s="103" t="str">
        <f t="shared" si="14"/>
        <v/>
      </c>
      <c r="Y28" s="107" t="str">
        <f t="shared" si="15"/>
        <v/>
      </c>
      <c r="Z28" s="130"/>
      <c r="AA28" s="190" t="str">
        <f>IFERROR(IF(ISBLANK(DATA!O28),"",DATA!O28),"")</f>
        <v/>
      </c>
      <c r="AB28" s="190" t="str">
        <f>IFERROR(IF(ISBLANK(DATA!P28),"",DATA!P28),"")</f>
        <v/>
      </c>
      <c r="AC28" s="190" t="str">
        <f>IFERROR(IF(ISBLANK(DATA!Q28),"",DATA!Q28),"")</f>
        <v/>
      </c>
      <c r="AD28" s="190" t="str">
        <f>IFERROR(IF(ISBLANK(DATA!R28),"",DATA!R28),"")</f>
        <v/>
      </c>
      <c r="AE28" s="97" t="str">
        <f t="shared" si="16"/>
        <v/>
      </c>
      <c r="AF28" s="106" t="str">
        <f>IFERROR(IF(AE28=0,"",ROUND((AE28/SUM(SETTINGS!$L$14:$L$17))*SETTINGS!$L$18,0)),"")</f>
        <v/>
      </c>
      <c r="AG28" s="190" t="str">
        <f>IFERROR(IF(ISBLANK(DATA!S28),"",DATA!S28),"")</f>
        <v/>
      </c>
      <c r="AH28" s="106" t="str">
        <f>IFERROR(IF(ISBLANK(AG28),"",ROUND((AG28/SETTINGS!$L$19)*SETTINGS!$L$20,0)),"")</f>
        <v/>
      </c>
      <c r="AI28" s="106" t="str">
        <f t="shared" si="17"/>
        <v/>
      </c>
      <c r="AJ28" s="103" t="str">
        <f t="shared" si="2"/>
        <v/>
      </c>
      <c r="AK28" s="108" t="str">
        <f t="shared" si="18"/>
        <v/>
      </c>
      <c r="AL28" s="130"/>
      <c r="AM28" s="190" t="str">
        <f>IFERROR(IF(ISBLANK(DATA!U28),"",DATA!U28),"")</f>
        <v/>
      </c>
      <c r="AN28" s="190" t="str">
        <f>IFERROR(IF(ISBLANK(DATA!V28),"",DATA!V28),"")</f>
        <v/>
      </c>
      <c r="AO28" s="190" t="str">
        <f>IFERROR(IF(ISBLANK(DATA!W28),"",DATA!W28),"")</f>
        <v/>
      </c>
      <c r="AP28" s="190" t="str">
        <f>IFERROR(IF(ISBLANK(DATA!X28),"",DATA!X28),"")</f>
        <v/>
      </c>
      <c r="AQ28" s="97" t="str">
        <f t="shared" si="19"/>
        <v/>
      </c>
      <c r="AR28" s="106" t="str">
        <f>IFERROR(IF(AQ28=0,"",ROUND((AQ28/SUM(SETTINGS!$L$14:$L$17))*SETTINGS!$L$18,0)),"")</f>
        <v/>
      </c>
      <c r="AS28" s="190" t="str">
        <f>IFERROR(IF(ISBLANK(DATA!Y28),"",DATA!Y28),"")</f>
        <v/>
      </c>
      <c r="AT28" s="106" t="str">
        <f>IFERROR(IF(ISBLANK(AS28),"",ROUND((AS28/SETTINGS!$L$19)*SETTINGS!$L$20,0)),"")</f>
        <v/>
      </c>
      <c r="AU28" s="106" t="str">
        <f t="shared" si="20"/>
        <v/>
      </c>
      <c r="AV28" s="103" t="str">
        <f t="shared" si="3"/>
        <v/>
      </c>
      <c r="AW28" s="107" t="str">
        <f t="shared" si="21"/>
        <v/>
      </c>
      <c r="AX28" s="130"/>
      <c r="AY28" s="190" t="str">
        <f>IFERROR(IF(ISBLANK(DATA!AA28),"",DATA!AA28),"")</f>
        <v/>
      </c>
      <c r="AZ28" s="190" t="str">
        <f>IFERROR(IF(ISBLANK(DATA!AB28),"",DATA!AB28),"")</f>
        <v/>
      </c>
      <c r="BA28" s="190" t="str">
        <f>IFERROR(IF(ISBLANK(DATA!AC28),"",DATA!AC28),"")</f>
        <v/>
      </c>
      <c r="BB28" s="190" t="str">
        <f>IFERROR(IF(ISBLANK(DATA!AD28),"",DATA!AD28),"")</f>
        <v/>
      </c>
      <c r="BC28" s="97" t="str">
        <f t="shared" si="22"/>
        <v/>
      </c>
      <c r="BD28" s="106" t="str">
        <f>IFERROR(IF(BC28=0,"",ROUND((BC28/SUM(SETTINGS!$L$14:$L$17))*SETTINGS!$L$18,0)),"")</f>
        <v/>
      </c>
      <c r="BE28" s="190" t="str">
        <f>IFERROR(IF(ISBLANK(DATA!AE28),"",DATA!AE28),"")</f>
        <v/>
      </c>
      <c r="BF28" s="106" t="str">
        <f>IFERROR(IF(ISBLANK(BE28),"",ROUND((BE28/SETTINGS!$L$19)*SETTINGS!$L$20,0)),"")</f>
        <v/>
      </c>
      <c r="BG28" s="106" t="str">
        <f t="shared" si="23"/>
        <v/>
      </c>
      <c r="BH28" s="103" t="str">
        <f t="shared" si="4"/>
        <v/>
      </c>
      <c r="BI28" s="108" t="str">
        <f t="shared" si="24"/>
        <v/>
      </c>
      <c r="BJ28" s="130"/>
      <c r="BK28" s="190" t="str">
        <f>IFERROR(IF(ISBLANK(DATA!AG28),"",DATA!AG28),"")</f>
        <v/>
      </c>
      <c r="BL28" s="190" t="str">
        <f>IFERROR(IF(ISBLANK(DATA!AH28),"",DATA!AH28),"")</f>
        <v/>
      </c>
      <c r="BM28" s="190" t="str">
        <f>IFERROR(IF(ISBLANK(DATA!AI28),"",DATA!AI28),"")</f>
        <v/>
      </c>
      <c r="BN28" s="190" t="str">
        <f>IFERROR(IF(ISBLANK(DATA!AJ28),"",DATA!AJ28),"")</f>
        <v/>
      </c>
      <c r="BO28" s="97" t="str">
        <f t="shared" si="25"/>
        <v/>
      </c>
      <c r="BP28" s="106" t="str">
        <f>IFERROR(IF(BO28=0,"",ROUND((BO28/SUM(SETTINGS!$L$14:$L$17))*SETTINGS!$L$18,0)),"")</f>
        <v/>
      </c>
      <c r="BQ28" s="190" t="str">
        <f>IFERROR(IF(ISBLANK(DATA!AK28),"",DATA!AK28),"")</f>
        <v/>
      </c>
      <c r="BR28" s="106" t="str">
        <f>IFERROR(IF(ISBLANK(BQ28),"",ROUND((BQ28/SETTINGS!$L$19)*SETTINGS!$L$20,0)),"")</f>
        <v/>
      </c>
      <c r="BS28" s="106" t="str">
        <f t="shared" si="26"/>
        <v/>
      </c>
      <c r="BT28" s="103" t="str">
        <f t="shared" si="5"/>
        <v/>
      </c>
      <c r="BU28" s="107" t="str">
        <f t="shared" si="27"/>
        <v/>
      </c>
      <c r="BV28" s="130"/>
      <c r="BW28" s="190" t="str">
        <f>IFERROR(IF(ISBLANK(DATA!AM28),"",DATA!AM28),"")</f>
        <v/>
      </c>
      <c r="BX28" s="190" t="str">
        <f>IFERROR(IF(ISBLANK(DATA!AN28),"",DATA!AN28),"")</f>
        <v/>
      </c>
      <c r="BY28" s="190" t="str">
        <f>IFERROR(IF(ISBLANK(DATA!AO28),"",DATA!AO28),"")</f>
        <v/>
      </c>
      <c r="BZ28" s="190" t="str">
        <f>IFERROR(IF(ISBLANK(DATA!AP28),"",DATA!AP28),"")</f>
        <v/>
      </c>
      <c r="CA28" s="97" t="str">
        <f t="shared" si="28"/>
        <v/>
      </c>
      <c r="CB28" s="106" t="str">
        <f>IFERROR(IF(CA28=0,"",ROUND((CA28/SUM(SETTINGS!$L$14:$L$17))*SETTINGS!$L$18,0)),"")</f>
        <v/>
      </c>
      <c r="CC28" s="190" t="str">
        <f>IFERROR(IF(ISBLANK(DATA!AQ28),"",DATA!AQ28),"")</f>
        <v/>
      </c>
      <c r="CD28" s="106" t="str">
        <f>IFERROR(IF(ISBLANK(CC28),"",ROUND((CC28/SETTINGS!$L$19)*SETTINGS!$L$20,0)),"")</f>
        <v/>
      </c>
      <c r="CE28" s="106" t="str">
        <f t="shared" si="29"/>
        <v/>
      </c>
      <c r="CF28" s="103" t="str">
        <f t="shared" si="6"/>
        <v/>
      </c>
      <c r="CG28" s="107" t="str">
        <f t="shared" si="30"/>
        <v/>
      </c>
      <c r="CH28" s="130"/>
      <c r="CI28" s="190" t="str">
        <f>IFERROR(IF(ISBLANK(DATA!AS28),"",DATA!AS28),"")</f>
        <v/>
      </c>
      <c r="CJ28" s="190" t="str">
        <f>IFERROR(IF(ISBLANK(DATA!AT28),"",DATA!AT28),"")</f>
        <v/>
      </c>
      <c r="CK28" s="190" t="str">
        <f>IFERROR(IF(ISBLANK(DATA!AU28),"",DATA!AU28),"")</f>
        <v/>
      </c>
      <c r="CL28" s="190" t="str">
        <f>IFERROR(IF(ISBLANK(DATA!AV28),"",DATA!AV28),"")</f>
        <v/>
      </c>
      <c r="CM28" s="97" t="str">
        <f t="shared" si="31"/>
        <v/>
      </c>
      <c r="CN28" s="106" t="str">
        <f>IFERROR(IF(CM28=0,"",ROUND((CM28/SUM(SETTINGS!$L$14:$L$17))*SETTINGS!$L$18,0)),"")</f>
        <v/>
      </c>
      <c r="CO28" s="190" t="str">
        <f>IFERROR(IF(ISBLANK(DATA!AW28),"",DATA!AW28),"")</f>
        <v/>
      </c>
      <c r="CP28" s="106" t="str">
        <f>IFERROR(IF(ISBLANK(CO28),"",ROUND((CO28/SETTINGS!$L$19)*SETTINGS!$L$20,0)),"")</f>
        <v/>
      </c>
      <c r="CQ28" s="106" t="str">
        <f t="shared" si="32"/>
        <v/>
      </c>
      <c r="CR28" s="103" t="str">
        <f t="shared" si="7"/>
        <v/>
      </c>
      <c r="CS28" s="107" t="str">
        <f t="shared" si="33"/>
        <v/>
      </c>
      <c r="CT28" s="130"/>
      <c r="CU28" s="190" t="str">
        <f>IFERROR(IF(ISBLANK(DATA!AY28),"",DATA!AY28),"")</f>
        <v/>
      </c>
      <c r="CV28" s="190" t="str">
        <f>IFERROR(IF(ISBLANK(DATA!AZ28),"",DATA!AZ28),"")</f>
        <v/>
      </c>
      <c r="CW28" s="190" t="str">
        <f>IFERROR(IF(ISBLANK(DATA!BA28),"",DATA!BA28),"")</f>
        <v/>
      </c>
      <c r="CX28" s="190" t="str">
        <f>IFERROR(IF(ISBLANK(DATA!BB28),"",DATA!BB28),"")</f>
        <v/>
      </c>
      <c r="CY28" s="97" t="str">
        <f t="shared" si="34"/>
        <v/>
      </c>
      <c r="CZ28" s="106" t="str">
        <f>IFERROR(IF(CY28=0,"",ROUND((CY28/SUM(SETTINGS!$L$14:$L$17))*SETTINGS!$L$18,0)),"")</f>
        <v/>
      </c>
      <c r="DA28" s="190" t="str">
        <f>IFERROR(IF(ISBLANK(DATA!BC28),"",DATA!BC28),"")</f>
        <v/>
      </c>
      <c r="DB28" s="106" t="str">
        <f>IFERROR(IF(ISBLANK(DA28),"",ROUND((DA28/SETTINGS!$L$19)*SETTINGS!$L$20,0)),"")</f>
        <v/>
      </c>
      <c r="DC28" s="106" t="str">
        <f t="shared" si="35"/>
        <v/>
      </c>
      <c r="DD28" s="103" t="str">
        <f t="shared" si="8"/>
        <v/>
      </c>
      <c r="DE28" s="107" t="str">
        <f t="shared" si="36"/>
        <v/>
      </c>
      <c r="DF28" s="103" t="str">
        <f t="shared" si="9"/>
        <v/>
      </c>
      <c r="DG28" s="103" t="str">
        <f>IFERROR(IF(AND(K28,W28,AI28,AU28,BG28,BS28,CE28,CQ28,DC28)="","",SUM(K28,W28,AI28,AU28,LARGE((BG28,BS28,CE28,CQ28,DC28),{1,2}))),"")</f>
        <v/>
      </c>
      <c r="DH28" s="103" t="str">
        <f>IFERROR(IF(AND(M28,Y28,AK28,AW28,,BI28,BU28,CG28,CS28,DE28)="","",SUM(M28,Y28,AK28,AW28,SMALL((BI28,BU28,CG28,CS28,DE28),{1,2}))),"")</f>
        <v/>
      </c>
      <c r="DI28" s="109" t="str">
        <f>IFERROR(IF(ISBLANK($D28),"",pos&amp;IF(AND(MOD(ABS(pos),100)&gt;10,MOD(ABS(pos),100)&lt;14),"th",CHOOSE(MOD(ABS(pos),10)+1,"th","st","nd","rd","th","th","th","th","th","th"))),"")</f>
        <v/>
      </c>
      <c r="DJ28" s="62">
        <f>ROWS($B$12:$B28)</f>
        <v>17</v>
      </c>
      <c r="DK28" s="62" t="str">
        <f>IF($B28=REPORT_CARD!$M$12,$DJ28,"")</f>
        <v/>
      </c>
      <c r="DL28" s="62"/>
      <c r="DM28" s="186"/>
    </row>
    <row r="29" spans="1:117" ht="19.5" customHeight="1">
      <c r="A29" s="187" t="str">
        <f>IFERROR(IF(ISBLANK(DATA!$A29),"",DATA!$A29),"")</f>
        <v/>
      </c>
      <c r="B29" s="187" t="str">
        <f>IFERROR(IF(ISBLANK(DATA!$B29),"",DATA!$B29),"")</f>
        <v/>
      </c>
      <c r="C29" s="190" t="str">
        <f>IFERROR(IF(ISBLANK(DATA!C29),"",DATA!C29),"")</f>
        <v/>
      </c>
      <c r="D29" s="190" t="str">
        <f>IFERROR(IF(ISBLANK(DATA!D29),"",DATA!D29),"")</f>
        <v/>
      </c>
      <c r="E29" s="190" t="str">
        <f>IFERROR(IF(ISBLANK(DATA!E29),"",DATA!E29),"")</f>
        <v/>
      </c>
      <c r="F29" s="190" t="str">
        <f>IFERROR(IF(ISBLANK(DATA!F29),"",DATA!F29),"")</f>
        <v/>
      </c>
      <c r="G29" s="97" t="str">
        <f t="shared" si="37"/>
        <v/>
      </c>
      <c r="H29" s="106" t="str">
        <f>IFERROR(IF(G29=0,"",ROUND((G29/SUM(SETTINGS!$L$14:$L$17))*SETTINGS!$L$18,0)),"")</f>
        <v/>
      </c>
      <c r="I29" s="190" t="str">
        <f>IFERROR(IF(ISBLANK(DATA!G29),"",DATA!G29),"")</f>
        <v/>
      </c>
      <c r="J29" s="106" t="str">
        <f>IFERROR(IF(ISBLANK(I29),"",ROUND((I29/SETTINGS!$L$19)*SETTINGS!$L$20,0)),"")</f>
        <v/>
      </c>
      <c r="K29" s="106" t="str">
        <f t="shared" si="10"/>
        <v/>
      </c>
      <c r="L29" s="103" t="str">
        <f t="shared" si="0"/>
        <v/>
      </c>
      <c r="M29" s="107" t="str">
        <f t="shared" si="11"/>
        <v/>
      </c>
      <c r="N29" s="136"/>
      <c r="O29" s="190" t="str">
        <f>IFERROR(IF(ISBLANK(DATA!I29),"",DATA!I29),"")</f>
        <v/>
      </c>
      <c r="P29" s="190" t="str">
        <f>IFERROR(IF(ISBLANK(DATA!J29),"",DATA!J29),"")</f>
        <v/>
      </c>
      <c r="Q29" s="190" t="str">
        <f>IFERROR(IF(ISBLANK(DATA!K29),"",DATA!K29),"")</f>
        <v/>
      </c>
      <c r="R29" s="190" t="str">
        <f>IFERROR(IF(ISBLANK(DATA!L29),"",DATA!L29),"")</f>
        <v/>
      </c>
      <c r="S29" s="97" t="str">
        <f t="shared" si="12"/>
        <v/>
      </c>
      <c r="T29" s="106" t="str">
        <f>IFERROR(IF(S29=0,"",ROUND((S29/SUM(SETTINGS!$L$14:$L$17))*SETTINGS!$L$18,0)),"")</f>
        <v/>
      </c>
      <c r="U29" s="190" t="str">
        <f>IFERROR(IF(ISBLANK(DATA!M29),"",DATA!M29),"")</f>
        <v/>
      </c>
      <c r="V29" s="106" t="str">
        <f>IFERROR(IF(ISBLANK(U29),"",ROUND((U29/SETTINGS!$L$19)*SETTINGS!$L$20,0)),"")</f>
        <v/>
      </c>
      <c r="W29" s="106" t="str">
        <f t="shared" si="13"/>
        <v/>
      </c>
      <c r="X29" s="103" t="str">
        <f t="shared" si="14"/>
        <v/>
      </c>
      <c r="Y29" s="107" t="str">
        <f t="shared" si="15"/>
        <v/>
      </c>
      <c r="Z29" s="130"/>
      <c r="AA29" s="190" t="str">
        <f>IFERROR(IF(ISBLANK(DATA!O29),"",DATA!O29),"")</f>
        <v/>
      </c>
      <c r="AB29" s="190" t="str">
        <f>IFERROR(IF(ISBLANK(DATA!P29),"",DATA!P29),"")</f>
        <v/>
      </c>
      <c r="AC29" s="190" t="str">
        <f>IFERROR(IF(ISBLANK(DATA!Q29),"",DATA!Q29),"")</f>
        <v/>
      </c>
      <c r="AD29" s="190" t="str">
        <f>IFERROR(IF(ISBLANK(DATA!R29),"",DATA!R29),"")</f>
        <v/>
      </c>
      <c r="AE29" s="97" t="str">
        <f t="shared" si="16"/>
        <v/>
      </c>
      <c r="AF29" s="106" t="str">
        <f>IFERROR(IF(AE29=0,"",ROUND((AE29/SUM(SETTINGS!$L$14:$L$17))*SETTINGS!$L$18,0)),"")</f>
        <v/>
      </c>
      <c r="AG29" s="190" t="str">
        <f>IFERROR(IF(ISBLANK(DATA!S29),"",DATA!S29),"")</f>
        <v/>
      </c>
      <c r="AH29" s="106" t="str">
        <f>IFERROR(IF(ISBLANK(AG29),"",ROUND((AG29/SETTINGS!$L$19)*SETTINGS!$L$20,0)),"")</f>
        <v/>
      </c>
      <c r="AI29" s="106" t="str">
        <f t="shared" si="17"/>
        <v/>
      </c>
      <c r="AJ29" s="103" t="str">
        <f t="shared" si="2"/>
        <v/>
      </c>
      <c r="AK29" s="108" t="str">
        <f t="shared" si="18"/>
        <v/>
      </c>
      <c r="AL29" s="130"/>
      <c r="AM29" s="190" t="str">
        <f>IFERROR(IF(ISBLANK(DATA!U29),"",DATA!U29),"")</f>
        <v/>
      </c>
      <c r="AN29" s="190" t="str">
        <f>IFERROR(IF(ISBLANK(DATA!V29),"",DATA!V29),"")</f>
        <v/>
      </c>
      <c r="AO29" s="190" t="str">
        <f>IFERROR(IF(ISBLANK(DATA!W29),"",DATA!W29),"")</f>
        <v/>
      </c>
      <c r="AP29" s="190" t="str">
        <f>IFERROR(IF(ISBLANK(DATA!X29),"",DATA!X29),"")</f>
        <v/>
      </c>
      <c r="AQ29" s="97" t="str">
        <f t="shared" si="19"/>
        <v/>
      </c>
      <c r="AR29" s="106" t="str">
        <f>IFERROR(IF(AQ29=0,"",ROUND((AQ29/SUM(SETTINGS!$L$14:$L$17))*SETTINGS!$L$18,0)),"")</f>
        <v/>
      </c>
      <c r="AS29" s="190" t="str">
        <f>IFERROR(IF(ISBLANK(DATA!Y29),"",DATA!Y29),"")</f>
        <v/>
      </c>
      <c r="AT29" s="106" t="str">
        <f>IFERROR(IF(ISBLANK(AS29),"",ROUND((AS29/SETTINGS!$L$19)*SETTINGS!$L$20,0)),"")</f>
        <v/>
      </c>
      <c r="AU29" s="106" t="str">
        <f t="shared" si="20"/>
        <v/>
      </c>
      <c r="AV29" s="103" t="str">
        <f t="shared" si="3"/>
        <v/>
      </c>
      <c r="AW29" s="107" t="str">
        <f t="shared" si="21"/>
        <v/>
      </c>
      <c r="AX29" s="130"/>
      <c r="AY29" s="190" t="str">
        <f>IFERROR(IF(ISBLANK(DATA!AA29),"",DATA!AA29),"")</f>
        <v/>
      </c>
      <c r="AZ29" s="190" t="str">
        <f>IFERROR(IF(ISBLANK(DATA!AB29),"",DATA!AB29),"")</f>
        <v/>
      </c>
      <c r="BA29" s="190" t="str">
        <f>IFERROR(IF(ISBLANK(DATA!AC29),"",DATA!AC29),"")</f>
        <v/>
      </c>
      <c r="BB29" s="190" t="str">
        <f>IFERROR(IF(ISBLANK(DATA!AD29),"",DATA!AD29),"")</f>
        <v/>
      </c>
      <c r="BC29" s="97" t="str">
        <f t="shared" si="22"/>
        <v/>
      </c>
      <c r="BD29" s="106" t="str">
        <f>IFERROR(IF(BC29=0,"",ROUND((BC29/SUM(SETTINGS!$L$14:$L$17))*SETTINGS!$L$18,0)),"")</f>
        <v/>
      </c>
      <c r="BE29" s="190" t="str">
        <f>IFERROR(IF(ISBLANK(DATA!AE29),"",DATA!AE29),"")</f>
        <v/>
      </c>
      <c r="BF29" s="106" t="str">
        <f>IFERROR(IF(ISBLANK(BE29),"",ROUND((BE29/SETTINGS!$L$19)*SETTINGS!$L$20,0)),"")</f>
        <v/>
      </c>
      <c r="BG29" s="106" t="str">
        <f t="shared" si="23"/>
        <v/>
      </c>
      <c r="BH29" s="103" t="str">
        <f t="shared" si="4"/>
        <v/>
      </c>
      <c r="BI29" s="108" t="str">
        <f t="shared" si="24"/>
        <v/>
      </c>
      <c r="BJ29" s="130"/>
      <c r="BK29" s="190" t="str">
        <f>IFERROR(IF(ISBLANK(DATA!AG29),"",DATA!AG29),"")</f>
        <v/>
      </c>
      <c r="BL29" s="190" t="str">
        <f>IFERROR(IF(ISBLANK(DATA!AH29),"",DATA!AH29),"")</f>
        <v/>
      </c>
      <c r="BM29" s="190" t="str">
        <f>IFERROR(IF(ISBLANK(DATA!AI29),"",DATA!AI29),"")</f>
        <v/>
      </c>
      <c r="BN29" s="190" t="str">
        <f>IFERROR(IF(ISBLANK(DATA!AJ29),"",DATA!AJ29),"")</f>
        <v/>
      </c>
      <c r="BO29" s="97" t="str">
        <f t="shared" si="25"/>
        <v/>
      </c>
      <c r="BP29" s="106" t="str">
        <f>IFERROR(IF(BO29=0,"",ROUND((BO29/SUM(SETTINGS!$L$14:$L$17))*SETTINGS!$L$18,0)),"")</f>
        <v/>
      </c>
      <c r="BQ29" s="190" t="str">
        <f>IFERROR(IF(ISBLANK(DATA!AK29),"",DATA!AK29),"")</f>
        <v/>
      </c>
      <c r="BR29" s="106" t="str">
        <f>IFERROR(IF(ISBLANK(BQ29),"",ROUND((BQ29/SETTINGS!$L$19)*SETTINGS!$L$20,0)),"")</f>
        <v/>
      </c>
      <c r="BS29" s="106" t="str">
        <f t="shared" si="26"/>
        <v/>
      </c>
      <c r="BT29" s="103" t="str">
        <f t="shared" si="5"/>
        <v/>
      </c>
      <c r="BU29" s="107" t="str">
        <f t="shared" si="27"/>
        <v/>
      </c>
      <c r="BV29" s="130"/>
      <c r="BW29" s="190" t="str">
        <f>IFERROR(IF(ISBLANK(DATA!AM29),"",DATA!AM29),"")</f>
        <v/>
      </c>
      <c r="BX29" s="190" t="str">
        <f>IFERROR(IF(ISBLANK(DATA!AN29),"",DATA!AN29),"")</f>
        <v/>
      </c>
      <c r="BY29" s="190" t="str">
        <f>IFERROR(IF(ISBLANK(DATA!AO29),"",DATA!AO29),"")</f>
        <v/>
      </c>
      <c r="BZ29" s="190" t="str">
        <f>IFERROR(IF(ISBLANK(DATA!AP29),"",DATA!AP29),"")</f>
        <v/>
      </c>
      <c r="CA29" s="97" t="str">
        <f t="shared" si="28"/>
        <v/>
      </c>
      <c r="CB29" s="106" t="str">
        <f>IFERROR(IF(CA29=0,"",ROUND((CA29/SUM(SETTINGS!$L$14:$L$17))*SETTINGS!$L$18,0)),"")</f>
        <v/>
      </c>
      <c r="CC29" s="190" t="str">
        <f>IFERROR(IF(ISBLANK(DATA!AQ29),"",DATA!AQ29),"")</f>
        <v/>
      </c>
      <c r="CD29" s="106" t="str">
        <f>IFERROR(IF(ISBLANK(CC29),"",ROUND((CC29/SETTINGS!$L$19)*SETTINGS!$L$20,0)),"")</f>
        <v/>
      </c>
      <c r="CE29" s="106" t="str">
        <f t="shared" si="29"/>
        <v/>
      </c>
      <c r="CF29" s="103" t="str">
        <f t="shared" si="6"/>
        <v/>
      </c>
      <c r="CG29" s="107" t="str">
        <f t="shared" si="30"/>
        <v/>
      </c>
      <c r="CH29" s="130"/>
      <c r="CI29" s="190" t="str">
        <f>IFERROR(IF(ISBLANK(DATA!AS29),"",DATA!AS29),"")</f>
        <v/>
      </c>
      <c r="CJ29" s="190" t="str">
        <f>IFERROR(IF(ISBLANK(DATA!AT29),"",DATA!AT29),"")</f>
        <v/>
      </c>
      <c r="CK29" s="190" t="str">
        <f>IFERROR(IF(ISBLANK(DATA!AU29),"",DATA!AU29),"")</f>
        <v/>
      </c>
      <c r="CL29" s="190" t="str">
        <f>IFERROR(IF(ISBLANK(DATA!AV29),"",DATA!AV29),"")</f>
        <v/>
      </c>
      <c r="CM29" s="97" t="str">
        <f t="shared" si="31"/>
        <v/>
      </c>
      <c r="CN29" s="106" t="str">
        <f>IFERROR(IF(CM29=0,"",ROUND((CM29/SUM(SETTINGS!$L$14:$L$17))*SETTINGS!$L$18,0)),"")</f>
        <v/>
      </c>
      <c r="CO29" s="190" t="str">
        <f>IFERROR(IF(ISBLANK(DATA!AW29),"",DATA!AW29),"")</f>
        <v/>
      </c>
      <c r="CP29" s="106" t="str">
        <f>IFERROR(IF(ISBLANK(CO29),"",ROUND((CO29/SETTINGS!$L$19)*SETTINGS!$L$20,0)),"")</f>
        <v/>
      </c>
      <c r="CQ29" s="106" t="str">
        <f t="shared" si="32"/>
        <v/>
      </c>
      <c r="CR29" s="103" t="str">
        <f t="shared" si="7"/>
        <v/>
      </c>
      <c r="CS29" s="107" t="str">
        <f t="shared" si="33"/>
        <v/>
      </c>
      <c r="CT29" s="130"/>
      <c r="CU29" s="190" t="str">
        <f>IFERROR(IF(ISBLANK(DATA!AY29),"",DATA!AY29),"")</f>
        <v/>
      </c>
      <c r="CV29" s="190" t="str">
        <f>IFERROR(IF(ISBLANK(DATA!AZ29),"",DATA!AZ29),"")</f>
        <v/>
      </c>
      <c r="CW29" s="190" t="str">
        <f>IFERROR(IF(ISBLANK(DATA!BA29),"",DATA!BA29),"")</f>
        <v/>
      </c>
      <c r="CX29" s="190" t="str">
        <f>IFERROR(IF(ISBLANK(DATA!BB29),"",DATA!BB29),"")</f>
        <v/>
      </c>
      <c r="CY29" s="97" t="str">
        <f t="shared" si="34"/>
        <v/>
      </c>
      <c r="CZ29" s="106" t="str">
        <f>IFERROR(IF(CY29=0,"",ROUND((CY29/SUM(SETTINGS!$L$14:$L$17))*SETTINGS!$L$18,0)),"")</f>
        <v/>
      </c>
      <c r="DA29" s="190" t="str">
        <f>IFERROR(IF(ISBLANK(DATA!BC29),"",DATA!BC29),"")</f>
        <v/>
      </c>
      <c r="DB29" s="106" t="str">
        <f>IFERROR(IF(ISBLANK(DA29),"",ROUND((DA29/SETTINGS!$L$19)*SETTINGS!$L$20,0)),"")</f>
        <v/>
      </c>
      <c r="DC29" s="106" t="str">
        <f t="shared" si="35"/>
        <v/>
      </c>
      <c r="DD29" s="103" t="str">
        <f t="shared" si="8"/>
        <v/>
      </c>
      <c r="DE29" s="107" t="str">
        <f t="shared" si="36"/>
        <v/>
      </c>
      <c r="DF29" s="103" t="str">
        <f t="shared" si="9"/>
        <v/>
      </c>
      <c r="DG29" s="103" t="str">
        <f>IFERROR(IF(AND(K29,W29,AI29,AU29,BG29,BS29,CE29,CQ29,DC29)="","",SUM(K29,W29,AI29,AU29,LARGE((BG29,BS29,CE29,CQ29,DC29),{1,2}))),"")</f>
        <v/>
      </c>
      <c r="DH29" s="103" t="str">
        <f>IFERROR(IF(AND(M29,Y29,AK29,AW29,,BI29,BU29,CG29,CS29,DE29)="","",SUM(M29,Y29,AK29,AW29,SMALL((BI29,BU29,CG29,CS29,DE29),{1,2}))),"")</f>
        <v/>
      </c>
      <c r="DI29" s="109" t="str">
        <f>IFERROR(IF(ISBLANK($D29),"",pos&amp;IF(AND(MOD(ABS(pos),100)&gt;10,MOD(ABS(pos),100)&lt;14),"th",CHOOSE(MOD(ABS(pos),10)+1,"th","st","nd","rd","th","th","th","th","th","th"))),"")</f>
        <v/>
      </c>
      <c r="DJ29" s="62">
        <f>ROWS($B$12:$B29)</f>
        <v>18</v>
      </c>
      <c r="DK29" s="62" t="str">
        <f>IF($B29=REPORT_CARD!$M$12,$DJ29,"")</f>
        <v/>
      </c>
      <c r="DL29" s="62"/>
      <c r="DM29" s="186"/>
    </row>
    <row r="30" spans="1:117" ht="19.5" customHeight="1">
      <c r="A30" s="187" t="str">
        <f>IFERROR(IF(ISBLANK(DATA!$A30),"",DATA!$A30),"")</f>
        <v/>
      </c>
      <c r="B30" s="187" t="str">
        <f>IFERROR(IF(ISBLANK(DATA!$B30),"",DATA!$B30),"")</f>
        <v/>
      </c>
      <c r="C30" s="190" t="str">
        <f>IFERROR(IF(ISBLANK(DATA!C30),"",DATA!C30),"")</f>
        <v/>
      </c>
      <c r="D30" s="190" t="str">
        <f>IFERROR(IF(ISBLANK(DATA!D30),"",DATA!D30),"")</f>
        <v/>
      </c>
      <c r="E30" s="190" t="str">
        <f>IFERROR(IF(ISBLANK(DATA!E30),"",DATA!E30),"")</f>
        <v/>
      </c>
      <c r="F30" s="190" t="str">
        <f>IFERROR(IF(ISBLANK(DATA!F30),"",DATA!F30),"")</f>
        <v/>
      </c>
      <c r="G30" s="97" t="str">
        <f t="shared" si="37"/>
        <v/>
      </c>
      <c r="H30" s="106" t="str">
        <f>IFERROR(IF(G30=0,"",ROUND((G30/SUM(SETTINGS!$L$14:$L$17))*SETTINGS!$L$18,0)),"")</f>
        <v/>
      </c>
      <c r="I30" s="190" t="str">
        <f>IFERROR(IF(ISBLANK(DATA!G30),"",DATA!G30),"")</f>
        <v/>
      </c>
      <c r="J30" s="106" t="str">
        <f>IFERROR(IF(ISBLANK(I30),"",ROUND((I30/SETTINGS!$L$19)*SETTINGS!$L$20,0)),"")</f>
        <v/>
      </c>
      <c r="K30" s="106" t="str">
        <f t="shared" si="10"/>
        <v/>
      </c>
      <c r="L30" s="103" t="str">
        <f t="shared" si="0"/>
        <v/>
      </c>
      <c r="M30" s="107" t="str">
        <f t="shared" si="11"/>
        <v/>
      </c>
      <c r="N30" s="136"/>
      <c r="O30" s="190" t="str">
        <f>IFERROR(IF(ISBLANK(DATA!I30),"",DATA!I30),"")</f>
        <v/>
      </c>
      <c r="P30" s="190" t="str">
        <f>IFERROR(IF(ISBLANK(DATA!J30),"",DATA!J30),"")</f>
        <v/>
      </c>
      <c r="Q30" s="190" t="str">
        <f>IFERROR(IF(ISBLANK(DATA!K30),"",DATA!K30),"")</f>
        <v/>
      </c>
      <c r="R30" s="190" t="str">
        <f>IFERROR(IF(ISBLANK(DATA!L30),"",DATA!L30),"")</f>
        <v/>
      </c>
      <c r="S30" s="97" t="str">
        <f t="shared" si="12"/>
        <v/>
      </c>
      <c r="T30" s="106" t="str">
        <f>IFERROR(IF(S30=0,"",ROUND((S30/SUM(SETTINGS!$L$14:$L$17))*SETTINGS!$L$18,0)),"")</f>
        <v/>
      </c>
      <c r="U30" s="190" t="str">
        <f>IFERROR(IF(ISBLANK(DATA!M30),"",DATA!M30),"")</f>
        <v/>
      </c>
      <c r="V30" s="106" t="str">
        <f>IFERROR(IF(ISBLANK(U30),"",ROUND((U30/SETTINGS!$L$19)*SETTINGS!$L$20,0)),"")</f>
        <v/>
      </c>
      <c r="W30" s="106" t="str">
        <f t="shared" si="13"/>
        <v/>
      </c>
      <c r="X30" s="103" t="str">
        <f t="shared" si="14"/>
        <v/>
      </c>
      <c r="Y30" s="107" t="str">
        <f t="shared" si="15"/>
        <v/>
      </c>
      <c r="Z30" s="130"/>
      <c r="AA30" s="190" t="str">
        <f>IFERROR(IF(ISBLANK(DATA!O30),"",DATA!O30),"")</f>
        <v/>
      </c>
      <c r="AB30" s="190" t="str">
        <f>IFERROR(IF(ISBLANK(DATA!P30),"",DATA!P30),"")</f>
        <v/>
      </c>
      <c r="AC30" s="190" t="str">
        <f>IFERROR(IF(ISBLANK(DATA!Q30),"",DATA!Q30),"")</f>
        <v/>
      </c>
      <c r="AD30" s="190" t="str">
        <f>IFERROR(IF(ISBLANK(DATA!R30),"",DATA!R30),"")</f>
        <v/>
      </c>
      <c r="AE30" s="97" t="str">
        <f t="shared" si="16"/>
        <v/>
      </c>
      <c r="AF30" s="106" t="str">
        <f>IFERROR(IF(AE30=0,"",ROUND((AE30/SUM(SETTINGS!$L$14:$L$17))*SETTINGS!$L$18,0)),"")</f>
        <v/>
      </c>
      <c r="AG30" s="190" t="str">
        <f>IFERROR(IF(ISBLANK(DATA!S30),"",DATA!S30),"")</f>
        <v/>
      </c>
      <c r="AH30" s="106" t="str">
        <f>IFERROR(IF(ISBLANK(AG30),"",ROUND((AG30/SETTINGS!$L$19)*SETTINGS!$L$20,0)),"")</f>
        <v/>
      </c>
      <c r="AI30" s="106" t="str">
        <f t="shared" si="17"/>
        <v/>
      </c>
      <c r="AJ30" s="103" t="str">
        <f t="shared" si="2"/>
        <v/>
      </c>
      <c r="AK30" s="108" t="str">
        <f t="shared" si="18"/>
        <v/>
      </c>
      <c r="AL30" s="130"/>
      <c r="AM30" s="190" t="str">
        <f>IFERROR(IF(ISBLANK(DATA!U30),"",DATA!U30),"")</f>
        <v/>
      </c>
      <c r="AN30" s="190" t="str">
        <f>IFERROR(IF(ISBLANK(DATA!V30),"",DATA!V30),"")</f>
        <v/>
      </c>
      <c r="AO30" s="190" t="str">
        <f>IFERROR(IF(ISBLANK(DATA!W30),"",DATA!W30),"")</f>
        <v/>
      </c>
      <c r="AP30" s="190" t="str">
        <f>IFERROR(IF(ISBLANK(DATA!X30),"",DATA!X30),"")</f>
        <v/>
      </c>
      <c r="AQ30" s="97" t="str">
        <f t="shared" si="19"/>
        <v/>
      </c>
      <c r="AR30" s="106" t="str">
        <f>IFERROR(IF(AQ30=0,"",ROUND((AQ30/SUM(SETTINGS!$L$14:$L$17))*SETTINGS!$L$18,0)),"")</f>
        <v/>
      </c>
      <c r="AS30" s="190" t="str">
        <f>IFERROR(IF(ISBLANK(DATA!Y30),"",DATA!Y30),"")</f>
        <v/>
      </c>
      <c r="AT30" s="106" t="str">
        <f>IFERROR(IF(ISBLANK(AS30),"",ROUND((AS30/SETTINGS!$L$19)*SETTINGS!$L$20,0)),"")</f>
        <v/>
      </c>
      <c r="AU30" s="106" t="str">
        <f t="shared" si="20"/>
        <v/>
      </c>
      <c r="AV30" s="103" t="str">
        <f t="shared" si="3"/>
        <v/>
      </c>
      <c r="AW30" s="107" t="str">
        <f t="shared" si="21"/>
        <v/>
      </c>
      <c r="AX30" s="130"/>
      <c r="AY30" s="190" t="str">
        <f>IFERROR(IF(ISBLANK(DATA!AA30),"",DATA!AA30),"")</f>
        <v/>
      </c>
      <c r="AZ30" s="190" t="str">
        <f>IFERROR(IF(ISBLANK(DATA!AB30),"",DATA!AB30),"")</f>
        <v/>
      </c>
      <c r="BA30" s="190" t="str">
        <f>IFERROR(IF(ISBLANK(DATA!AC30),"",DATA!AC30),"")</f>
        <v/>
      </c>
      <c r="BB30" s="190" t="str">
        <f>IFERROR(IF(ISBLANK(DATA!AD30),"",DATA!AD30),"")</f>
        <v/>
      </c>
      <c r="BC30" s="97" t="str">
        <f t="shared" si="22"/>
        <v/>
      </c>
      <c r="BD30" s="106" t="str">
        <f>IFERROR(IF(BC30=0,"",ROUND((BC30/SUM(SETTINGS!$L$14:$L$17))*SETTINGS!$L$18,0)),"")</f>
        <v/>
      </c>
      <c r="BE30" s="190" t="str">
        <f>IFERROR(IF(ISBLANK(DATA!AE30),"",DATA!AE30),"")</f>
        <v/>
      </c>
      <c r="BF30" s="106" t="str">
        <f>IFERROR(IF(ISBLANK(BE30),"",ROUND((BE30/SETTINGS!$L$19)*SETTINGS!$L$20,0)),"")</f>
        <v/>
      </c>
      <c r="BG30" s="106" t="str">
        <f t="shared" si="23"/>
        <v/>
      </c>
      <c r="BH30" s="103" t="str">
        <f t="shared" si="4"/>
        <v/>
      </c>
      <c r="BI30" s="108" t="str">
        <f t="shared" si="24"/>
        <v/>
      </c>
      <c r="BJ30" s="130"/>
      <c r="BK30" s="190" t="str">
        <f>IFERROR(IF(ISBLANK(DATA!AG30),"",DATA!AG30),"")</f>
        <v/>
      </c>
      <c r="BL30" s="190" t="str">
        <f>IFERROR(IF(ISBLANK(DATA!AH30),"",DATA!AH30),"")</f>
        <v/>
      </c>
      <c r="BM30" s="190" t="str">
        <f>IFERROR(IF(ISBLANK(DATA!AI30),"",DATA!AI30),"")</f>
        <v/>
      </c>
      <c r="BN30" s="190" t="str">
        <f>IFERROR(IF(ISBLANK(DATA!AJ30),"",DATA!AJ30),"")</f>
        <v/>
      </c>
      <c r="BO30" s="97" t="str">
        <f t="shared" si="25"/>
        <v/>
      </c>
      <c r="BP30" s="106" t="str">
        <f>IFERROR(IF(BO30=0,"",ROUND((BO30/SUM(SETTINGS!$L$14:$L$17))*SETTINGS!$L$18,0)),"")</f>
        <v/>
      </c>
      <c r="BQ30" s="190" t="str">
        <f>IFERROR(IF(ISBLANK(DATA!AK30),"",DATA!AK30),"")</f>
        <v/>
      </c>
      <c r="BR30" s="106" t="str">
        <f>IFERROR(IF(ISBLANK(BQ30),"",ROUND((BQ30/SETTINGS!$L$19)*SETTINGS!$L$20,0)),"")</f>
        <v/>
      </c>
      <c r="BS30" s="106" t="str">
        <f t="shared" si="26"/>
        <v/>
      </c>
      <c r="BT30" s="103" t="str">
        <f t="shared" si="5"/>
        <v/>
      </c>
      <c r="BU30" s="107" t="str">
        <f t="shared" si="27"/>
        <v/>
      </c>
      <c r="BV30" s="130"/>
      <c r="BW30" s="190" t="str">
        <f>IFERROR(IF(ISBLANK(DATA!AM30),"",DATA!AM30),"")</f>
        <v/>
      </c>
      <c r="BX30" s="190" t="str">
        <f>IFERROR(IF(ISBLANK(DATA!AN30),"",DATA!AN30),"")</f>
        <v/>
      </c>
      <c r="BY30" s="190" t="str">
        <f>IFERROR(IF(ISBLANK(DATA!AO30),"",DATA!AO30),"")</f>
        <v/>
      </c>
      <c r="BZ30" s="190" t="str">
        <f>IFERROR(IF(ISBLANK(DATA!AP30),"",DATA!AP30),"")</f>
        <v/>
      </c>
      <c r="CA30" s="97" t="str">
        <f t="shared" si="28"/>
        <v/>
      </c>
      <c r="CB30" s="106" t="str">
        <f>IFERROR(IF(CA30=0,"",ROUND((CA30/SUM(SETTINGS!$L$14:$L$17))*SETTINGS!$L$18,0)),"")</f>
        <v/>
      </c>
      <c r="CC30" s="190" t="str">
        <f>IFERROR(IF(ISBLANK(DATA!AQ30),"",DATA!AQ30),"")</f>
        <v/>
      </c>
      <c r="CD30" s="106" t="str">
        <f>IFERROR(IF(ISBLANK(CC30),"",ROUND((CC30/SETTINGS!$L$19)*SETTINGS!$L$20,0)),"")</f>
        <v/>
      </c>
      <c r="CE30" s="106" t="str">
        <f t="shared" si="29"/>
        <v/>
      </c>
      <c r="CF30" s="103" t="str">
        <f t="shared" si="6"/>
        <v/>
      </c>
      <c r="CG30" s="107" t="str">
        <f t="shared" si="30"/>
        <v/>
      </c>
      <c r="CH30" s="130"/>
      <c r="CI30" s="190" t="str">
        <f>IFERROR(IF(ISBLANK(DATA!AS30),"",DATA!AS30),"")</f>
        <v/>
      </c>
      <c r="CJ30" s="190" t="str">
        <f>IFERROR(IF(ISBLANK(DATA!AT30),"",DATA!AT30),"")</f>
        <v/>
      </c>
      <c r="CK30" s="190" t="str">
        <f>IFERROR(IF(ISBLANK(DATA!AU30),"",DATA!AU30),"")</f>
        <v/>
      </c>
      <c r="CL30" s="190" t="str">
        <f>IFERROR(IF(ISBLANK(DATA!AV30),"",DATA!AV30),"")</f>
        <v/>
      </c>
      <c r="CM30" s="97" t="str">
        <f t="shared" si="31"/>
        <v/>
      </c>
      <c r="CN30" s="106" t="str">
        <f>IFERROR(IF(CM30=0,"",ROUND((CM30/SUM(SETTINGS!$L$14:$L$17))*SETTINGS!$L$18,0)),"")</f>
        <v/>
      </c>
      <c r="CO30" s="190" t="str">
        <f>IFERROR(IF(ISBLANK(DATA!AW30),"",DATA!AW30),"")</f>
        <v/>
      </c>
      <c r="CP30" s="106" t="str">
        <f>IFERROR(IF(ISBLANK(CO30),"",ROUND((CO30/SETTINGS!$L$19)*SETTINGS!$L$20,0)),"")</f>
        <v/>
      </c>
      <c r="CQ30" s="106" t="str">
        <f t="shared" si="32"/>
        <v/>
      </c>
      <c r="CR30" s="103" t="str">
        <f t="shared" si="7"/>
        <v/>
      </c>
      <c r="CS30" s="107" t="str">
        <f t="shared" si="33"/>
        <v/>
      </c>
      <c r="CT30" s="130"/>
      <c r="CU30" s="190" t="str">
        <f>IFERROR(IF(ISBLANK(DATA!AY30),"",DATA!AY30),"")</f>
        <v/>
      </c>
      <c r="CV30" s="190" t="str">
        <f>IFERROR(IF(ISBLANK(DATA!AZ30),"",DATA!AZ30),"")</f>
        <v/>
      </c>
      <c r="CW30" s="190" t="str">
        <f>IFERROR(IF(ISBLANK(DATA!BA30),"",DATA!BA30),"")</f>
        <v/>
      </c>
      <c r="CX30" s="190" t="str">
        <f>IFERROR(IF(ISBLANK(DATA!BB30),"",DATA!BB30),"")</f>
        <v/>
      </c>
      <c r="CY30" s="97" t="str">
        <f t="shared" si="34"/>
        <v/>
      </c>
      <c r="CZ30" s="106" t="str">
        <f>IFERROR(IF(CY30=0,"",ROUND((CY30/SUM(SETTINGS!$L$14:$L$17))*SETTINGS!$L$18,0)),"")</f>
        <v/>
      </c>
      <c r="DA30" s="190" t="str">
        <f>IFERROR(IF(ISBLANK(DATA!BC30),"",DATA!BC30),"")</f>
        <v/>
      </c>
      <c r="DB30" s="106" t="str">
        <f>IFERROR(IF(ISBLANK(DA30),"",ROUND((DA30/SETTINGS!$L$19)*SETTINGS!$L$20,0)),"")</f>
        <v/>
      </c>
      <c r="DC30" s="106" t="str">
        <f t="shared" si="35"/>
        <v/>
      </c>
      <c r="DD30" s="103" t="str">
        <f t="shared" si="8"/>
        <v/>
      </c>
      <c r="DE30" s="107" t="str">
        <f t="shared" si="36"/>
        <v/>
      </c>
      <c r="DF30" s="103" t="str">
        <f t="shared" si="9"/>
        <v/>
      </c>
      <c r="DG30" s="103" t="str">
        <f>IFERROR(IF(AND(K30,W30,AI30,AU30,BG30,BS30,CE30,CQ30,DC30)="","",SUM(K30,W30,AI30,AU30,LARGE((BG30,BS30,CE30,CQ30,DC30),{1,2}))),"")</f>
        <v/>
      </c>
      <c r="DH30" s="103" t="str">
        <f>IFERROR(IF(AND(M30,Y30,AK30,AW30,,BI30,BU30,CG30,CS30,DE30)="","",SUM(M30,Y30,AK30,AW30,SMALL((BI30,BU30,CG30,CS30,DE30),{1,2}))),"")</f>
        <v/>
      </c>
      <c r="DI30" s="109" t="str">
        <f>IFERROR(IF(ISBLANK($D30),"",pos&amp;IF(AND(MOD(ABS(pos),100)&gt;10,MOD(ABS(pos),100)&lt;14),"th",CHOOSE(MOD(ABS(pos),10)+1,"th","st","nd","rd","th","th","th","th","th","th"))),"")</f>
        <v/>
      </c>
      <c r="DJ30" s="62">
        <f>ROWS($B$12:$B30)</f>
        <v>19</v>
      </c>
      <c r="DK30" s="62" t="str">
        <f>IF($B30=REPORT_CARD!$M$12,$DJ30,"")</f>
        <v/>
      </c>
      <c r="DL30" s="62"/>
      <c r="DM30" s="186"/>
    </row>
    <row r="31" spans="1:117" ht="19.5" customHeight="1">
      <c r="A31" s="187" t="str">
        <f>IFERROR(IF(ISBLANK(DATA!$A31),"",DATA!$A31),"")</f>
        <v/>
      </c>
      <c r="B31" s="187" t="str">
        <f>IFERROR(IF(ISBLANK(DATA!$B31),"",DATA!$B31),"")</f>
        <v/>
      </c>
      <c r="C31" s="190" t="str">
        <f>IFERROR(IF(ISBLANK(DATA!C31),"",DATA!C31),"")</f>
        <v/>
      </c>
      <c r="D31" s="190" t="str">
        <f>IFERROR(IF(ISBLANK(DATA!D31),"",DATA!D31),"")</f>
        <v/>
      </c>
      <c r="E31" s="190" t="str">
        <f>IFERROR(IF(ISBLANK(DATA!E31),"",DATA!E31),"")</f>
        <v/>
      </c>
      <c r="F31" s="190" t="str">
        <f>IFERROR(IF(ISBLANK(DATA!F31),"",DATA!F31),"")</f>
        <v/>
      </c>
      <c r="G31" s="97" t="str">
        <f t="shared" si="37"/>
        <v/>
      </c>
      <c r="H31" s="106" t="str">
        <f>IFERROR(IF(G31=0,"",ROUND((G31/SUM(SETTINGS!$L$14:$L$17))*SETTINGS!$L$18,0)),"")</f>
        <v/>
      </c>
      <c r="I31" s="190" t="str">
        <f>IFERROR(IF(ISBLANK(DATA!G31),"",DATA!G31),"")</f>
        <v/>
      </c>
      <c r="J31" s="106" t="str">
        <f>IFERROR(IF(ISBLANK(I31),"",ROUND((I31/SETTINGS!$L$19)*SETTINGS!$L$20,0)),"")</f>
        <v/>
      </c>
      <c r="K31" s="106" t="str">
        <f t="shared" si="10"/>
        <v/>
      </c>
      <c r="L31" s="103" t="str">
        <f t="shared" si="0"/>
        <v/>
      </c>
      <c r="M31" s="107" t="str">
        <f t="shared" si="11"/>
        <v/>
      </c>
      <c r="N31" s="136"/>
      <c r="O31" s="190" t="str">
        <f>IFERROR(IF(ISBLANK(DATA!I31),"",DATA!I31),"")</f>
        <v/>
      </c>
      <c r="P31" s="190" t="str">
        <f>IFERROR(IF(ISBLANK(DATA!J31),"",DATA!J31),"")</f>
        <v/>
      </c>
      <c r="Q31" s="190" t="str">
        <f>IFERROR(IF(ISBLANK(DATA!K31),"",DATA!K31),"")</f>
        <v/>
      </c>
      <c r="R31" s="190" t="str">
        <f>IFERROR(IF(ISBLANK(DATA!L31),"",DATA!L31),"")</f>
        <v/>
      </c>
      <c r="S31" s="97" t="str">
        <f t="shared" si="12"/>
        <v/>
      </c>
      <c r="T31" s="106" t="str">
        <f>IFERROR(IF(S31=0,"",ROUND((S31/SUM(SETTINGS!$L$14:$L$17))*SETTINGS!$L$18,0)),"")</f>
        <v/>
      </c>
      <c r="U31" s="190" t="str">
        <f>IFERROR(IF(ISBLANK(DATA!M31),"",DATA!M31),"")</f>
        <v/>
      </c>
      <c r="V31" s="106" t="str">
        <f>IFERROR(IF(ISBLANK(U31),"",ROUND((U31/SETTINGS!$L$19)*SETTINGS!$L$20,0)),"")</f>
        <v/>
      </c>
      <c r="W31" s="106" t="str">
        <f t="shared" si="13"/>
        <v/>
      </c>
      <c r="X31" s="103" t="str">
        <f t="shared" si="14"/>
        <v/>
      </c>
      <c r="Y31" s="107" t="str">
        <f t="shared" si="15"/>
        <v/>
      </c>
      <c r="Z31" s="130"/>
      <c r="AA31" s="190" t="str">
        <f>IFERROR(IF(ISBLANK(DATA!O31),"",DATA!O31),"")</f>
        <v/>
      </c>
      <c r="AB31" s="190" t="str">
        <f>IFERROR(IF(ISBLANK(DATA!P31),"",DATA!P31),"")</f>
        <v/>
      </c>
      <c r="AC31" s="190" t="str">
        <f>IFERROR(IF(ISBLANK(DATA!Q31),"",DATA!Q31),"")</f>
        <v/>
      </c>
      <c r="AD31" s="190" t="str">
        <f>IFERROR(IF(ISBLANK(DATA!R31),"",DATA!R31),"")</f>
        <v/>
      </c>
      <c r="AE31" s="97" t="str">
        <f t="shared" si="16"/>
        <v/>
      </c>
      <c r="AF31" s="106" t="str">
        <f>IFERROR(IF(AE31=0,"",ROUND((AE31/SUM(SETTINGS!$L$14:$L$17))*SETTINGS!$L$18,0)),"")</f>
        <v/>
      </c>
      <c r="AG31" s="190" t="str">
        <f>IFERROR(IF(ISBLANK(DATA!S31),"",DATA!S31),"")</f>
        <v/>
      </c>
      <c r="AH31" s="106" t="str">
        <f>IFERROR(IF(ISBLANK(AG31),"",ROUND((AG31/SETTINGS!$L$19)*SETTINGS!$L$20,0)),"")</f>
        <v/>
      </c>
      <c r="AI31" s="106" t="str">
        <f t="shared" si="17"/>
        <v/>
      </c>
      <c r="AJ31" s="103" t="str">
        <f t="shared" si="2"/>
        <v/>
      </c>
      <c r="AK31" s="108" t="str">
        <f t="shared" si="18"/>
        <v/>
      </c>
      <c r="AL31" s="130"/>
      <c r="AM31" s="190" t="str">
        <f>IFERROR(IF(ISBLANK(DATA!U31),"",DATA!U31),"")</f>
        <v/>
      </c>
      <c r="AN31" s="190" t="str">
        <f>IFERROR(IF(ISBLANK(DATA!V31),"",DATA!V31),"")</f>
        <v/>
      </c>
      <c r="AO31" s="190" t="str">
        <f>IFERROR(IF(ISBLANK(DATA!W31),"",DATA!W31),"")</f>
        <v/>
      </c>
      <c r="AP31" s="190" t="str">
        <f>IFERROR(IF(ISBLANK(DATA!X31),"",DATA!X31),"")</f>
        <v/>
      </c>
      <c r="AQ31" s="97" t="str">
        <f t="shared" si="19"/>
        <v/>
      </c>
      <c r="AR31" s="106" t="str">
        <f>IFERROR(IF(AQ31=0,"",ROUND((AQ31/SUM(SETTINGS!$L$14:$L$17))*SETTINGS!$L$18,0)),"")</f>
        <v/>
      </c>
      <c r="AS31" s="190" t="str">
        <f>IFERROR(IF(ISBLANK(DATA!Y31),"",DATA!Y31),"")</f>
        <v/>
      </c>
      <c r="AT31" s="106" t="str">
        <f>IFERROR(IF(ISBLANK(AS31),"",ROUND((AS31/SETTINGS!$L$19)*SETTINGS!$L$20,0)),"")</f>
        <v/>
      </c>
      <c r="AU31" s="106" t="str">
        <f t="shared" si="20"/>
        <v/>
      </c>
      <c r="AV31" s="103" t="str">
        <f t="shared" si="3"/>
        <v/>
      </c>
      <c r="AW31" s="107" t="str">
        <f t="shared" si="21"/>
        <v/>
      </c>
      <c r="AX31" s="130"/>
      <c r="AY31" s="190" t="str">
        <f>IFERROR(IF(ISBLANK(DATA!AA31),"",DATA!AA31),"")</f>
        <v/>
      </c>
      <c r="AZ31" s="190" t="str">
        <f>IFERROR(IF(ISBLANK(DATA!AB31),"",DATA!AB31),"")</f>
        <v/>
      </c>
      <c r="BA31" s="190" t="str">
        <f>IFERROR(IF(ISBLANK(DATA!AC31),"",DATA!AC31),"")</f>
        <v/>
      </c>
      <c r="BB31" s="190" t="str">
        <f>IFERROR(IF(ISBLANK(DATA!AD31),"",DATA!AD31),"")</f>
        <v/>
      </c>
      <c r="BC31" s="97" t="str">
        <f t="shared" si="22"/>
        <v/>
      </c>
      <c r="BD31" s="106" t="str">
        <f>IFERROR(IF(BC31=0,"",ROUND((BC31/SUM(SETTINGS!$L$14:$L$17))*SETTINGS!$L$18,0)),"")</f>
        <v/>
      </c>
      <c r="BE31" s="190" t="str">
        <f>IFERROR(IF(ISBLANK(DATA!AE31),"",DATA!AE31),"")</f>
        <v/>
      </c>
      <c r="BF31" s="106" t="str">
        <f>IFERROR(IF(ISBLANK(BE31),"",ROUND((BE31/SETTINGS!$L$19)*SETTINGS!$L$20,0)),"")</f>
        <v/>
      </c>
      <c r="BG31" s="106" t="str">
        <f t="shared" si="23"/>
        <v/>
      </c>
      <c r="BH31" s="103" t="str">
        <f t="shared" si="4"/>
        <v/>
      </c>
      <c r="BI31" s="108" t="str">
        <f t="shared" si="24"/>
        <v/>
      </c>
      <c r="BJ31" s="130"/>
      <c r="BK31" s="190" t="str">
        <f>IFERROR(IF(ISBLANK(DATA!AG31),"",DATA!AG31),"")</f>
        <v/>
      </c>
      <c r="BL31" s="190" t="str">
        <f>IFERROR(IF(ISBLANK(DATA!AH31),"",DATA!AH31),"")</f>
        <v/>
      </c>
      <c r="BM31" s="190" t="str">
        <f>IFERROR(IF(ISBLANK(DATA!AI31),"",DATA!AI31),"")</f>
        <v/>
      </c>
      <c r="BN31" s="190" t="str">
        <f>IFERROR(IF(ISBLANK(DATA!AJ31),"",DATA!AJ31),"")</f>
        <v/>
      </c>
      <c r="BO31" s="97" t="str">
        <f t="shared" si="25"/>
        <v/>
      </c>
      <c r="BP31" s="106" t="str">
        <f>IFERROR(IF(BO31=0,"",ROUND((BO31/SUM(SETTINGS!$L$14:$L$17))*SETTINGS!$L$18,0)),"")</f>
        <v/>
      </c>
      <c r="BQ31" s="190" t="str">
        <f>IFERROR(IF(ISBLANK(DATA!AK31),"",DATA!AK31),"")</f>
        <v/>
      </c>
      <c r="BR31" s="106" t="str">
        <f>IFERROR(IF(ISBLANK(BQ31),"",ROUND((BQ31/SETTINGS!$L$19)*SETTINGS!$L$20,0)),"")</f>
        <v/>
      </c>
      <c r="BS31" s="106" t="str">
        <f t="shared" si="26"/>
        <v/>
      </c>
      <c r="BT31" s="103" t="str">
        <f t="shared" si="5"/>
        <v/>
      </c>
      <c r="BU31" s="107" t="str">
        <f t="shared" si="27"/>
        <v/>
      </c>
      <c r="BV31" s="130"/>
      <c r="BW31" s="190" t="str">
        <f>IFERROR(IF(ISBLANK(DATA!AM31),"",DATA!AM31),"")</f>
        <v/>
      </c>
      <c r="BX31" s="190" t="str">
        <f>IFERROR(IF(ISBLANK(DATA!AN31),"",DATA!AN31),"")</f>
        <v/>
      </c>
      <c r="BY31" s="190" t="str">
        <f>IFERROR(IF(ISBLANK(DATA!AO31),"",DATA!AO31),"")</f>
        <v/>
      </c>
      <c r="BZ31" s="190" t="str">
        <f>IFERROR(IF(ISBLANK(DATA!AP31),"",DATA!AP31),"")</f>
        <v/>
      </c>
      <c r="CA31" s="97" t="str">
        <f t="shared" si="28"/>
        <v/>
      </c>
      <c r="CB31" s="106" t="str">
        <f>IFERROR(IF(CA31=0,"",ROUND((CA31/SUM(SETTINGS!$L$14:$L$17))*SETTINGS!$L$18,0)),"")</f>
        <v/>
      </c>
      <c r="CC31" s="190" t="str">
        <f>IFERROR(IF(ISBLANK(DATA!AQ31),"",DATA!AQ31),"")</f>
        <v/>
      </c>
      <c r="CD31" s="106" t="str">
        <f>IFERROR(IF(ISBLANK(CC31),"",ROUND((CC31/SETTINGS!$L$19)*SETTINGS!$L$20,0)),"")</f>
        <v/>
      </c>
      <c r="CE31" s="106" t="str">
        <f t="shared" si="29"/>
        <v/>
      </c>
      <c r="CF31" s="103" t="str">
        <f t="shared" si="6"/>
        <v/>
      </c>
      <c r="CG31" s="107" t="str">
        <f t="shared" si="30"/>
        <v/>
      </c>
      <c r="CH31" s="130"/>
      <c r="CI31" s="190" t="str">
        <f>IFERROR(IF(ISBLANK(DATA!AS31),"",DATA!AS31),"")</f>
        <v/>
      </c>
      <c r="CJ31" s="190" t="str">
        <f>IFERROR(IF(ISBLANK(DATA!AT31),"",DATA!AT31),"")</f>
        <v/>
      </c>
      <c r="CK31" s="190" t="str">
        <f>IFERROR(IF(ISBLANK(DATA!AU31),"",DATA!AU31),"")</f>
        <v/>
      </c>
      <c r="CL31" s="190" t="str">
        <f>IFERROR(IF(ISBLANK(DATA!AV31),"",DATA!AV31),"")</f>
        <v/>
      </c>
      <c r="CM31" s="97" t="str">
        <f t="shared" si="31"/>
        <v/>
      </c>
      <c r="CN31" s="106" t="str">
        <f>IFERROR(IF(CM31=0,"",ROUND((CM31/SUM(SETTINGS!$L$14:$L$17))*SETTINGS!$L$18,0)),"")</f>
        <v/>
      </c>
      <c r="CO31" s="190" t="str">
        <f>IFERROR(IF(ISBLANK(DATA!AW31),"",DATA!AW31),"")</f>
        <v/>
      </c>
      <c r="CP31" s="106" t="str">
        <f>IFERROR(IF(ISBLANK(CO31),"",ROUND((CO31/SETTINGS!$L$19)*SETTINGS!$L$20,0)),"")</f>
        <v/>
      </c>
      <c r="CQ31" s="106" t="str">
        <f t="shared" si="32"/>
        <v/>
      </c>
      <c r="CR31" s="103" t="str">
        <f t="shared" si="7"/>
        <v/>
      </c>
      <c r="CS31" s="107" t="str">
        <f t="shared" si="33"/>
        <v/>
      </c>
      <c r="CT31" s="130"/>
      <c r="CU31" s="190" t="str">
        <f>IFERROR(IF(ISBLANK(DATA!AY31),"",DATA!AY31),"")</f>
        <v/>
      </c>
      <c r="CV31" s="190" t="str">
        <f>IFERROR(IF(ISBLANK(DATA!AZ31),"",DATA!AZ31),"")</f>
        <v/>
      </c>
      <c r="CW31" s="190" t="str">
        <f>IFERROR(IF(ISBLANK(DATA!BA31),"",DATA!BA31),"")</f>
        <v/>
      </c>
      <c r="CX31" s="190" t="str">
        <f>IFERROR(IF(ISBLANK(DATA!BB31),"",DATA!BB31),"")</f>
        <v/>
      </c>
      <c r="CY31" s="97" t="str">
        <f t="shared" si="34"/>
        <v/>
      </c>
      <c r="CZ31" s="106" t="str">
        <f>IFERROR(IF(CY31=0,"",ROUND((CY31/SUM(SETTINGS!$L$14:$L$17))*SETTINGS!$L$18,0)),"")</f>
        <v/>
      </c>
      <c r="DA31" s="190" t="str">
        <f>IFERROR(IF(ISBLANK(DATA!BC31),"",DATA!BC31),"")</f>
        <v/>
      </c>
      <c r="DB31" s="106" t="str">
        <f>IFERROR(IF(ISBLANK(DA31),"",ROUND((DA31/SETTINGS!$L$19)*SETTINGS!$L$20,0)),"")</f>
        <v/>
      </c>
      <c r="DC31" s="106" t="str">
        <f t="shared" si="35"/>
        <v/>
      </c>
      <c r="DD31" s="103" t="str">
        <f t="shared" si="8"/>
        <v/>
      </c>
      <c r="DE31" s="107" t="str">
        <f t="shared" si="36"/>
        <v/>
      </c>
      <c r="DF31" s="103" t="str">
        <f t="shared" si="9"/>
        <v/>
      </c>
      <c r="DG31" s="103" t="str">
        <f>IFERROR(IF(AND(K31,W31,AI31,AU31,BG31,BS31,CE31,CQ31,DC31)="","",SUM(K31,W31,AI31,AU31,LARGE((BG31,BS31,CE31,CQ31,DC31),{1,2}))),"")</f>
        <v/>
      </c>
      <c r="DH31" s="103" t="str">
        <f>IFERROR(IF(AND(M31,Y31,AK31,AW31,,BI31,BU31,CG31,CS31,DE31)="","",SUM(M31,Y31,AK31,AW31,SMALL((BI31,BU31,CG31,CS31,DE31),{1,2}))),"")</f>
        <v/>
      </c>
      <c r="DI31" s="109" t="str">
        <f>IFERROR(IF(ISBLANK($D31),"",pos&amp;IF(AND(MOD(ABS(pos),100)&gt;10,MOD(ABS(pos),100)&lt;14),"th",CHOOSE(MOD(ABS(pos),10)+1,"th","st","nd","rd","th","th","th","th","th","th"))),"")</f>
        <v/>
      </c>
      <c r="DJ31" s="62">
        <f>ROWS($B$12:$B31)</f>
        <v>20</v>
      </c>
      <c r="DK31" s="62" t="str">
        <f>IF($B31=REPORT_CARD!$M$12,$DJ31,"")</f>
        <v/>
      </c>
      <c r="DL31" s="62"/>
      <c r="DM31" s="186"/>
    </row>
    <row r="32" spans="1:117" ht="19.5" customHeight="1">
      <c r="A32" s="187" t="str">
        <f>IFERROR(IF(ISBLANK(DATA!$A32),"",DATA!$A32),"")</f>
        <v/>
      </c>
      <c r="B32" s="187" t="str">
        <f>IFERROR(IF(ISBLANK(DATA!$B32),"",DATA!$B32),"")</f>
        <v/>
      </c>
      <c r="C32" s="190" t="str">
        <f>IFERROR(IF(ISBLANK(DATA!C32),"",DATA!C32),"")</f>
        <v/>
      </c>
      <c r="D32" s="190" t="str">
        <f>IFERROR(IF(ISBLANK(DATA!D32),"",DATA!D32),"")</f>
        <v/>
      </c>
      <c r="E32" s="190" t="str">
        <f>IFERROR(IF(ISBLANK(DATA!E32),"",DATA!E32),"")</f>
        <v/>
      </c>
      <c r="F32" s="190" t="str">
        <f>IFERROR(IF(ISBLANK(DATA!F32),"",DATA!F32),"")</f>
        <v/>
      </c>
      <c r="G32" s="97" t="str">
        <f t="shared" si="37"/>
        <v/>
      </c>
      <c r="H32" s="106" t="str">
        <f>IFERROR(IF(G32=0,"",ROUND((G32/SUM(SETTINGS!$L$14:$L$17))*SETTINGS!$L$18,0)),"")</f>
        <v/>
      </c>
      <c r="I32" s="190" t="str">
        <f>IFERROR(IF(ISBLANK(DATA!G32),"",DATA!G32),"")</f>
        <v/>
      </c>
      <c r="J32" s="106" t="str">
        <f>IFERROR(IF(ISBLANK(I32),"",ROUND((I32/SETTINGS!$L$19)*SETTINGS!$L$20,0)),"")</f>
        <v/>
      </c>
      <c r="K32" s="106" t="str">
        <f t="shared" si="10"/>
        <v/>
      </c>
      <c r="L32" s="103" t="str">
        <f t="shared" si="0"/>
        <v/>
      </c>
      <c r="M32" s="107" t="str">
        <f t="shared" si="11"/>
        <v/>
      </c>
      <c r="N32" s="136"/>
      <c r="O32" s="190" t="str">
        <f>IFERROR(IF(ISBLANK(DATA!I32),"",DATA!I32),"")</f>
        <v/>
      </c>
      <c r="P32" s="190" t="str">
        <f>IFERROR(IF(ISBLANK(DATA!J32),"",DATA!J32),"")</f>
        <v/>
      </c>
      <c r="Q32" s="190" t="str">
        <f>IFERROR(IF(ISBLANK(DATA!K32),"",DATA!K32),"")</f>
        <v/>
      </c>
      <c r="R32" s="190" t="str">
        <f>IFERROR(IF(ISBLANK(DATA!L32),"",DATA!L32),"")</f>
        <v/>
      </c>
      <c r="S32" s="97" t="str">
        <f t="shared" si="12"/>
        <v/>
      </c>
      <c r="T32" s="106" t="str">
        <f>IFERROR(IF(S32=0,"",ROUND((S32/SUM(SETTINGS!$L$14:$L$17))*SETTINGS!$L$18,0)),"")</f>
        <v/>
      </c>
      <c r="U32" s="190" t="str">
        <f>IFERROR(IF(ISBLANK(DATA!M32),"",DATA!M32),"")</f>
        <v/>
      </c>
      <c r="V32" s="106" t="str">
        <f>IFERROR(IF(ISBLANK(U32),"",ROUND((U32/SETTINGS!$L$19)*SETTINGS!$L$20,0)),"")</f>
        <v/>
      </c>
      <c r="W32" s="106" t="str">
        <f t="shared" si="13"/>
        <v/>
      </c>
      <c r="X32" s="103" t="str">
        <f t="shared" si="14"/>
        <v/>
      </c>
      <c r="Y32" s="107" t="str">
        <f t="shared" si="15"/>
        <v/>
      </c>
      <c r="Z32" s="130"/>
      <c r="AA32" s="190" t="str">
        <f>IFERROR(IF(ISBLANK(DATA!O32),"",DATA!O32),"")</f>
        <v/>
      </c>
      <c r="AB32" s="190" t="str">
        <f>IFERROR(IF(ISBLANK(DATA!P32),"",DATA!P32),"")</f>
        <v/>
      </c>
      <c r="AC32" s="190" t="str">
        <f>IFERROR(IF(ISBLANK(DATA!Q32),"",DATA!Q32),"")</f>
        <v/>
      </c>
      <c r="AD32" s="190" t="str">
        <f>IFERROR(IF(ISBLANK(DATA!R32),"",DATA!R32),"")</f>
        <v/>
      </c>
      <c r="AE32" s="97" t="str">
        <f t="shared" si="16"/>
        <v/>
      </c>
      <c r="AF32" s="106" t="str">
        <f>IFERROR(IF(AE32=0,"",ROUND((AE32/SUM(SETTINGS!$L$14:$L$17))*SETTINGS!$L$18,0)),"")</f>
        <v/>
      </c>
      <c r="AG32" s="190" t="str">
        <f>IFERROR(IF(ISBLANK(DATA!S32),"",DATA!S32),"")</f>
        <v/>
      </c>
      <c r="AH32" s="106" t="str">
        <f>IFERROR(IF(ISBLANK(AG32),"",ROUND((AG32/SETTINGS!$L$19)*SETTINGS!$L$20,0)),"")</f>
        <v/>
      </c>
      <c r="AI32" s="106" t="str">
        <f t="shared" si="17"/>
        <v/>
      </c>
      <c r="AJ32" s="103" t="str">
        <f t="shared" si="2"/>
        <v/>
      </c>
      <c r="AK32" s="108" t="str">
        <f t="shared" si="18"/>
        <v/>
      </c>
      <c r="AL32" s="130"/>
      <c r="AM32" s="190" t="str">
        <f>IFERROR(IF(ISBLANK(DATA!U32),"",DATA!U32),"")</f>
        <v/>
      </c>
      <c r="AN32" s="190" t="str">
        <f>IFERROR(IF(ISBLANK(DATA!V32),"",DATA!V32),"")</f>
        <v/>
      </c>
      <c r="AO32" s="190" t="str">
        <f>IFERROR(IF(ISBLANK(DATA!W32),"",DATA!W32),"")</f>
        <v/>
      </c>
      <c r="AP32" s="190" t="str">
        <f>IFERROR(IF(ISBLANK(DATA!X32),"",DATA!X32),"")</f>
        <v/>
      </c>
      <c r="AQ32" s="97" t="str">
        <f t="shared" si="19"/>
        <v/>
      </c>
      <c r="AR32" s="106" t="str">
        <f>IFERROR(IF(AQ32=0,"",ROUND((AQ32/SUM(SETTINGS!$L$14:$L$17))*SETTINGS!$L$18,0)),"")</f>
        <v/>
      </c>
      <c r="AS32" s="190" t="str">
        <f>IFERROR(IF(ISBLANK(DATA!Y32),"",DATA!Y32),"")</f>
        <v/>
      </c>
      <c r="AT32" s="106" t="str">
        <f>IFERROR(IF(ISBLANK(AS32),"",ROUND((AS32/SETTINGS!$L$19)*SETTINGS!$L$20,0)),"")</f>
        <v/>
      </c>
      <c r="AU32" s="106" t="str">
        <f t="shared" si="20"/>
        <v/>
      </c>
      <c r="AV32" s="103" t="str">
        <f t="shared" si="3"/>
        <v/>
      </c>
      <c r="AW32" s="107" t="str">
        <f t="shared" si="21"/>
        <v/>
      </c>
      <c r="AX32" s="130"/>
      <c r="AY32" s="190" t="str">
        <f>IFERROR(IF(ISBLANK(DATA!AA32),"",DATA!AA32),"")</f>
        <v/>
      </c>
      <c r="AZ32" s="190" t="str">
        <f>IFERROR(IF(ISBLANK(DATA!AB32),"",DATA!AB32),"")</f>
        <v/>
      </c>
      <c r="BA32" s="190" t="str">
        <f>IFERROR(IF(ISBLANK(DATA!AC32),"",DATA!AC32),"")</f>
        <v/>
      </c>
      <c r="BB32" s="190" t="str">
        <f>IFERROR(IF(ISBLANK(DATA!AD32),"",DATA!AD32),"")</f>
        <v/>
      </c>
      <c r="BC32" s="97" t="str">
        <f t="shared" si="22"/>
        <v/>
      </c>
      <c r="BD32" s="106" t="str">
        <f>IFERROR(IF(BC32=0,"",ROUND((BC32/SUM(SETTINGS!$L$14:$L$17))*SETTINGS!$L$18,0)),"")</f>
        <v/>
      </c>
      <c r="BE32" s="190" t="str">
        <f>IFERROR(IF(ISBLANK(DATA!AE32),"",DATA!AE32),"")</f>
        <v/>
      </c>
      <c r="BF32" s="106" t="str">
        <f>IFERROR(IF(ISBLANK(BE32),"",ROUND((BE32/SETTINGS!$L$19)*SETTINGS!$L$20,0)),"")</f>
        <v/>
      </c>
      <c r="BG32" s="106" t="str">
        <f t="shared" si="23"/>
        <v/>
      </c>
      <c r="BH32" s="103" t="str">
        <f t="shared" si="4"/>
        <v/>
      </c>
      <c r="BI32" s="108" t="str">
        <f t="shared" si="24"/>
        <v/>
      </c>
      <c r="BJ32" s="130"/>
      <c r="BK32" s="190" t="str">
        <f>IFERROR(IF(ISBLANK(DATA!AG32),"",DATA!AG32),"")</f>
        <v/>
      </c>
      <c r="BL32" s="190" t="str">
        <f>IFERROR(IF(ISBLANK(DATA!AH32),"",DATA!AH32),"")</f>
        <v/>
      </c>
      <c r="BM32" s="190" t="str">
        <f>IFERROR(IF(ISBLANK(DATA!AI32),"",DATA!AI32),"")</f>
        <v/>
      </c>
      <c r="BN32" s="190" t="str">
        <f>IFERROR(IF(ISBLANK(DATA!AJ32),"",DATA!AJ32),"")</f>
        <v/>
      </c>
      <c r="BO32" s="97" t="str">
        <f t="shared" si="25"/>
        <v/>
      </c>
      <c r="BP32" s="106" t="str">
        <f>IFERROR(IF(BO32=0,"",ROUND((BO32/SUM(SETTINGS!$L$14:$L$17))*SETTINGS!$L$18,0)),"")</f>
        <v/>
      </c>
      <c r="BQ32" s="190" t="str">
        <f>IFERROR(IF(ISBLANK(DATA!AK32),"",DATA!AK32),"")</f>
        <v/>
      </c>
      <c r="BR32" s="106" t="str">
        <f>IFERROR(IF(ISBLANK(BQ32),"",ROUND((BQ32/SETTINGS!$L$19)*SETTINGS!$L$20,0)),"")</f>
        <v/>
      </c>
      <c r="BS32" s="106" t="str">
        <f t="shared" si="26"/>
        <v/>
      </c>
      <c r="BT32" s="103" t="str">
        <f t="shared" si="5"/>
        <v/>
      </c>
      <c r="BU32" s="107" t="str">
        <f t="shared" si="27"/>
        <v/>
      </c>
      <c r="BV32" s="130"/>
      <c r="BW32" s="190" t="str">
        <f>IFERROR(IF(ISBLANK(DATA!AM32),"",DATA!AM32),"")</f>
        <v/>
      </c>
      <c r="BX32" s="190" t="str">
        <f>IFERROR(IF(ISBLANK(DATA!AN32),"",DATA!AN32),"")</f>
        <v/>
      </c>
      <c r="BY32" s="190" t="str">
        <f>IFERROR(IF(ISBLANK(DATA!AO32),"",DATA!AO32),"")</f>
        <v/>
      </c>
      <c r="BZ32" s="190" t="str">
        <f>IFERROR(IF(ISBLANK(DATA!AP32),"",DATA!AP32),"")</f>
        <v/>
      </c>
      <c r="CA32" s="97" t="str">
        <f t="shared" si="28"/>
        <v/>
      </c>
      <c r="CB32" s="106" t="str">
        <f>IFERROR(IF(CA32=0,"",ROUND((CA32/SUM(SETTINGS!$L$14:$L$17))*SETTINGS!$L$18,0)),"")</f>
        <v/>
      </c>
      <c r="CC32" s="190" t="str">
        <f>IFERROR(IF(ISBLANK(DATA!AQ32),"",DATA!AQ32),"")</f>
        <v/>
      </c>
      <c r="CD32" s="106" t="str">
        <f>IFERROR(IF(ISBLANK(CC32),"",ROUND((CC32/SETTINGS!$L$19)*SETTINGS!$L$20,0)),"")</f>
        <v/>
      </c>
      <c r="CE32" s="106" t="str">
        <f t="shared" si="29"/>
        <v/>
      </c>
      <c r="CF32" s="103" t="str">
        <f t="shared" si="6"/>
        <v/>
      </c>
      <c r="CG32" s="107" t="str">
        <f t="shared" si="30"/>
        <v/>
      </c>
      <c r="CH32" s="130"/>
      <c r="CI32" s="190" t="str">
        <f>IFERROR(IF(ISBLANK(DATA!AS32),"",DATA!AS32),"")</f>
        <v/>
      </c>
      <c r="CJ32" s="190" t="str">
        <f>IFERROR(IF(ISBLANK(DATA!AT32),"",DATA!AT32),"")</f>
        <v/>
      </c>
      <c r="CK32" s="190" t="str">
        <f>IFERROR(IF(ISBLANK(DATA!AU32),"",DATA!AU32),"")</f>
        <v/>
      </c>
      <c r="CL32" s="190" t="str">
        <f>IFERROR(IF(ISBLANK(DATA!AV32),"",DATA!AV32),"")</f>
        <v/>
      </c>
      <c r="CM32" s="97" t="str">
        <f t="shared" si="31"/>
        <v/>
      </c>
      <c r="CN32" s="106" t="str">
        <f>IFERROR(IF(CM32=0,"",ROUND((CM32/SUM(SETTINGS!$L$14:$L$17))*SETTINGS!$L$18,0)),"")</f>
        <v/>
      </c>
      <c r="CO32" s="190" t="str">
        <f>IFERROR(IF(ISBLANK(DATA!AW32),"",DATA!AW32),"")</f>
        <v/>
      </c>
      <c r="CP32" s="106" t="str">
        <f>IFERROR(IF(ISBLANK(CO32),"",ROUND((CO32/SETTINGS!$L$19)*SETTINGS!$L$20,0)),"")</f>
        <v/>
      </c>
      <c r="CQ32" s="106" t="str">
        <f t="shared" si="32"/>
        <v/>
      </c>
      <c r="CR32" s="103" t="str">
        <f t="shared" si="7"/>
        <v/>
      </c>
      <c r="CS32" s="107" t="str">
        <f t="shared" si="33"/>
        <v/>
      </c>
      <c r="CT32" s="130"/>
      <c r="CU32" s="190" t="str">
        <f>IFERROR(IF(ISBLANK(DATA!AY32),"",DATA!AY32),"")</f>
        <v/>
      </c>
      <c r="CV32" s="190" t="str">
        <f>IFERROR(IF(ISBLANK(DATA!AZ32),"",DATA!AZ32),"")</f>
        <v/>
      </c>
      <c r="CW32" s="190" t="str">
        <f>IFERROR(IF(ISBLANK(DATA!BA32),"",DATA!BA32),"")</f>
        <v/>
      </c>
      <c r="CX32" s="190" t="str">
        <f>IFERROR(IF(ISBLANK(DATA!BB32),"",DATA!BB32),"")</f>
        <v/>
      </c>
      <c r="CY32" s="97" t="str">
        <f t="shared" si="34"/>
        <v/>
      </c>
      <c r="CZ32" s="106" t="str">
        <f>IFERROR(IF(CY32=0,"",ROUND((CY32/SUM(SETTINGS!$L$14:$L$17))*SETTINGS!$L$18,0)),"")</f>
        <v/>
      </c>
      <c r="DA32" s="190" t="str">
        <f>IFERROR(IF(ISBLANK(DATA!BC32),"",DATA!BC32),"")</f>
        <v/>
      </c>
      <c r="DB32" s="106" t="str">
        <f>IFERROR(IF(ISBLANK(DA32),"",ROUND((DA32/SETTINGS!$L$19)*SETTINGS!$L$20,0)),"")</f>
        <v/>
      </c>
      <c r="DC32" s="106" t="str">
        <f t="shared" si="35"/>
        <v/>
      </c>
      <c r="DD32" s="103" t="str">
        <f t="shared" si="8"/>
        <v/>
      </c>
      <c r="DE32" s="107" t="str">
        <f t="shared" si="36"/>
        <v/>
      </c>
      <c r="DF32" s="103" t="str">
        <f t="shared" si="9"/>
        <v/>
      </c>
      <c r="DG32" s="103" t="str">
        <f>IFERROR(IF(AND(K32,W32,AI32,AU32,BG32,BS32,CE32,CQ32,DC32)="","",SUM(K32,W32,AI32,AU32,LARGE((BG32,BS32,CE32,CQ32,DC32),{1,2}))),"")</f>
        <v/>
      </c>
      <c r="DH32" s="103" t="str">
        <f>IFERROR(IF(AND(M32,Y32,AK32,AW32,,BI32,BU32,CG32,CS32,DE32)="","",SUM(M32,Y32,AK32,AW32,SMALL((BI32,BU32,CG32,CS32,DE32),{1,2}))),"")</f>
        <v/>
      </c>
      <c r="DI32" s="109" t="str">
        <f>IFERROR(IF(ISBLANK($D32),"",pos&amp;IF(AND(MOD(ABS(pos),100)&gt;10,MOD(ABS(pos),100)&lt;14),"th",CHOOSE(MOD(ABS(pos),10)+1,"th","st","nd","rd","th","th","th","th","th","th"))),"")</f>
        <v/>
      </c>
      <c r="DJ32" s="62">
        <f>ROWS($B$12:$B32)</f>
        <v>21</v>
      </c>
      <c r="DK32" s="62" t="str">
        <f>IF($B32=REPORT_CARD!$M$12,$DJ32,"")</f>
        <v/>
      </c>
      <c r="DL32" s="62"/>
      <c r="DM32" s="186"/>
    </row>
    <row r="33" spans="1:117" ht="19.5" customHeight="1">
      <c r="A33" s="187" t="str">
        <f>IFERROR(IF(ISBLANK(DATA!$A33),"",DATA!$A33),"")</f>
        <v/>
      </c>
      <c r="B33" s="187" t="str">
        <f>IFERROR(IF(ISBLANK(DATA!$B33),"",DATA!$B33),"")</f>
        <v/>
      </c>
      <c r="C33" s="190" t="str">
        <f>IFERROR(IF(ISBLANK(DATA!C33),"",DATA!C33),"")</f>
        <v/>
      </c>
      <c r="D33" s="190" t="str">
        <f>IFERROR(IF(ISBLANK(DATA!D33),"",DATA!D33),"")</f>
        <v/>
      </c>
      <c r="E33" s="190" t="str">
        <f>IFERROR(IF(ISBLANK(DATA!E33),"",DATA!E33),"")</f>
        <v/>
      </c>
      <c r="F33" s="190" t="str">
        <f>IFERROR(IF(ISBLANK(DATA!F33),"",DATA!F33),"")</f>
        <v/>
      </c>
      <c r="G33" s="97" t="str">
        <f t="shared" si="37"/>
        <v/>
      </c>
      <c r="H33" s="106" t="str">
        <f>IFERROR(IF(G33=0,"",ROUND((G33/SUM(SETTINGS!$L$14:$L$17))*SETTINGS!$L$18,0)),"")</f>
        <v/>
      </c>
      <c r="I33" s="190" t="str">
        <f>IFERROR(IF(ISBLANK(DATA!G33),"",DATA!G33),"")</f>
        <v/>
      </c>
      <c r="J33" s="106" t="str">
        <f>IFERROR(IF(ISBLANK(I33),"",ROUND((I33/SETTINGS!$L$19)*SETTINGS!$L$20,0)),"")</f>
        <v/>
      </c>
      <c r="K33" s="106" t="str">
        <f t="shared" si="10"/>
        <v/>
      </c>
      <c r="L33" s="103" t="str">
        <f t="shared" si="0"/>
        <v/>
      </c>
      <c r="M33" s="107" t="str">
        <f t="shared" si="11"/>
        <v/>
      </c>
      <c r="N33" s="136"/>
      <c r="O33" s="190" t="str">
        <f>IFERROR(IF(ISBLANK(DATA!I33),"",DATA!I33),"")</f>
        <v/>
      </c>
      <c r="P33" s="190" t="str">
        <f>IFERROR(IF(ISBLANK(DATA!J33),"",DATA!J33),"")</f>
        <v/>
      </c>
      <c r="Q33" s="190" t="str">
        <f>IFERROR(IF(ISBLANK(DATA!K33),"",DATA!K33),"")</f>
        <v/>
      </c>
      <c r="R33" s="190" t="str">
        <f>IFERROR(IF(ISBLANK(DATA!L33),"",DATA!L33),"")</f>
        <v/>
      </c>
      <c r="S33" s="97" t="str">
        <f t="shared" si="12"/>
        <v/>
      </c>
      <c r="T33" s="106" t="str">
        <f>IFERROR(IF(S33=0,"",ROUND((S33/SUM(SETTINGS!$L$14:$L$17))*SETTINGS!$L$18,0)),"")</f>
        <v/>
      </c>
      <c r="U33" s="190" t="str">
        <f>IFERROR(IF(ISBLANK(DATA!M33),"",DATA!M33),"")</f>
        <v/>
      </c>
      <c r="V33" s="106" t="str">
        <f>IFERROR(IF(ISBLANK(U33),"",ROUND((U33/SETTINGS!$L$19)*SETTINGS!$L$20,0)),"")</f>
        <v/>
      </c>
      <c r="W33" s="106" t="str">
        <f t="shared" si="13"/>
        <v/>
      </c>
      <c r="X33" s="103" t="str">
        <f t="shared" si="14"/>
        <v/>
      </c>
      <c r="Y33" s="107" t="str">
        <f t="shared" si="15"/>
        <v/>
      </c>
      <c r="Z33" s="130"/>
      <c r="AA33" s="190" t="str">
        <f>IFERROR(IF(ISBLANK(DATA!O33),"",DATA!O33),"")</f>
        <v/>
      </c>
      <c r="AB33" s="190" t="str">
        <f>IFERROR(IF(ISBLANK(DATA!P33),"",DATA!P33),"")</f>
        <v/>
      </c>
      <c r="AC33" s="190" t="str">
        <f>IFERROR(IF(ISBLANK(DATA!Q33),"",DATA!Q33),"")</f>
        <v/>
      </c>
      <c r="AD33" s="190" t="str">
        <f>IFERROR(IF(ISBLANK(DATA!R33),"",DATA!R33),"")</f>
        <v/>
      </c>
      <c r="AE33" s="97" t="str">
        <f t="shared" si="16"/>
        <v/>
      </c>
      <c r="AF33" s="106" t="str">
        <f>IFERROR(IF(AE33=0,"",ROUND((AE33/SUM(SETTINGS!$L$14:$L$17))*SETTINGS!$L$18,0)),"")</f>
        <v/>
      </c>
      <c r="AG33" s="190" t="str">
        <f>IFERROR(IF(ISBLANK(DATA!S33),"",DATA!S33),"")</f>
        <v/>
      </c>
      <c r="AH33" s="106" t="str">
        <f>IFERROR(IF(ISBLANK(AG33),"",ROUND((AG33/SETTINGS!$L$19)*SETTINGS!$L$20,0)),"")</f>
        <v/>
      </c>
      <c r="AI33" s="106" t="str">
        <f t="shared" si="17"/>
        <v/>
      </c>
      <c r="AJ33" s="103" t="str">
        <f t="shared" si="2"/>
        <v/>
      </c>
      <c r="AK33" s="108" t="str">
        <f t="shared" si="18"/>
        <v/>
      </c>
      <c r="AL33" s="130"/>
      <c r="AM33" s="190" t="str">
        <f>IFERROR(IF(ISBLANK(DATA!U33),"",DATA!U33),"")</f>
        <v/>
      </c>
      <c r="AN33" s="190" t="str">
        <f>IFERROR(IF(ISBLANK(DATA!V33),"",DATA!V33),"")</f>
        <v/>
      </c>
      <c r="AO33" s="190" t="str">
        <f>IFERROR(IF(ISBLANK(DATA!W33),"",DATA!W33),"")</f>
        <v/>
      </c>
      <c r="AP33" s="190" t="str">
        <f>IFERROR(IF(ISBLANK(DATA!X33),"",DATA!X33),"")</f>
        <v/>
      </c>
      <c r="AQ33" s="97" t="str">
        <f t="shared" si="19"/>
        <v/>
      </c>
      <c r="AR33" s="106" t="str">
        <f>IFERROR(IF(AQ33=0,"",ROUND((AQ33/SUM(SETTINGS!$L$14:$L$17))*SETTINGS!$L$18,0)),"")</f>
        <v/>
      </c>
      <c r="AS33" s="190" t="str">
        <f>IFERROR(IF(ISBLANK(DATA!Y33),"",DATA!Y33),"")</f>
        <v/>
      </c>
      <c r="AT33" s="106" t="str">
        <f>IFERROR(IF(ISBLANK(AS33),"",ROUND((AS33/SETTINGS!$L$19)*SETTINGS!$L$20,0)),"")</f>
        <v/>
      </c>
      <c r="AU33" s="106" t="str">
        <f t="shared" si="20"/>
        <v/>
      </c>
      <c r="AV33" s="103" t="str">
        <f t="shared" si="3"/>
        <v/>
      </c>
      <c r="AW33" s="107" t="str">
        <f t="shared" si="21"/>
        <v/>
      </c>
      <c r="AX33" s="130"/>
      <c r="AY33" s="190" t="str">
        <f>IFERROR(IF(ISBLANK(DATA!AA33),"",DATA!AA33),"")</f>
        <v/>
      </c>
      <c r="AZ33" s="190" t="str">
        <f>IFERROR(IF(ISBLANK(DATA!AB33),"",DATA!AB33),"")</f>
        <v/>
      </c>
      <c r="BA33" s="190" t="str">
        <f>IFERROR(IF(ISBLANK(DATA!AC33),"",DATA!AC33),"")</f>
        <v/>
      </c>
      <c r="BB33" s="190" t="str">
        <f>IFERROR(IF(ISBLANK(DATA!AD33),"",DATA!AD33),"")</f>
        <v/>
      </c>
      <c r="BC33" s="97" t="str">
        <f t="shared" si="22"/>
        <v/>
      </c>
      <c r="BD33" s="106" t="str">
        <f>IFERROR(IF(BC33=0,"",ROUND((BC33/SUM(SETTINGS!$L$14:$L$17))*SETTINGS!$L$18,0)),"")</f>
        <v/>
      </c>
      <c r="BE33" s="190" t="str">
        <f>IFERROR(IF(ISBLANK(DATA!AE33),"",DATA!AE33),"")</f>
        <v/>
      </c>
      <c r="BF33" s="106" t="str">
        <f>IFERROR(IF(ISBLANK(BE33),"",ROUND((BE33/SETTINGS!$L$19)*SETTINGS!$L$20,0)),"")</f>
        <v/>
      </c>
      <c r="BG33" s="106" t="str">
        <f t="shared" si="23"/>
        <v/>
      </c>
      <c r="BH33" s="103" t="str">
        <f t="shared" si="4"/>
        <v/>
      </c>
      <c r="BI33" s="108" t="str">
        <f t="shared" si="24"/>
        <v/>
      </c>
      <c r="BJ33" s="130"/>
      <c r="BK33" s="190" t="str">
        <f>IFERROR(IF(ISBLANK(DATA!AG33),"",DATA!AG33),"")</f>
        <v/>
      </c>
      <c r="BL33" s="190" t="str">
        <f>IFERROR(IF(ISBLANK(DATA!AH33),"",DATA!AH33),"")</f>
        <v/>
      </c>
      <c r="BM33" s="190" t="str">
        <f>IFERROR(IF(ISBLANK(DATA!AI33),"",DATA!AI33),"")</f>
        <v/>
      </c>
      <c r="BN33" s="190" t="str">
        <f>IFERROR(IF(ISBLANK(DATA!AJ33),"",DATA!AJ33),"")</f>
        <v/>
      </c>
      <c r="BO33" s="97" t="str">
        <f t="shared" si="25"/>
        <v/>
      </c>
      <c r="BP33" s="106" t="str">
        <f>IFERROR(IF(BO33=0,"",ROUND((BO33/SUM(SETTINGS!$L$14:$L$17))*SETTINGS!$L$18,0)),"")</f>
        <v/>
      </c>
      <c r="BQ33" s="190" t="str">
        <f>IFERROR(IF(ISBLANK(DATA!AK33),"",DATA!AK33),"")</f>
        <v/>
      </c>
      <c r="BR33" s="106" t="str">
        <f>IFERROR(IF(ISBLANK(BQ33),"",ROUND((BQ33/SETTINGS!$L$19)*SETTINGS!$L$20,0)),"")</f>
        <v/>
      </c>
      <c r="BS33" s="106" t="str">
        <f t="shared" si="26"/>
        <v/>
      </c>
      <c r="BT33" s="103" t="str">
        <f t="shared" si="5"/>
        <v/>
      </c>
      <c r="BU33" s="107" t="str">
        <f t="shared" si="27"/>
        <v/>
      </c>
      <c r="BV33" s="130"/>
      <c r="BW33" s="190" t="str">
        <f>IFERROR(IF(ISBLANK(DATA!AM33),"",DATA!AM33),"")</f>
        <v/>
      </c>
      <c r="BX33" s="190" t="str">
        <f>IFERROR(IF(ISBLANK(DATA!AN33),"",DATA!AN33),"")</f>
        <v/>
      </c>
      <c r="BY33" s="190" t="str">
        <f>IFERROR(IF(ISBLANK(DATA!AO33),"",DATA!AO33),"")</f>
        <v/>
      </c>
      <c r="BZ33" s="190" t="str">
        <f>IFERROR(IF(ISBLANK(DATA!AP33),"",DATA!AP33),"")</f>
        <v/>
      </c>
      <c r="CA33" s="97" t="str">
        <f t="shared" si="28"/>
        <v/>
      </c>
      <c r="CB33" s="106" t="str">
        <f>IFERROR(IF(CA33=0,"",ROUND((CA33/SUM(SETTINGS!$L$14:$L$17))*SETTINGS!$L$18,0)),"")</f>
        <v/>
      </c>
      <c r="CC33" s="190" t="str">
        <f>IFERROR(IF(ISBLANK(DATA!AQ33),"",DATA!AQ33),"")</f>
        <v/>
      </c>
      <c r="CD33" s="106" t="str">
        <f>IFERROR(IF(ISBLANK(CC33),"",ROUND((CC33/SETTINGS!$L$19)*SETTINGS!$L$20,0)),"")</f>
        <v/>
      </c>
      <c r="CE33" s="106" t="str">
        <f t="shared" si="29"/>
        <v/>
      </c>
      <c r="CF33" s="103" t="str">
        <f t="shared" si="6"/>
        <v/>
      </c>
      <c r="CG33" s="107" t="str">
        <f t="shared" si="30"/>
        <v/>
      </c>
      <c r="CH33" s="130"/>
      <c r="CI33" s="190" t="str">
        <f>IFERROR(IF(ISBLANK(DATA!AS33),"",DATA!AS33),"")</f>
        <v/>
      </c>
      <c r="CJ33" s="190" t="str">
        <f>IFERROR(IF(ISBLANK(DATA!AT33),"",DATA!AT33),"")</f>
        <v/>
      </c>
      <c r="CK33" s="190" t="str">
        <f>IFERROR(IF(ISBLANK(DATA!AU33),"",DATA!AU33),"")</f>
        <v/>
      </c>
      <c r="CL33" s="190" t="str">
        <f>IFERROR(IF(ISBLANK(DATA!AV33),"",DATA!AV33),"")</f>
        <v/>
      </c>
      <c r="CM33" s="97" t="str">
        <f t="shared" si="31"/>
        <v/>
      </c>
      <c r="CN33" s="106" t="str">
        <f>IFERROR(IF(CM33=0,"",ROUND((CM33/SUM(SETTINGS!$L$14:$L$17))*SETTINGS!$L$18,0)),"")</f>
        <v/>
      </c>
      <c r="CO33" s="190" t="str">
        <f>IFERROR(IF(ISBLANK(DATA!AW33),"",DATA!AW33),"")</f>
        <v/>
      </c>
      <c r="CP33" s="106" t="str">
        <f>IFERROR(IF(ISBLANK(CO33),"",ROUND((CO33/SETTINGS!$L$19)*SETTINGS!$L$20,0)),"")</f>
        <v/>
      </c>
      <c r="CQ33" s="106" t="str">
        <f t="shared" si="32"/>
        <v/>
      </c>
      <c r="CR33" s="103" t="str">
        <f t="shared" si="7"/>
        <v/>
      </c>
      <c r="CS33" s="107" t="str">
        <f t="shared" si="33"/>
        <v/>
      </c>
      <c r="CT33" s="130"/>
      <c r="CU33" s="190" t="str">
        <f>IFERROR(IF(ISBLANK(DATA!AY33),"",DATA!AY33),"")</f>
        <v/>
      </c>
      <c r="CV33" s="190" t="str">
        <f>IFERROR(IF(ISBLANK(DATA!AZ33),"",DATA!AZ33),"")</f>
        <v/>
      </c>
      <c r="CW33" s="190" t="str">
        <f>IFERROR(IF(ISBLANK(DATA!BA33),"",DATA!BA33),"")</f>
        <v/>
      </c>
      <c r="CX33" s="190" t="str">
        <f>IFERROR(IF(ISBLANK(DATA!BB33),"",DATA!BB33),"")</f>
        <v/>
      </c>
      <c r="CY33" s="97" t="str">
        <f t="shared" si="34"/>
        <v/>
      </c>
      <c r="CZ33" s="106" t="str">
        <f>IFERROR(IF(CY33=0,"",ROUND((CY33/SUM(SETTINGS!$L$14:$L$17))*SETTINGS!$L$18,0)),"")</f>
        <v/>
      </c>
      <c r="DA33" s="190" t="str">
        <f>IFERROR(IF(ISBLANK(DATA!BC33),"",DATA!BC33),"")</f>
        <v/>
      </c>
      <c r="DB33" s="106" t="str">
        <f>IFERROR(IF(ISBLANK(DA33),"",ROUND((DA33/SETTINGS!$L$19)*SETTINGS!$L$20,0)),"")</f>
        <v/>
      </c>
      <c r="DC33" s="106" t="str">
        <f t="shared" si="35"/>
        <v/>
      </c>
      <c r="DD33" s="103" t="str">
        <f t="shared" si="8"/>
        <v/>
      </c>
      <c r="DE33" s="107" t="str">
        <f t="shared" si="36"/>
        <v/>
      </c>
      <c r="DF33" s="103" t="str">
        <f t="shared" si="9"/>
        <v/>
      </c>
      <c r="DG33" s="103" t="str">
        <f>IFERROR(IF(AND(K33,W33,AI33,AU33,BG33,BS33,CE33,CQ33,DC33)="","",SUM(K33,W33,AI33,AU33,LARGE((BG33,BS33,CE33,CQ33,DC33),{1,2}))),"")</f>
        <v/>
      </c>
      <c r="DH33" s="103" t="str">
        <f>IFERROR(IF(AND(M33,Y33,AK33,AW33,,BI33,BU33,CG33,CS33,DE33)="","",SUM(M33,Y33,AK33,AW33,SMALL((BI33,BU33,CG33,CS33,DE33),{1,2}))),"")</f>
        <v/>
      </c>
      <c r="DI33" s="109" t="str">
        <f>IFERROR(IF(ISBLANK($D33),"",pos&amp;IF(AND(MOD(ABS(pos),100)&gt;10,MOD(ABS(pos),100)&lt;14),"th",CHOOSE(MOD(ABS(pos),10)+1,"th","st","nd","rd","th","th","th","th","th","th"))),"")</f>
        <v/>
      </c>
      <c r="DJ33" s="62">
        <f>ROWS($B$12:$B33)</f>
        <v>22</v>
      </c>
      <c r="DK33" s="62" t="str">
        <f>IF($B33=REPORT_CARD!$M$12,$DJ33,"")</f>
        <v/>
      </c>
      <c r="DL33" s="62"/>
      <c r="DM33" s="186"/>
    </row>
    <row r="34" spans="1:117" ht="19.5" customHeight="1">
      <c r="A34" s="187" t="str">
        <f>IFERROR(IF(ISBLANK(DATA!$A34),"",DATA!$A34),"")</f>
        <v/>
      </c>
      <c r="B34" s="187" t="str">
        <f>IFERROR(IF(ISBLANK(DATA!$B34),"",DATA!$B34),"")</f>
        <v/>
      </c>
      <c r="C34" s="190" t="str">
        <f>IFERROR(IF(ISBLANK(DATA!C34),"",DATA!C34),"")</f>
        <v/>
      </c>
      <c r="D34" s="190" t="str">
        <f>IFERROR(IF(ISBLANK(DATA!D34),"",DATA!D34),"")</f>
        <v/>
      </c>
      <c r="E34" s="190" t="str">
        <f>IFERROR(IF(ISBLANK(DATA!E34),"",DATA!E34),"")</f>
        <v/>
      </c>
      <c r="F34" s="190" t="str">
        <f>IFERROR(IF(ISBLANK(DATA!F34),"",DATA!F34),"")</f>
        <v/>
      </c>
      <c r="G34" s="97" t="str">
        <f t="shared" si="37"/>
        <v/>
      </c>
      <c r="H34" s="106" t="str">
        <f>IFERROR(IF(G34=0,"",ROUND((G34/SUM(SETTINGS!$L$14:$L$17))*SETTINGS!$L$18,0)),"")</f>
        <v/>
      </c>
      <c r="I34" s="190" t="str">
        <f>IFERROR(IF(ISBLANK(DATA!G34),"",DATA!G34),"")</f>
        <v/>
      </c>
      <c r="J34" s="106" t="str">
        <f>IFERROR(IF(ISBLANK(I34),"",ROUND((I34/SETTINGS!$L$19)*SETTINGS!$L$20,0)),"")</f>
        <v/>
      </c>
      <c r="K34" s="106" t="str">
        <f t="shared" si="10"/>
        <v/>
      </c>
      <c r="L34" s="103" t="str">
        <f t="shared" si="0"/>
        <v/>
      </c>
      <c r="M34" s="107" t="str">
        <f t="shared" si="11"/>
        <v/>
      </c>
      <c r="N34" s="136"/>
      <c r="O34" s="190" t="str">
        <f>IFERROR(IF(ISBLANK(DATA!I34),"",DATA!I34),"")</f>
        <v/>
      </c>
      <c r="P34" s="190" t="str">
        <f>IFERROR(IF(ISBLANK(DATA!J34),"",DATA!J34),"")</f>
        <v/>
      </c>
      <c r="Q34" s="190" t="str">
        <f>IFERROR(IF(ISBLANK(DATA!K34),"",DATA!K34),"")</f>
        <v/>
      </c>
      <c r="R34" s="190" t="str">
        <f>IFERROR(IF(ISBLANK(DATA!L34),"",DATA!L34),"")</f>
        <v/>
      </c>
      <c r="S34" s="97" t="str">
        <f t="shared" si="12"/>
        <v/>
      </c>
      <c r="T34" s="106" t="str">
        <f>IFERROR(IF(S34=0,"",ROUND((S34/SUM(SETTINGS!$L$14:$L$17))*SETTINGS!$L$18,0)),"")</f>
        <v/>
      </c>
      <c r="U34" s="190" t="str">
        <f>IFERROR(IF(ISBLANK(DATA!M34),"",DATA!M34),"")</f>
        <v/>
      </c>
      <c r="V34" s="106" t="str">
        <f>IFERROR(IF(ISBLANK(U34),"",ROUND((U34/SETTINGS!$L$19)*SETTINGS!$L$20,0)),"")</f>
        <v/>
      </c>
      <c r="W34" s="106" t="str">
        <f t="shared" si="13"/>
        <v/>
      </c>
      <c r="X34" s="103" t="str">
        <f t="shared" si="14"/>
        <v/>
      </c>
      <c r="Y34" s="107" t="str">
        <f t="shared" si="15"/>
        <v/>
      </c>
      <c r="Z34" s="130"/>
      <c r="AA34" s="190" t="str">
        <f>IFERROR(IF(ISBLANK(DATA!O34),"",DATA!O34),"")</f>
        <v/>
      </c>
      <c r="AB34" s="190" t="str">
        <f>IFERROR(IF(ISBLANK(DATA!P34),"",DATA!P34),"")</f>
        <v/>
      </c>
      <c r="AC34" s="190" t="str">
        <f>IFERROR(IF(ISBLANK(DATA!Q34),"",DATA!Q34),"")</f>
        <v/>
      </c>
      <c r="AD34" s="190" t="str">
        <f>IFERROR(IF(ISBLANK(DATA!R34),"",DATA!R34),"")</f>
        <v/>
      </c>
      <c r="AE34" s="97" t="str">
        <f t="shared" si="16"/>
        <v/>
      </c>
      <c r="AF34" s="106" t="str">
        <f>IFERROR(IF(AE34=0,"",ROUND((AE34/SUM(SETTINGS!$L$14:$L$17))*SETTINGS!$L$18,0)),"")</f>
        <v/>
      </c>
      <c r="AG34" s="190" t="str">
        <f>IFERROR(IF(ISBLANK(DATA!S34),"",DATA!S34),"")</f>
        <v/>
      </c>
      <c r="AH34" s="106" t="str">
        <f>IFERROR(IF(ISBLANK(AG34),"",ROUND((AG34/SETTINGS!$L$19)*SETTINGS!$L$20,0)),"")</f>
        <v/>
      </c>
      <c r="AI34" s="106" t="str">
        <f t="shared" si="17"/>
        <v/>
      </c>
      <c r="AJ34" s="103" t="str">
        <f t="shared" si="2"/>
        <v/>
      </c>
      <c r="AK34" s="108" t="str">
        <f t="shared" si="18"/>
        <v/>
      </c>
      <c r="AL34" s="130"/>
      <c r="AM34" s="190" t="str">
        <f>IFERROR(IF(ISBLANK(DATA!U34),"",DATA!U34),"")</f>
        <v/>
      </c>
      <c r="AN34" s="190" t="str">
        <f>IFERROR(IF(ISBLANK(DATA!V34),"",DATA!V34),"")</f>
        <v/>
      </c>
      <c r="AO34" s="190" t="str">
        <f>IFERROR(IF(ISBLANK(DATA!W34),"",DATA!W34),"")</f>
        <v/>
      </c>
      <c r="AP34" s="190" t="str">
        <f>IFERROR(IF(ISBLANK(DATA!X34),"",DATA!X34),"")</f>
        <v/>
      </c>
      <c r="AQ34" s="97" t="str">
        <f t="shared" si="19"/>
        <v/>
      </c>
      <c r="AR34" s="106" t="str">
        <f>IFERROR(IF(AQ34=0,"",ROUND((AQ34/SUM(SETTINGS!$L$14:$L$17))*SETTINGS!$L$18,0)),"")</f>
        <v/>
      </c>
      <c r="AS34" s="190" t="str">
        <f>IFERROR(IF(ISBLANK(DATA!Y34),"",DATA!Y34),"")</f>
        <v/>
      </c>
      <c r="AT34" s="106" t="str">
        <f>IFERROR(IF(ISBLANK(AS34),"",ROUND((AS34/SETTINGS!$L$19)*SETTINGS!$L$20,0)),"")</f>
        <v/>
      </c>
      <c r="AU34" s="106" t="str">
        <f t="shared" si="20"/>
        <v/>
      </c>
      <c r="AV34" s="103" t="str">
        <f t="shared" si="3"/>
        <v/>
      </c>
      <c r="AW34" s="107" t="str">
        <f t="shared" si="21"/>
        <v/>
      </c>
      <c r="AX34" s="130"/>
      <c r="AY34" s="190" t="str">
        <f>IFERROR(IF(ISBLANK(DATA!AA34),"",DATA!AA34),"")</f>
        <v/>
      </c>
      <c r="AZ34" s="190" t="str">
        <f>IFERROR(IF(ISBLANK(DATA!AB34),"",DATA!AB34),"")</f>
        <v/>
      </c>
      <c r="BA34" s="190" t="str">
        <f>IFERROR(IF(ISBLANK(DATA!AC34),"",DATA!AC34),"")</f>
        <v/>
      </c>
      <c r="BB34" s="190" t="str">
        <f>IFERROR(IF(ISBLANK(DATA!AD34),"",DATA!AD34),"")</f>
        <v/>
      </c>
      <c r="BC34" s="97" t="str">
        <f t="shared" si="22"/>
        <v/>
      </c>
      <c r="BD34" s="106" t="str">
        <f>IFERROR(IF(BC34=0,"",ROUND((BC34/SUM(SETTINGS!$L$14:$L$17))*SETTINGS!$L$18,0)),"")</f>
        <v/>
      </c>
      <c r="BE34" s="190" t="str">
        <f>IFERROR(IF(ISBLANK(DATA!AE34),"",DATA!AE34),"")</f>
        <v/>
      </c>
      <c r="BF34" s="106" t="str">
        <f>IFERROR(IF(ISBLANK(BE34),"",ROUND((BE34/SETTINGS!$L$19)*SETTINGS!$L$20,0)),"")</f>
        <v/>
      </c>
      <c r="BG34" s="106" t="str">
        <f t="shared" si="23"/>
        <v/>
      </c>
      <c r="BH34" s="103" t="str">
        <f t="shared" si="4"/>
        <v/>
      </c>
      <c r="BI34" s="108" t="str">
        <f t="shared" si="24"/>
        <v/>
      </c>
      <c r="BJ34" s="130"/>
      <c r="BK34" s="190" t="str">
        <f>IFERROR(IF(ISBLANK(DATA!AG34),"",DATA!AG34),"")</f>
        <v/>
      </c>
      <c r="BL34" s="190" t="str">
        <f>IFERROR(IF(ISBLANK(DATA!AH34),"",DATA!AH34),"")</f>
        <v/>
      </c>
      <c r="BM34" s="190" t="str">
        <f>IFERROR(IF(ISBLANK(DATA!AI34),"",DATA!AI34),"")</f>
        <v/>
      </c>
      <c r="BN34" s="190" t="str">
        <f>IFERROR(IF(ISBLANK(DATA!AJ34),"",DATA!AJ34),"")</f>
        <v/>
      </c>
      <c r="BO34" s="97" t="str">
        <f t="shared" si="25"/>
        <v/>
      </c>
      <c r="BP34" s="106" t="str">
        <f>IFERROR(IF(BO34=0,"",ROUND((BO34/SUM(SETTINGS!$L$14:$L$17))*SETTINGS!$L$18,0)),"")</f>
        <v/>
      </c>
      <c r="BQ34" s="190" t="str">
        <f>IFERROR(IF(ISBLANK(DATA!AK34),"",DATA!AK34),"")</f>
        <v/>
      </c>
      <c r="BR34" s="106" t="str">
        <f>IFERROR(IF(ISBLANK(BQ34),"",ROUND((BQ34/SETTINGS!$L$19)*SETTINGS!$L$20,0)),"")</f>
        <v/>
      </c>
      <c r="BS34" s="106" t="str">
        <f t="shared" si="26"/>
        <v/>
      </c>
      <c r="BT34" s="103" t="str">
        <f t="shared" si="5"/>
        <v/>
      </c>
      <c r="BU34" s="107" t="str">
        <f t="shared" si="27"/>
        <v/>
      </c>
      <c r="BV34" s="130"/>
      <c r="BW34" s="190" t="str">
        <f>IFERROR(IF(ISBLANK(DATA!AM34),"",DATA!AM34),"")</f>
        <v/>
      </c>
      <c r="BX34" s="190" t="str">
        <f>IFERROR(IF(ISBLANK(DATA!AN34),"",DATA!AN34),"")</f>
        <v/>
      </c>
      <c r="BY34" s="190" t="str">
        <f>IFERROR(IF(ISBLANK(DATA!AO34),"",DATA!AO34),"")</f>
        <v/>
      </c>
      <c r="BZ34" s="190" t="str">
        <f>IFERROR(IF(ISBLANK(DATA!AP34),"",DATA!AP34),"")</f>
        <v/>
      </c>
      <c r="CA34" s="97" t="str">
        <f t="shared" si="28"/>
        <v/>
      </c>
      <c r="CB34" s="106" t="str">
        <f>IFERROR(IF(CA34=0,"",ROUND((CA34/SUM(SETTINGS!$L$14:$L$17))*SETTINGS!$L$18,0)),"")</f>
        <v/>
      </c>
      <c r="CC34" s="190" t="str">
        <f>IFERROR(IF(ISBLANK(DATA!AQ34),"",DATA!AQ34),"")</f>
        <v/>
      </c>
      <c r="CD34" s="106" t="str">
        <f>IFERROR(IF(ISBLANK(CC34),"",ROUND((CC34/SETTINGS!$L$19)*SETTINGS!$L$20,0)),"")</f>
        <v/>
      </c>
      <c r="CE34" s="106" t="str">
        <f t="shared" si="29"/>
        <v/>
      </c>
      <c r="CF34" s="103" t="str">
        <f t="shared" si="6"/>
        <v/>
      </c>
      <c r="CG34" s="107" t="str">
        <f t="shared" si="30"/>
        <v/>
      </c>
      <c r="CH34" s="130"/>
      <c r="CI34" s="190" t="str">
        <f>IFERROR(IF(ISBLANK(DATA!AS34),"",DATA!AS34),"")</f>
        <v/>
      </c>
      <c r="CJ34" s="190" t="str">
        <f>IFERROR(IF(ISBLANK(DATA!AT34),"",DATA!AT34),"")</f>
        <v/>
      </c>
      <c r="CK34" s="190" t="str">
        <f>IFERROR(IF(ISBLANK(DATA!AU34),"",DATA!AU34),"")</f>
        <v/>
      </c>
      <c r="CL34" s="190" t="str">
        <f>IFERROR(IF(ISBLANK(DATA!AV34),"",DATA!AV34),"")</f>
        <v/>
      </c>
      <c r="CM34" s="97" t="str">
        <f t="shared" si="31"/>
        <v/>
      </c>
      <c r="CN34" s="106" t="str">
        <f>IFERROR(IF(CM34=0,"",ROUND((CM34/SUM(SETTINGS!$L$14:$L$17))*SETTINGS!$L$18,0)),"")</f>
        <v/>
      </c>
      <c r="CO34" s="190" t="str">
        <f>IFERROR(IF(ISBLANK(DATA!AW34),"",DATA!AW34),"")</f>
        <v/>
      </c>
      <c r="CP34" s="106" t="str">
        <f>IFERROR(IF(ISBLANK(CO34),"",ROUND((CO34/SETTINGS!$L$19)*SETTINGS!$L$20,0)),"")</f>
        <v/>
      </c>
      <c r="CQ34" s="106" t="str">
        <f t="shared" si="32"/>
        <v/>
      </c>
      <c r="CR34" s="103" t="str">
        <f t="shared" si="7"/>
        <v/>
      </c>
      <c r="CS34" s="107" t="str">
        <f t="shared" si="33"/>
        <v/>
      </c>
      <c r="CT34" s="130"/>
      <c r="CU34" s="190" t="str">
        <f>IFERROR(IF(ISBLANK(DATA!AY34),"",DATA!AY34),"")</f>
        <v/>
      </c>
      <c r="CV34" s="190" t="str">
        <f>IFERROR(IF(ISBLANK(DATA!AZ34),"",DATA!AZ34),"")</f>
        <v/>
      </c>
      <c r="CW34" s="190" t="str">
        <f>IFERROR(IF(ISBLANK(DATA!BA34),"",DATA!BA34),"")</f>
        <v/>
      </c>
      <c r="CX34" s="190" t="str">
        <f>IFERROR(IF(ISBLANK(DATA!BB34),"",DATA!BB34),"")</f>
        <v/>
      </c>
      <c r="CY34" s="97" t="str">
        <f t="shared" si="34"/>
        <v/>
      </c>
      <c r="CZ34" s="106" t="str">
        <f>IFERROR(IF(CY34=0,"",ROUND((CY34/SUM(SETTINGS!$L$14:$L$17))*SETTINGS!$L$18,0)),"")</f>
        <v/>
      </c>
      <c r="DA34" s="190" t="str">
        <f>IFERROR(IF(ISBLANK(DATA!BC34),"",DATA!BC34),"")</f>
        <v/>
      </c>
      <c r="DB34" s="106" t="str">
        <f>IFERROR(IF(ISBLANK(DA34),"",ROUND((DA34/SETTINGS!$L$19)*SETTINGS!$L$20,0)),"")</f>
        <v/>
      </c>
      <c r="DC34" s="106" t="str">
        <f t="shared" si="35"/>
        <v/>
      </c>
      <c r="DD34" s="103" t="str">
        <f t="shared" si="8"/>
        <v/>
      </c>
      <c r="DE34" s="107" t="str">
        <f t="shared" si="36"/>
        <v/>
      </c>
      <c r="DF34" s="103" t="str">
        <f t="shared" si="9"/>
        <v/>
      </c>
      <c r="DG34" s="103" t="str">
        <f>IFERROR(IF(AND(K34,W34,AI34,AU34,BG34,BS34,CE34,CQ34,DC34)="","",SUM(K34,W34,AI34,AU34,LARGE((BG34,BS34,CE34,CQ34,DC34),{1,2}))),"")</f>
        <v/>
      </c>
      <c r="DH34" s="103" t="str">
        <f>IFERROR(IF(AND(M34,Y34,AK34,AW34,,BI34,BU34,CG34,CS34,DE34)="","",SUM(M34,Y34,AK34,AW34,SMALL((BI34,BU34,CG34,CS34,DE34),{1,2}))),"")</f>
        <v/>
      </c>
      <c r="DI34" s="109" t="str">
        <f>IFERROR(IF(ISBLANK($D34),"",pos&amp;IF(AND(MOD(ABS(pos),100)&gt;10,MOD(ABS(pos),100)&lt;14),"th",CHOOSE(MOD(ABS(pos),10)+1,"th","st","nd","rd","th","th","th","th","th","th"))),"")</f>
        <v/>
      </c>
      <c r="DJ34" s="62">
        <f>ROWS($B$12:$B34)</f>
        <v>23</v>
      </c>
      <c r="DK34" s="62" t="str">
        <f>IF($B34=REPORT_CARD!$M$12,$DJ34,"")</f>
        <v/>
      </c>
      <c r="DL34" s="62"/>
      <c r="DM34" s="186"/>
    </row>
    <row r="35" spans="1:117" ht="19.5" customHeight="1">
      <c r="A35" s="187" t="str">
        <f>IFERROR(IF(ISBLANK(DATA!$A35),"",DATA!$A35),"")</f>
        <v/>
      </c>
      <c r="B35" s="187" t="str">
        <f>IFERROR(IF(ISBLANK(DATA!$B35),"",DATA!$B35),"")</f>
        <v/>
      </c>
      <c r="C35" s="190" t="str">
        <f>IFERROR(IF(ISBLANK(DATA!C35),"",DATA!C35),"")</f>
        <v/>
      </c>
      <c r="D35" s="190" t="str">
        <f>IFERROR(IF(ISBLANK(DATA!D35),"",DATA!D35),"")</f>
        <v/>
      </c>
      <c r="E35" s="190" t="str">
        <f>IFERROR(IF(ISBLANK(DATA!E35),"",DATA!E35),"")</f>
        <v/>
      </c>
      <c r="F35" s="190" t="str">
        <f>IFERROR(IF(ISBLANK(DATA!F35),"",DATA!F35),"")</f>
        <v/>
      </c>
      <c r="G35" s="97" t="str">
        <f t="shared" si="37"/>
        <v/>
      </c>
      <c r="H35" s="106" t="str">
        <f>IFERROR(IF(G35=0,"",ROUND((G35/SUM(SETTINGS!$L$14:$L$17))*SETTINGS!$L$18,0)),"")</f>
        <v/>
      </c>
      <c r="I35" s="190" t="str">
        <f>IFERROR(IF(ISBLANK(DATA!G35),"",DATA!G35),"")</f>
        <v/>
      </c>
      <c r="J35" s="106" t="str">
        <f>IFERROR(IF(ISBLANK(I35),"",ROUND((I35/SETTINGS!$L$19)*SETTINGS!$L$20,0)),"")</f>
        <v/>
      </c>
      <c r="K35" s="106" t="str">
        <f t="shared" si="10"/>
        <v/>
      </c>
      <c r="L35" s="103" t="str">
        <f t="shared" si="0"/>
        <v/>
      </c>
      <c r="M35" s="107" t="str">
        <f t="shared" si="11"/>
        <v/>
      </c>
      <c r="N35" s="136"/>
      <c r="O35" s="190" t="str">
        <f>IFERROR(IF(ISBLANK(DATA!I35),"",DATA!I35),"")</f>
        <v/>
      </c>
      <c r="P35" s="190" t="str">
        <f>IFERROR(IF(ISBLANK(DATA!J35),"",DATA!J35),"")</f>
        <v/>
      </c>
      <c r="Q35" s="190" t="str">
        <f>IFERROR(IF(ISBLANK(DATA!K35),"",DATA!K35),"")</f>
        <v/>
      </c>
      <c r="R35" s="190" t="str">
        <f>IFERROR(IF(ISBLANK(DATA!L35),"",DATA!L35),"")</f>
        <v/>
      </c>
      <c r="S35" s="97" t="str">
        <f t="shared" si="12"/>
        <v/>
      </c>
      <c r="T35" s="106" t="str">
        <f>IFERROR(IF(S35=0,"",ROUND((S35/SUM(SETTINGS!$L$14:$L$17))*SETTINGS!$L$18,0)),"")</f>
        <v/>
      </c>
      <c r="U35" s="190" t="str">
        <f>IFERROR(IF(ISBLANK(DATA!M35),"",DATA!M35),"")</f>
        <v/>
      </c>
      <c r="V35" s="106" t="str">
        <f>IFERROR(IF(ISBLANK(U35),"",ROUND((U35/SETTINGS!$L$19)*SETTINGS!$L$20,0)),"")</f>
        <v/>
      </c>
      <c r="W35" s="106" t="str">
        <f t="shared" si="13"/>
        <v/>
      </c>
      <c r="X35" s="103" t="str">
        <f t="shared" si="14"/>
        <v/>
      </c>
      <c r="Y35" s="107" t="str">
        <f t="shared" si="15"/>
        <v/>
      </c>
      <c r="Z35" s="130"/>
      <c r="AA35" s="190" t="str">
        <f>IFERROR(IF(ISBLANK(DATA!O35),"",DATA!O35),"")</f>
        <v/>
      </c>
      <c r="AB35" s="190" t="str">
        <f>IFERROR(IF(ISBLANK(DATA!P35),"",DATA!P35),"")</f>
        <v/>
      </c>
      <c r="AC35" s="190" t="str">
        <f>IFERROR(IF(ISBLANK(DATA!Q35),"",DATA!Q35),"")</f>
        <v/>
      </c>
      <c r="AD35" s="190" t="str">
        <f>IFERROR(IF(ISBLANK(DATA!R35),"",DATA!R35),"")</f>
        <v/>
      </c>
      <c r="AE35" s="97" t="str">
        <f t="shared" si="16"/>
        <v/>
      </c>
      <c r="AF35" s="106" t="str">
        <f>IFERROR(IF(AE35=0,"",ROUND((AE35/SUM(SETTINGS!$L$14:$L$17))*SETTINGS!$L$18,0)),"")</f>
        <v/>
      </c>
      <c r="AG35" s="190" t="str">
        <f>IFERROR(IF(ISBLANK(DATA!S35),"",DATA!S35),"")</f>
        <v/>
      </c>
      <c r="AH35" s="106" t="str">
        <f>IFERROR(IF(ISBLANK(AG35),"",ROUND((AG35/SETTINGS!$L$19)*SETTINGS!$L$20,0)),"")</f>
        <v/>
      </c>
      <c r="AI35" s="106" t="str">
        <f t="shared" si="17"/>
        <v/>
      </c>
      <c r="AJ35" s="103" t="str">
        <f t="shared" si="2"/>
        <v/>
      </c>
      <c r="AK35" s="108" t="str">
        <f t="shared" si="18"/>
        <v/>
      </c>
      <c r="AL35" s="130"/>
      <c r="AM35" s="190" t="str">
        <f>IFERROR(IF(ISBLANK(DATA!U35),"",DATA!U35),"")</f>
        <v/>
      </c>
      <c r="AN35" s="190" t="str">
        <f>IFERROR(IF(ISBLANK(DATA!V35),"",DATA!V35),"")</f>
        <v/>
      </c>
      <c r="AO35" s="190" t="str">
        <f>IFERROR(IF(ISBLANK(DATA!W35),"",DATA!W35),"")</f>
        <v/>
      </c>
      <c r="AP35" s="190" t="str">
        <f>IFERROR(IF(ISBLANK(DATA!X35),"",DATA!X35),"")</f>
        <v/>
      </c>
      <c r="AQ35" s="97" t="str">
        <f t="shared" si="19"/>
        <v/>
      </c>
      <c r="AR35" s="106" t="str">
        <f>IFERROR(IF(AQ35=0,"",ROUND((AQ35/SUM(SETTINGS!$L$14:$L$17))*SETTINGS!$L$18,0)),"")</f>
        <v/>
      </c>
      <c r="AS35" s="190" t="str">
        <f>IFERROR(IF(ISBLANK(DATA!Y35),"",DATA!Y35),"")</f>
        <v/>
      </c>
      <c r="AT35" s="106" t="str">
        <f>IFERROR(IF(ISBLANK(AS35),"",ROUND((AS35/SETTINGS!$L$19)*SETTINGS!$L$20,0)),"")</f>
        <v/>
      </c>
      <c r="AU35" s="106" t="str">
        <f t="shared" si="20"/>
        <v/>
      </c>
      <c r="AV35" s="103" t="str">
        <f t="shared" si="3"/>
        <v/>
      </c>
      <c r="AW35" s="107" t="str">
        <f t="shared" si="21"/>
        <v/>
      </c>
      <c r="AX35" s="130"/>
      <c r="AY35" s="190" t="str">
        <f>IFERROR(IF(ISBLANK(DATA!AA35),"",DATA!AA35),"")</f>
        <v/>
      </c>
      <c r="AZ35" s="190" t="str">
        <f>IFERROR(IF(ISBLANK(DATA!AB35),"",DATA!AB35),"")</f>
        <v/>
      </c>
      <c r="BA35" s="190" t="str">
        <f>IFERROR(IF(ISBLANK(DATA!AC35),"",DATA!AC35),"")</f>
        <v/>
      </c>
      <c r="BB35" s="190" t="str">
        <f>IFERROR(IF(ISBLANK(DATA!AD35),"",DATA!AD35),"")</f>
        <v/>
      </c>
      <c r="BC35" s="97" t="str">
        <f t="shared" si="22"/>
        <v/>
      </c>
      <c r="BD35" s="106" t="str">
        <f>IFERROR(IF(BC35=0,"",ROUND((BC35/SUM(SETTINGS!$L$14:$L$17))*SETTINGS!$L$18,0)),"")</f>
        <v/>
      </c>
      <c r="BE35" s="190" t="str">
        <f>IFERROR(IF(ISBLANK(DATA!AE35),"",DATA!AE35),"")</f>
        <v/>
      </c>
      <c r="BF35" s="106" t="str">
        <f>IFERROR(IF(ISBLANK(BE35),"",ROUND((BE35/SETTINGS!$L$19)*SETTINGS!$L$20,0)),"")</f>
        <v/>
      </c>
      <c r="BG35" s="106" t="str">
        <f t="shared" si="23"/>
        <v/>
      </c>
      <c r="BH35" s="103" t="str">
        <f t="shared" si="4"/>
        <v/>
      </c>
      <c r="BI35" s="108" t="str">
        <f t="shared" si="24"/>
        <v/>
      </c>
      <c r="BJ35" s="130"/>
      <c r="BK35" s="190" t="str">
        <f>IFERROR(IF(ISBLANK(DATA!AG35),"",DATA!AG35),"")</f>
        <v/>
      </c>
      <c r="BL35" s="190" t="str">
        <f>IFERROR(IF(ISBLANK(DATA!AH35),"",DATA!AH35),"")</f>
        <v/>
      </c>
      <c r="BM35" s="190" t="str">
        <f>IFERROR(IF(ISBLANK(DATA!AI35),"",DATA!AI35),"")</f>
        <v/>
      </c>
      <c r="BN35" s="190" t="str">
        <f>IFERROR(IF(ISBLANK(DATA!AJ35),"",DATA!AJ35),"")</f>
        <v/>
      </c>
      <c r="BO35" s="97" t="str">
        <f t="shared" si="25"/>
        <v/>
      </c>
      <c r="BP35" s="106" t="str">
        <f>IFERROR(IF(BO35=0,"",ROUND((BO35/SUM(SETTINGS!$L$14:$L$17))*SETTINGS!$L$18,0)),"")</f>
        <v/>
      </c>
      <c r="BQ35" s="190" t="str">
        <f>IFERROR(IF(ISBLANK(DATA!AK35),"",DATA!AK35),"")</f>
        <v/>
      </c>
      <c r="BR35" s="106" t="str">
        <f>IFERROR(IF(ISBLANK(BQ35),"",ROUND((BQ35/SETTINGS!$L$19)*SETTINGS!$L$20,0)),"")</f>
        <v/>
      </c>
      <c r="BS35" s="106" t="str">
        <f t="shared" si="26"/>
        <v/>
      </c>
      <c r="BT35" s="103" t="str">
        <f t="shared" si="5"/>
        <v/>
      </c>
      <c r="BU35" s="107" t="str">
        <f t="shared" si="27"/>
        <v/>
      </c>
      <c r="BV35" s="130"/>
      <c r="BW35" s="190" t="str">
        <f>IFERROR(IF(ISBLANK(DATA!AM35),"",DATA!AM35),"")</f>
        <v/>
      </c>
      <c r="BX35" s="190" t="str">
        <f>IFERROR(IF(ISBLANK(DATA!AN35),"",DATA!AN35),"")</f>
        <v/>
      </c>
      <c r="BY35" s="190" t="str">
        <f>IFERROR(IF(ISBLANK(DATA!AO35),"",DATA!AO35),"")</f>
        <v/>
      </c>
      <c r="BZ35" s="190" t="str">
        <f>IFERROR(IF(ISBLANK(DATA!AP35),"",DATA!AP35),"")</f>
        <v/>
      </c>
      <c r="CA35" s="97" t="str">
        <f t="shared" si="28"/>
        <v/>
      </c>
      <c r="CB35" s="106" t="str">
        <f>IFERROR(IF(CA35=0,"",ROUND((CA35/SUM(SETTINGS!$L$14:$L$17))*SETTINGS!$L$18,0)),"")</f>
        <v/>
      </c>
      <c r="CC35" s="190" t="str">
        <f>IFERROR(IF(ISBLANK(DATA!AQ35),"",DATA!AQ35),"")</f>
        <v/>
      </c>
      <c r="CD35" s="106" t="str">
        <f>IFERROR(IF(ISBLANK(CC35),"",ROUND((CC35/SETTINGS!$L$19)*SETTINGS!$L$20,0)),"")</f>
        <v/>
      </c>
      <c r="CE35" s="106" t="str">
        <f t="shared" si="29"/>
        <v/>
      </c>
      <c r="CF35" s="103" t="str">
        <f t="shared" si="6"/>
        <v/>
      </c>
      <c r="CG35" s="107" t="str">
        <f t="shared" si="30"/>
        <v/>
      </c>
      <c r="CH35" s="130"/>
      <c r="CI35" s="190" t="str">
        <f>IFERROR(IF(ISBLANK(DATA!AS35),"",DATA!AS35),"")</f>
        <v/>
      </c>
      <c r="CJ35" s="190" t="str">
        <f>IFERROR(IF(ISBLANK(DATA!AT35),"",DATA!AT35),"")</f>
        <v/>
      </c>
      <c r="CK35" s="190" t="str">
        <f>IFERROR(IF(ISBLANK(DATA!AU35),"",DATA!AU35),"")</f>
        <v/>
      </c>
      <c r="CL35" s="190" t="str">
        <f>IFERROR(IF(ISBLANK(DATA!AV35),"",DATA!AV35),"")</f>
        <v/>
      </c>
      <c r="CM35" s="97" t="str">
        <f t="shared" si="31"/>
        <v/>
      </c>
      <c r="CN35" s="106" t="str">
        <f>IFERROR(IF(CM35=0,"",ROUND((CM35/SUM(SETTINGS!$L$14:$L$17))*SETTINGS!$L$18,0)),"")</f>
        <v/>
      </c>
      <c r="CO35" s="190" t="str">
        <f>IFERROR(IF(ISBLANK(DATA!AW35),"",DATA!AW35),"")</f>
        <v/>
      </c>
      <c r="CP35" s="106" t="str">
        <f>IFERROR(IF(ISBLANK(CO35),"",ROUND((CO35/SETTINGS!$L$19)*SETTINGS!$L$20,0)),"")</f>
        <v/>
      </c>
      <c r="CQ35" s="106" t="str">
        <f t="shared" si="32"/>
        <v/>
      </c>
      <c r="CR35" s="103" t="str">
        <f t="shared" si="7"/>
        <v/>
      </c>
      <c r="CS35" s="107" t="str">
        <f t="shared" si="33"/>
        <v/>
      </c>
      <c r="CT35" s="130"/>
      <c r="CU35" s="190" t="str">
        <f>IFERROR(IF(ISBLANK(DATA!AY35),"",DATA!AY35),"")</f>
        <v/>
      </c>
      <c r="CV35" s="190" t="str">
        <f>IFERROR(IF(ISBLANK(DATA!AZ35),"",DATA!AZ35),"")</f>
        <v/>
      </c>
      <c r="CW35" s="190" t="str">
        <f>IFERROR(IF(ISBLANK(DATA!BA35),"",DATA!BA35),"")</f>
        <v/>
      </c>
      <c r="CX35" s="190" t="str">
        <f>IFERROR(IF(ISBLANK(DATA!BB35),"",DATA!BB35),"")</f>
        <v/>
      </c>
      <c r="CY35" s="97" t="str">
        <f t="shared" si="34"/>
        <v/>
      </c>
      <c r="CZ35" s="106" t="str">
        <f>IFERROR(IF(CY35=0,"",ROUND((CY35/SUM(SETTINGS!$L$14:$L$17))*SETTINGS!$L$18,0)),"")</f>
        <v/>
      </c>
      <c r="DA35" s="190" t="str">
        <f>IFERROR(IF(ISBLANK(DATA!BC35),"",DATA!BC35),"")</f>
        <v/>
      </c>
      <c r="DB35" s="106" t="str">
        <f>IFERROR(IF(ISBLANK(DA35),"",ROUND((DA35/SETTINGS!$L$19)*SETTINGS!$L$20,0)),"")</f>
        <v/>
      </c>
      <c r="DC35" s="106" t="str">
        <f t="shared" si="35"/>
        <v/>
      </c>
      <c r="DD35" s="103" t="str">
        <f t="shared" si="8"/>
        <v/>
      </c>
      <c r="DE35" s="107" t="str">
        <f t="shared" si="36"/>
        <v/>
      </c>
      <c r="DF35" s="103" t="str">
        <f t="shared" si="9"/>
        <v/>
      </c>
      <c r="DG35" s="103" t="str">
        <f>IFERROR(IF(AND(K35,W35,AI35,AU35,BG35,BS35,CE35,CQ35,DC35)="","",SUM(K35,W35,AI35,AU35,LARGE((BG35,BS35,CE35,CQ35,DC35),{1,2}))),"")</f>
        <v/>
      </c>
      <c r="DH35" s="103" t="str">
        <f>IFERROR(IF(AND(M35,Y35,AK35,AW35,,BI35,BU35,CG35,CS35,DE35)="","",SUM(M35,Y35,AK35,AW35,SMALL((BI35,BU35,CG35,CS35,DE35),{1,2}))),"")</f>
        <v/>
      </c>
      <c r="DI35" s="109" t="str">
        <f>IFERROR(IF(ISBLANK($D35),"",pos&amp;IF(AND(MOD(ABS(pos),100)&gt;10,MOD(ABS(pos),100)&lt;14),"th",CHOOSE(MOD(ABS(pos),10)+1,"th","st","nd","rd","th","th","th","th","th","th"))),"")</f>
        <v/>
      </c>
      <c r="DJ35" s="62">
        <f>ROWS($B$12:$B35)</f>
        <v>24</v>
      </c>
      <c r="DK35" s="62" t="str">
        <f>IF($B35=REPORT_CARD!$M$12,$DJ35,"")</f>
        <v/>
      </c>
      <c r="DL35" s="62"/>
      <c r="DM35" s="186"/>
    </row>
    <row r="36" spans="1:117" ht="19.5" customHeight="1">
      <c r="A36" s="187" t="str">
        <f>IFERROR(IF(ISBLANK(DATA!$A36),"",DATA!$A36),"")</f>
        <v/>
      </c>
      <c r="B36" s="187" t="str">
        <f>IFERROR(IF(ISBLANK(DATA!$B36),"",DATA!$B36),"")</f>
        <v/>
      </c>
      <c r="C36" s="190" t="str">
        <f>IFERROR(IF(ISBLANK(DATA!C36),"",DATA!C36),"")</f>
        <v/>
      </c>
      <c r="D36" s="190" t="str">
        <f>IFERROR(IF(ISBLANK(DATA!D36),"",DATA!D36),"")</f>
        <v/>
      </c>
      <c r="E36" s="190" t="str">
        <f>IFERROR(IF(ISBLANK(DATA!E36),"",DATA!E36),"")</f>
        <v/>
      </c>
      <c r="F36" s="190" t="str">
        <f>IFERROR(IF(ISBLANK(DATA!F36),"",DATA!F36),"")</f>
        <v/>
      </c>
      <c r="G36" s="97" t="str">
        <f t="shared" si="37"/>
        <v/>
      </c>
      <c r="H36" s="106" t="str">
        <f>IFERROR(IF(G36=0,"",ROUND((G36/SUM(SETTINGS!$L$14:$L$17))*SETTINGS!$L$18,0)),"")</f>
        <v/>
      </c>
      <c r="I36" s="190" t="str">
        <f>IFERROR(IF(ISBLANK(DATA!G36),"",DATA!G36),"")</f>
        <v/>
      </c>
      <c r="J36" s="106" t="str">
        <f>IFERROR(IF(ISBLANK(I36),"",ROUND((I36/SETTINGS!$L$19)*SETTINGS!$L$20,0)),"")</f>
        <v/>
      </c>
      <c r="K36" s="106" t="str">
        <f t="shared" si="10"/>
        <v/>
      </c>
      <c r="L36" s="103" t="str">
        <f t="shared" si="0"/>
        <v/>
      </c>
      <c r="M36" s="107" t="str">
        <f t="shared" si="11"/>
        <v/>
      </c>
      <c r="N36" s="136"/>
      <c r="O36" s="190" t="str">
        <f>IFERROR(IF(ISBLANK(DATA!I36),"",DATA!I36),"")</f>
        <v/>
      </c>
      <c r="P36" s="190" t="str">
        <f>IFERROR(IF(ISBLANK(DATA!J36),"",DATA!J36),"")</f>
        <v/>
      </c>
      <c r="Q36" s="190" t="str">
        <f>IFERROR(IF(ISBLANK(DATA!K36),"",DATA!K36),"")</f>
        <v/>
      </c>
      <c r="R36" s="190" t="str">
        <f>IFERROR(IF(ISBLANK(DATA!L36),"",DATA!L36),"")</f>
        <v/>
      </c>
      <c r="S36" s="97" t="str">
        <f t="shared" si="12"/>
        <v/>
      </c>
      <c r="T36" s="106" t="str">
        <f>IFERROR(IF(S36=0,"",ROUND((S36/SUM(SETTINGS!$L$14:$L$17))*SETTINGS!$L$18,0)),"")</f>
        <v/>
      </c>
      <c r="U36" s="190" t="str">
        <f>IFERROR(IF(ISBLANK(DATA!M36),"",DATA!M36),"")</f>
        <v/>
      </c>
      <c r="V36" s="106" t="str">
        <f>IFERROR(IF(ISBLANK(U36),"",ROUND((U36/SETTINGS!$L$19)*SETTINGS!$L$20,0)),"")</f>
        <v/>
      </c>
      <c r="W36" s="106" t="str">
        <f t="shared" si="13"/>
        <v/>
      </c>
      <c r="X36" s="103" t="str">
        <f t="shared" si="14"/>
        <v/>
      </c>
      <c r="Y36" s="107" t="str">
        <f t="shared" si="15"/>
        <v/>
      </c>
      <c r="Z36" s="130"/>
      <c r="AA36" s="190" t="str">
        <f>IFERROR(IF(ISBLANK(DATA!O36),"",DATA!O36),"")</f>
        <v/>
      </c>
      <c r="AB36" s="190" t="str">
        <f>IFERROR(IF(ISBLANK(DATA!P36),"",DATA!P36),"")</f>
        <v/>
      </c>
      <c r="AC36" s="190" t="str">
        <f>IFERROR(IF(ISBLANK(DATA!Q36),"",DATA!Q36),"")</f>
        <v/>
      </c>
      <c r="AD36" s="190" t="str">
        <f>IFERROR(IF(ISBLANK(DATA!R36),"",DATA!R36),"")</f>
        <v/>
      </c>
      <c r="AE36" s="97" t="str">
        <f t="shared" si="16"/>
        <v/>
      </c>
      <c r="AF36" s="106" t="str">
        <f>IFERROR(IF(AE36=0,"",ROUND((AE36/SUM(SETTINGS!$L$14:$L$17))*SETTINGS!$L$18,0)),"")</f>
        <v/>
      </c>
      <c r="AG36" s="190" t="str">
        <f>IFERROR(IF(ISBLANK(DATA!S36),"",DATA!S36),"")</f>
        <v/>
      </c>
      <c r="AH36" s="106" t="str">
        <f>IFERROR(IF(ISBLANK(AG36),"",ROUND((AG36/SETTINGS!$L$19)*SETTINGS!$L$20,0)),"")</f>
        <v/>
      </c>
      <c r="AI36" s="106" t="str">
        <f t="shared" si="17"/>
        <v/>
      </c>
      <c r="AJ36" s="103" t="str">
        <f t="shared" si="2"/>
        <v/>
      </c>
      <c r="AK36" s="108" t="str">
        <f t="shared" si="18"/>
        <v/>
      </c>
      <c r="AL36" s="130"/>
      <c r="AM36" s="190" t="str">
        <f>IFERROR(IF(ISBLANK(DATA!U36),"",DATA!U36),"")</f>
        <v/>
      </c>
      <c r="AN36" s="190" t="str">
        <f>IFERROR(IF(ISBLANK(DATA!V36),"",DATA!V36),"")</f>
        <v/>
      </c>
      <c r="AO36" s="190" t="str">
        <f>IFERROR(IF(ISBLANK(DATA!W36),"",DATA!W36),"")</f>
        <v/>
      </c>
      <c r="AP36" s="190" t="str">
        <f>IFERROR(IF(ISBLANK(DATA!X36),"",DATA!X36),"")</f>
        <v/>
      </c>
      <c r="AQ36" s="97" t="str">
        <f t="shared" si="19"/>
        <v/>
      </c>
      <c r="AR36" s="106" t="str">
        <f>IFERROR(IF(AQ36=0,"",ROUND((AQ36/SUM(SETTINGS!$L$14:$L$17))*SETTINGS!$L$18,0)),"")</f>
        <v/>
      </c>
      <c r="AS36" s="190" t="str">
        <f>IFERROR(IF(ISBLANK(DATA!Y36),"",DATA!Y36),"")</f>
        <v/>
      </c>
      <c r="AT36" s="106" t="str">
        <f>IFERROR(IF(ISBLANK(AS36),"",ROUND((AS36/SETTINGS!$L$19)*SETTINGS!$L$20,0)),"")</f>
        <v/>
      </c>
      <c r="AU36" s="106" t="str">
        <f t="shared" si="20"/>
        <v/>
      </c>
      <c r="AV36" s="103" t="str">
        <f t="shared" si="3"/>
        <v/>
      </c>
      <c r="AW36" s="107" t="str">
        <f t="shared" si="21"/>
        <v/>
      </c>
      <c r="AX36" s="130"/>
      <c r="AY36" s="190" t="str">
        <f>IFERROR(IF(ISBLANK(DATA!AA36),"",DATA!AA36),"")</f>
        <v/>
      </c>
      <c r="AZ36" s="190" t="str">
        <f>IFERROR(IF(ISBLANK(DATA!AB36),"",DATA!AB36),"")</f>
        <v/>
      </c>
      <c r="BA36" s="190" t="str">
        <f>IFERROR(IF(ISBLANK(DATA!AC36),"",DATA!AC36),"")</f>
        <v/>
      </c>
      <c r="BB36" s="190" t="str">
        <f>IFERROR(IF(ISBLANK(DATA!AD36),"",DATA!AD36),"")</f>
        <v/>
      </c>
      <c r="BC36" s="97" t="str">
        <f t="shared" si="22"/>
        <v/>
      </c>
      <c r="BD36" s="106" t="str">
        <f>IFERROR(IF(BC36=0,"",ROUND((BC36/SUM(SETTINGS!$L$14:$L$17))*SETTINGS!$L$18,0)),"")</f>
        <v/>
      </c>
      <c r="BE36" s="190" t="str">
        <f>IFERROR(IF(ISBLANK(DATA!AE36),"",DATA!AE36),"")</f>
        <v/>
      </c>
      <c r="BF36" s="106" t="str">
        <f>IFERROR(IF(ISBLANK(BE36),"",ROUND((BE36/SETTINGS!$L$19)*SETTINGS!$L$20,0)),"")</f>
        <v/>
      </c>
      <c r="BG36" s="106" t="str">
        <f t="shared" si="23"/>
        <v/>
      </c>
      <c r="BH36" s="103" t="str">
        <f t="shared" si="4"/>
        <v/>
      </c>
      <c r="BI36" s="108" t="str">
        <f t="shared" si="24"/>
        <v/>
      </c>
      <c r="BJ36" s="130"/>
      <c r="BK36" s="190" t="str">
        <f>IFERROR(IF(ISBLANK(DATA!AG36),"",DATA!AG36),"")</f>
        <v/>
      </c>
      <c r="BL36" s="190" t="str">
        <f>IFERROR(IF(ISBLANK(DATA!AH36),"",DATA!AH36),"")</f>
        <v/>
      </c>
      <c r="BM36" s="190" t="str">
        <f>IFERROR(IF(ISBLANK(DATA!AI36),"",DATA!AI36),"")</f>
        <v/>
      </c>
      <c r="BN36" s="190" t="str">
        <f>IFERROR(IF(ISBLANK(DATA!AJ36),"",DATA!AJ36),"")</f>
        <v/>
      </c>
      <c r="BO36" s="97" t="str">
        <f t="shared" si="25"/>
        <v/>
      </c>
      <c r="BP36" s="106" t="str">
        <f>IFERROR(IF(BO36=0,"",ROUND((BO36/SUM(SETTINGS!$L$14:$L$17))*SETTINGS!$L$18,0)),"")</f>
        <v/>
      </c>
      <c r="BQ36" s="190" t="str">
        <f>IFERROR(IF(ISBLANK(DATA!AK36),"",DATA!AK36),"")</f>
        <v/>
      </c>
      <c r="BR36" s="106" t="str">
        <f>IFERROR(IF(ISBLANK(BQ36),"",ROUND((BQ36/SETTINGS!$L$19)*SETTINGS!$L$20,0)),"")</f>
        <v/>
      </c>
      <c r="BS36" s="106" t="str">
        <f t="shared" si="26"/>
        <v/>
      </c>
      <c r="BT36" s="103" t="str">
        <f t="shared" si="5"/>
        <v/>
      </c>
      <c r="BU36" s="107" t="str">
        <f t="shared" si="27"/>
        <v/>
      </c>
      <c r="BV36" s="130"/>
      <c r="BW36" s="190" t="str">
        <f>IFERROR(IF(ISBLANK(DATA!AM36),"",DATA!AM36),"")</f>
        <v/>
      </c>
      <c r="BX36" s="190" t="str">
        <f>IFERROR(IF(ISBLANK(DATA!AN36),"",DATA!AN36),"")</f>
        <v/>
      </c>
      <c r="BY36" s="190" t="str">
        <f>IFERROR(IF(ISBLANK(DATA!AO36),"",DATA!AO36),"")</f>
        <v/>
      </c>
      <c r="BZ36" s="190" t="str">
        <f>IFERROR(IF(ISBLANK(DATA!AP36),"",DATA!AP36),"")</f>
        <v/>
      </c>
      <c r="CA36" s="97" t="str">
        <f t="shared" si="28"/>
        <v/>
      </c>
      <c r="CB36" s="106" t="str">
        <f>IFERROR(IF(CA36=0,"",ROUND((CA36/SUM(SETTINGS!$L$14:$L$17))*SETTINGS!$L$18,0)),"")</f>
        <v/>
      </c>
      <c r="CC36" s="190" t="str">
        <f>IFERROR(IF(ISBLANK(DATA!AQ36),"",DATA!AQ36),"")</f>
        <v/>
      </c>
      <c r="CD36" s="106" t="str">
        <f>IFERROR(IF(ISBLANK(CC36),"",ROUND((CC36/SETTINGS!$L$19)*SETTINGS!$L$20,0)),"")</f>
        <v/>
      </c>
      <c r="CE36" s="106" t="str">
        <f t="shared" si="29"/>
        <v/>
      </c>
      <c r="CF36" s="103" t="str">
        <f t="shared" si="6"/>
        <v/>
      </c>
      <c r="CG36" s="107" t="str">
        <f t="shared" si="30"/>
        <v/>
      </c>
      <c r="CH36" s="130"/>
      <c r="CI36" s="190" t="str">
        <f>IFERROR(IF(ISBLANK(DATA!AS36),"",DATA!AS36),"")</f>
        <v/>
      </c>
      <c r="CJ36" s="190" t="str">
        <f>IFERROR(IF(ISBLANK(DATA!AT36),"",DATA!AT36),"")</f>
        <v/>
      </c>
      <c r="CK36" s="190" t="str">
        <f>IFERROR(IF(ISBLANK(DATA!AU36),"",DATA!AU36),"")</f>
        <v/>
      </c>
      <c r="CL36" s="190" t="str">
        <f>IFERROR(IF(ISBLANK(DATA!AV36),"",DATA!AV36),"")</f>
        <v/>
      </c>
      <c r="CM36" s="97" t="str">
        <f t="shared" si="31"/>
        <v/>
      </c>
      <c r="CN36" s="106" t="str">
        <f>IFERROR(IF(CM36=0,"",ROUND((CM36/SUM(SETTINGS!$L$14:$L$17))*SETTINGS!$L$18,0)),"")</f>
        <v/>
      </c>
      <c r="CO36" s="190" t="str">
        <f>IFERROR(IF(ISBLANK(DATA!AW36),"",DATA!AW36),"")</f>
        <v/>
      </c>
      <c r="CP36" s="106" t="str">
        <f>IFERROR(IF(ISBLANK(CO36),"",ROUND((CO36/SETTINGS!$L$19)*SETTINGS!$L$20,0)),"")</f>
        <v/>
      </c>
      <c r="CQ36" s="106" t="str">
        <f t="shared" si="32"/>
        <v/>
      </c>
      <c r="CR36" s="103" t="str">
        <f t="shared" si="7"/>
        <v/>
      </c>
      <c r="CS36" s="107" t="str">
        <f t="shared" si="33"/>
        <v/>
      </c>
      <c r="CT36" s="130"/>
      <c r="CU36" s="190" t="str">
        <f>IFERROR(IF(ISBLANK(DATA!AY36),"",DATA!AY36),"")</f>
        <v/>
      </c>
      <c r="CV36" s="190" t="str">
        <f>IFERROR(IF(ISBLANK(DATA!AZ36),"",DATA!AZ36),"")</f>
        <v/>
      </c>
      <c r="CW36" s="190" t="str">
        <f>IFERROR(IF(ISBLANK(DATA!BA36),"",DATA!BA36),"")</f>
        <v/>
      </c>
      <c r="CX36" s="190" t="str">
        <f>IFERROR(IF(ISBLANK(DATA!BB36),"",DATA!BB36),"")</f>
        <v/>
      </c>
      <c r="CY36" s="97" t="str">
        <f t="shared" si="34"/>
        <v/>
      </c>
      <c r="CZ36" s="106" t="str">
        <f>IFERROR(IF(CY36=0,"",ROUND((CY36/SUM(SETTINGS!$L$14:$L$17))*SETTINGS!$L$18,0)),"")</f>
        <v/>
      </c>
      <c r="DA36" s="190" t="str">
        <f>IFERROR(IF(ISBLANK(DATA!BC36),"",DATA!BC36),"")</f>
        <v/>
      </c>
      <c r="DB36" s="106" t="str">
        <f>IFERROR(IF(ISBLANK(DA36),"",ROUND((DA36/SETTINGS!$L$19)*SETTINGS!$L$20,0)),"")</f>
        <v/>
      </c>
      <c r="DC36" s="106" t="str">
        <f t="shared" si="35"/>
        <v/>
      </c>
      <c r="DD36" s="103" t="str">
        <f t="shared" si="8"/>
        <v/>
      </c>
      <c r="DE36" s="107" t="str">
        <f t="shared" si="36"/>
        <v/>
      </c>
      <c r="DF36" s="103" t="str">
        <f t="shared" si="9"/>
        <v/>
      </c>
      <c r="DG36" s="103" t="str">
        <f>IFERROR(IF(AND(K36,W36,AI36,AU36,BG36,BS36,CE36,CQ36,DC36)="","",SUM(K36,W36,AI36,AU36,LARGE((BG36,BS36,CE36,CQ36,DC36),{1,2}))),"")</f>
        <v/>
      </c>
      <c r="DH36" s="103" t="str">
        <f>IFERROR(IF(AND(M36,Y36,AK36,AW36,,BI36,BU36,CG36,CS36,DE36)="","",SUM(M36,Y36,AK36,AW36,SMALL((BI36,BU36,CG36,CS36,DE36),{1,2}))),"")</f>
        <v/>
      </c>
      <c r="DI36" s="109" t="str">
        <f>IFERROR(IF(ISBLANK($D36),"",pos&amp;IF(AND(MOD(ABS(pos),100)&gt;10,MOD(ABS(pos),100)&lt;14),"th",CHOOSE(MOD(ABS(pos),10)+1,"th","st","nd","rd","th","th","th","th","th","th"))),"")</f>
        <v/>
      </c>
      <c r="DJ36" s="62">
        <f>ROWS($B$12:$B36)</f>
        <v>25</v>
      </c>
      <c r="DK36" s="62" t="str">
        <f>IF($B36=REPORT_CARD!$M$12,$DJ36,"")</f>
        <v/>
      </c>
      <c r="DL36" s="62"/>
      <c r="DM36" s="186"/>
    </row>
    <row r="37" spans="1:117" ht="19.5" customHeight="1">
      <c r="A37" s="187" t="str">
        <f>IFERROR(IF(ISBLANK(DATA!$A37),"",DATA!$A37),"")</f>
        <v/>
      </c>
      <c r="B37" s="187" t="str">
        <f>IFERROR(IF(ISBLANK(DATA!$B37),"",DATA!$B37),"")</f>
        <v/>
      </c>
      <c r="C37" s="190" t="str">
        <f>IFERROR(IF(ISBLANK(DATA!C37),"",DATA!C37),"")</f>
        <v/>
      </c>
      <c r="D37" s="190" t="str">
        <f>IFERROR(IF(ISBLANK(DATA!D37),"",DATA!D37),"")</f>
        <v/>
      </c>
      <c r="E37" s="190" t="str">
        <f>IFERROR(IF(ISBLANK(DATA!E37),"",DATA!E37),"")</f>
        <v/>
      </c>
      <c r="F37" s="190" t="str">
        <f>IFERROR(IF(ISBLANK(DATA!F37),"",DATA!F37),"")</f>
        <v/>
      </c>
      <c r="G37" s="97" t="str">
        <f t="shared" si="37"/>
        <v/>
      </c>
      <c r="H37" s="106" t="str">
        <f>IFERROR(IF(G37=0,"",ROUND((G37/SUM(SETTINGS!$L$14:$L$17))*SETTINGS!$L$18,0)),"")</f>
        <v/>
      </c>
      <c r="I37" s="190" t="str">
        <f>IFERROR(IF(ISBLANK(DATA!G37),"",DATA!G37),"")</f>
        <v/>
      </c>
      <c r="J37" s="106" t="str">
        <f>IFERROR(IF(ISBLANK(I37),"",ROUND((I37/SETTINGS!$L$19)*SETTINGS!$L$20,0)),"")</f>
        <v/>
      </c>
      <c r="K37" s="106" t="str">
        <f t="shared" si="10"/>
        <v/>
      </c>
      <c r="L37" s="103" t="str">
        <f t="shared" si="0"/>
        <v/>
      </c>
      <c r="M37" s="107" t="str">
        <f t="shared" si="11"/>
        <v/>
      </c>
      <c r="N37" s="136"/>
      <c r="O37" s="190" t="str">
        <f>IFERROR(IF(ISBLANK(DATA!I37),"",DATA!I37),"")</f>
        <v/>
      </c>
      <c r="P37" s="190" t="str">
        <f>IFERROR(IF(ISBLANK(DATA!J37),"",DATA!J37),"")</f>
        <v/>
      </c>
      <c r="Q37" s="190" t="str">
        <f>IFERROR(IF(ISBLANK(DATA!K37),"",DATA!K37),"")</f>
        <v/>
      </c>
      <c r="R37" s="190" t="str">
        <f>IFERROR(IF(ISBLANK(DATA!L37),"",DATA!L37),"")</f>
        <v/>
      </c>
      <c r="S37" s="97" t="str">
        <f t="shared" si="12"/>
        <v/>
      </c>
      <c r="T37" s="106" t="str">
        <f>IFERROR(IF(S37=0,"",ROUND((S37/SUM(SETTINGS!$L$14:$L$17))*SETTINGS!$L$18,0)),"")</f>
        <v/>
      </c>
      <c r="U37" s="190" t="str">
        <f>IFERROR(IF(ISBLANK(DATA!M37),"",DATA!M37),"")</f>
        <v/>
      </c>
      <c r="V37" s="106" t="str">
        <f>IFERROR(IF(ISBLANK(U37),"",ROUND((U37/SETTINGS!$L$19)*SETTINGS!$L$20,0)),"")</f>
        <v/>
      </c>
      <c r="W37" s="106" t="str">
        <f t="shared" si="13"/>
        <v/>
      </c>
      <c r="X37" s="103" t="str">
        <f t="shared" si="14"/>
        <v/>
      </c>
      <c r="Y37" s="107" t="str">
        <f t="shared" si="15"/>
        <v/>
      </c>
      <c r="Z37" s="130"/>
      <c r="AA37" s="190" t="str">
        <f>IFERROR(IF(ISBLANK(DATA!O37),"",DATA!O37),"")</f>
        <v/>
      </c>
      <c r="AB37" s="190" t="str">
        <f>IFERROR(IF(ISBLANK(DATA!P37),"",DATA!P37),"")</f>
        <v/>
      </c>
      <c r="AC37" s="190" t="str">
        <f>IFERROR(IF(ISBLANK(DATA!Q37),"",DATA!Q37),"")</f>
        <v/>
      </c>
      <c r="AD37" s="190" t="str">
        <f>IFERROR(IF(ISBLANK(DATA!R37),"",DATA!R37),"")</f>
        <v/>
      </c>
      <c r="AE37" s="97" t="str">
        <f t="shared" si="16"/>
        <v/>
      </c>
      <c r="AF37" s="106" t="str">
        <f>IFERROR(IF(AE37=0,"",ROUND((AE37/SUM(SETTINGS!$L$14:$L$17))*SETTINGS!$L$18,0)),"")</f>
        <v/>
      </c>
      <c r="AG37" s="190" t="str">
        <f>IFERROR(IF(ISBLANK(DATA!S37),"",DATA!S37),"")</f>
        <v/>
      </c>
      <c r="AH37" s="106" t="str">
        <f>IFERROR(IF(ISBLANK(AG37),"",ROUND((AG37/SETTINGS!$L$19)*SETTINGS!$L$20,0)),"")</f>
        <v/>
      </c>
      <c r="AI37" s="106" t="str">
        <f t="shared" si="17"/>
        <v/>
      </c>
      <c r="AJ37" s="103" t="str">
        <f t="shared" si="2"/>
        <v/>
      </c>
      <c r="AK37" s="108" t="str">
        <f t="shared" si="18"/>
        <v/>
      </c>
      <c r="AL37" s="130"/>
      <c r="AM37" s="190" t="str">
        <f>IFERROR(IF(ISBLANK(DATA!U37),"",DATA!U37),"")</f>
        <v/>
      </c>
      <c r="AN37" s="190" t="str">
        <f>IFERROR(IF(ISBLANK(DATA!V37),"",DATA!V37),"")</f>
        <v/>
      </c>
      <c r="AO37" s="190" t="str">
        <f>IFERROR(IF(ISBLANK(DATA!W37),"",DATA!W37),"")</f>
        <v/>
      </c>
      <c r="AP37" s="190" t="str">
        <f>IFERROR(IF(ISBLANK(DATA!X37),"",DATA!X37),"")</f>
        <v/>
      </c>
      <c r="AQ37" s="97" t="str">
        <f t="shared" si="19"/>
        <v/>
      </c>
      <c r="AR37" s="106" t="str">
        <f>IFERROR(IF(AQ37=0,"",ROUND((AQ37/SUM(SETTINGS!$L$14:$L$17))*SETTINGS!$L$18,0)),"")</f>
        <v/>
      </c>
      <c r="AS37" s="190" t="str">
        <f>IFERROR(IF(ISBLANK(DATA!Y37),"",DATA!Y37),"")</f>
        <v/>
      </c>
      <c r="AT37" s="106" t="str">
        <f>IFERROR(IF(ISBLANK(AS37),"",ROUND((AS37/SETTINGS!$L$19)*SETTINGS!$L$20,0)),"")</f>
        <v/>
      </c>
      <c r="AU37" s="106" t="str">
        <f t="shared" si="20"/>
        <v/>
      </c>
      <c r="AV37" s="103" t="str">
        <f t="shared" si="3"/>
        <v/>
      </c>
      <c r="AW37" s="107" t="str">
        <f t="shared" si="21"/>
        <v/>
      </c>
      <c r="AX37" s="130"/>
      <c r="AY37" s="190" t="str">
        <f>IFERROR(IF(ISBLANK(DATA!AA37),"",DATA!AA37),"")</f>
        <v/>
      </c>
      <c r="AZ37" s="190" t="str">
        <f>IFERROR(IF(ISBLANK(DATA!AB37),"",DATA!AB37),"")</f>
        <v/>
      </c>
      <c r="BA37" s="190" t="str">
        <f>IFERROR(IF(ISBLANK(DATA!AC37),"",DATA!AC37),"")</f>
        <v/>
      </c>
      <c r="BB37" s="190" t="str">
        <f>IFERROR(IF(ISBLANK(DATA!AD37),"",DATA!AD37),"")</f>
        <v/>
      </c>
      <c r="BC37" s="97" t="str">
        <f t="shared" si="22"/>
        <v/>
      </c>
      <c r="BD37" s="106" t="str">
        <f>IFERROR(IF(BC37=0,"",ROUND((BC37/SUM(SETTINGS!$L$14:$L$17))*SETTINGS!$L$18,0)),"")</f>
        <v/>
      </c>
      <c r="BE37" s="190" t="str">
        <f>IFERROR(IF(ISBLANK(DATA!AE37),"",DATA!AE37),"")</f>
        <v/>
      </c>
      <c r="BF37" s="106" t="str">
        <f>IFERROR(IF(ISBLANK(BE37),"",ROUND((BE37/SETTINGS!$L$19)*SETTINGS!$L$20,0)),"")</f>
        <v/>
      </c>
      <c r="BG37" s="106" t="str">
        <f t="shared" si="23"/>
        <v/>
      </c>
      <c r="BH37" s="103" t="str">
        <f t="shared" si="4"/>
        <v/>
      </c>
      <c r="BI37" s="108" t="str">
        <f t="shared" si="24"/>
        <v/>
      </c>
      <c r="BJ37" s="130"/>
      <c r="BK37" s="190" t="str">
        <f>IFERROR(IF(ISBLANK(DATA!AG37),"",DATA!AG37),"")</f>
        <v/>
      </c>
      <c r="BL37" s="190" t="str">
        <f>IFERROR(IF(ISBLANK(DATA!AH37),"",DATA!AH37),"")</f>
        <v/>
      </c>
      <c r="BM37" s="190" t="str">
        <f>IFERROR(IF(ISBLANK(DATA!AI37),"",DATA!AI37),"")</f>
        <v/>
      </c>
      <c r="BN37" s="190" t="str">
        <f>IFERROR(IF(ISBLANK(DATA!AJ37),"",DATA!AJ37),"")</f>
        <v/>
      </c>
      <c r="BO37" s="97" t="str">
        <f t="shared" si="25"/>
        <v/>
      </c>
      <c r="BP37" s="106" t="str">
        <f>IFERROR(IF(BO37=0,"",ROUND((BO37/SUM(SETTINGS!$L$14:$L$17))*SETTINGS!$L$18,0)),"")</f>
        <v/>
      </c>
      <c r="BQ37" s="190" t="str">
        <f>IFERROR(IF(ISBLANK(DATA!AK37),"",DATA!AK37),"")</f>
        <v/>
      </c>
      <c r="BR37" s="106" t="str">
        <f>IFERROR(IF(ISBLANK(BQ37),"",ROUND((BQ37/SETTINGS!$L$19)*SETTINGS!$L$20,0)),"")</f>
        <v/>
      </c>
      <c r="BS37" s="106" t="str">
        <f t="shared" si="26"/>
        <v/>
      </c>
      <c r="BT37" s="103" t="str">
        <f t="shared" si="5"/>
        <v/>
      </c>
      <c r="BU37" s="107" t="str">
        <f t="shared" si="27"/>
        <v/>
      </c>
      <c r="BV37" s="130"/>
      <c r="BW37" s="190" t="str">
        <f>IFERROR(IF(ISBLANK(DATA!AM37),"",DATA!AM37),"")</f>
        <v/>
      </c>
      <c r="BX37" s="190" t="str">
        <f>IFERROR(IF(ISBLANK(DATA!AN37),"",DATA!AN37),"")</f>
        <v/>
      </c>
      <c r="BY37" s="190" t="str">
        <f>IFERROR(IF(ISBLANK(DATA!AO37),"",DATA!AO37),"")</f>
        <v/>
      </c>
      <c r="BZ37" s="190" t="str">
        <f>IFERROR(IF(ISBLANK(DATA!AP37),"",DATA!AP37),"")</f>
        <v/>
      </c>
      <c r="CA37" s="97" t="str">
        <f t="shared" si="28"/>
        <v/>
      </c>
      <c r="CB37" s="106" t="str">
        <f>IFERROR(IF(CA37=0,"",ROUND((CA37/SUM(SETTINGS!$L$14:$L$17))*SETTINGS!$L$18,0)),"")</f>
        <v/>
      </c>
      <c r="CC37" s="190" t="str">
        <f>IFERROR(IF(ISBLANK(DATA!AQ37),"",DATA!AQ37),"")</f>
        <v/>
      </c>
      <c r="CD37" s="106" t="str">
        <f>IFERROR(IF(ISBLANK(CC37),"",ROUND((CC37/SETTINGS!$L$19)*SETTINGS!$L$20,0)),"")</f>
        <v/>
      </c>
      <c r="CE37" s="106" t="str">
        <f t="shared" si="29"/>
        <v/>
      </c>
      <c r="CF37" s="103" t="str">
        <f t="shared" si="6"/>
        <v/>
      </c>
      <c r="CG37" s="107" t="str">
        <f t="shared" si="30"/>
        <v/>
      </c>
      <c r="CH37" s="130"/>
      <c r="CI37" s="190" t="str">
        <f>IFERROR(IF(ISBLANK(DATA!AS37),"",DATA!AS37),"")</f>
        <v/>
      </c>
      <c r="CJ37" s="190" t="str">
        <f>IFERROR(IF(ISBLANK(DATA!AT37),"",DATA!AT37),"")</f>
        <v/>
      </c>
      <c r="CK37" s="190" t="str">
        <f>IFERROR(IF(ISBLANK(DATA!AU37),"",DATA!AU37),"")</f>
        <v/>
      </c>
      <c r="CL37" s="190" t="str">
        <f>IFERROR(IF(ISBLANK(DATA!AV37),"",DATA!AV37),"")</f>
        <v/>
      </c>
      <c r="CM37" s="97" t="str">
        <f t="shared" si="31"/>
        <v/>
      </c>
      <c r="CN37" s="106" t="str">
        <f>IFERROR(IF(CM37=0,"",ROUND((CM37/SUM(SETTINGS!$L$14:$L$17))*SETTINGS!$L$18,0)),"")</f>
        <v/>
      </c>
      <c r="CO37" s="190" t="str">
        <f>IFERROR(IF(ISBLANK(DATA!AW37),"",DATA!AW37),"")</f>
        <v/>
      </c>
      <c r="CP37" s="106" t="str">
        <f>IFERROR(IF(ISBLANK(CO37),"",ROUND((CO37/SETTINGS!$L$19)*SETTINGS!$L$20,0)),"")</f>
        <v/>
      </c>
      <c r="CQ37" s="106" t="str">
        <f t="shared" si="32"/>
        <v/>
      </c>
      <c r="CR37" s="103" t="str">
        <f t="shared" si="7"/>
        <v/>
      </c>
      <c r="CS37" s="107" t="str">
        <f t="shared" si="33"/>
        <v/>
      </c>
      <c r="CT37" s="130"/>
      <c r="CU37" s="190" t="str">
        <f>IFERROR(IF(ISBLANK(DATA!AY37),"",DATA!AY37),"")</f>
        <v/>
      </c>
      <c r="CV37" s="190" t="str">
        <f>IFERROR(IF(ISBLANK(DATA!AZ37),"",DATA!AZ37),"")</f>
        <v/>
      </c>
      <c r="CW37" s="190" t="str">
        <f>IFERROR(IF(ISBLANK(DATA!BA37),"",DATA!BA37),"")</f>
        <v/>
      </c>
      <c r="CX37" s="190" t="str">
        <f>IFERROR(IF(ISBLANK(DATA!BB37),"",DATA!BB37),"")</f>
        <v/>
      </c>
      <c r="CY37" s="97" t="str">
        <f t="shared" si="34"/>
        <v/>
      </c>
      <c r="CZ37" s="106" t="str">
        <f>IFERROR(IF(CY37=0,"",ROUND((CY37/SUM(SETTINGS!$L$14:$L$17))*SETTINGS!$L$18,0)),"")</f>
        <v/>
      </c>
      <c r="DA37" s="190" t="str">
        <f>IFERROR(IF(ISBLANK(DATA!BC37),"",DATA!BC37),"")</f>
        <v/>
      </c>
      <c r="DB37" s="106" t="str">
        <f>IFERROR(IF(ISBLANK(DA37),"",ROUND((DA37/SETTINGS!$L$19)*SETTINGS!$L$20,0)),"")</f>
        <v/>
      </c>
      <c r="DC37" s="106" t="str">
        <f t="shared" si="35"/>
        <v/>
      </c>
      <c r="DD37" s="103" t="str">
        <f t="shared" si="8"/>
        <v/>
      </c>
      <c r="DE37" s="107" t="str">
        <f t="shared" si="36"/>
        <v/>
      </c>
      <c r="DF37" s="103" t="str">
        <f t="shared" si="9"/>
        <v/>
      </c>
      <c r="DG37" s="103" t="str">
        <f>IFERROR(IF(AND(K37,W37,AI37,AU37,BG37,BS37,CE37,CQ37,DC37)="","",SUM(K37,W37,AI37,AU37,LARGE((BG37,BS37,CE37,CQ37,DC37),{1,2}))),"")</f>
        <v/>
      </c>
      <c r="DH37" s="103" t="str">
        <f>IFERROR(IF(AND(M37,Y37,AK37,AW37,,BI37,BU37,CG37,CS37,DE37)="","",SUM(M37,Y37,AK37,AW37,SMALL((BI37,BU37,CG37,CS37,DE37),{1,2}))),"")</f>
        <v/>
      </c>
      <c r="DI37" s="109" t="str">
        <f>IFERROR(IF(ISBLANK($D37),"",pos&amp;IF(AND(MOD(ABS(pos),100)&gt;10,MOD(ABS(pos),100)&lt;14),"th",CHOOSE(MOD(ABS(pos),10)+1,"th","st","nd","rd","th","th","th","th","th","th"))),"")</f>
        <v/>
      </c>
      <c r="DJ37" s="62">
        <f>ROWS($B$12:$B37)</f>
        <v>26</v>
      </c>
      <c r="DK37" s="62" t="str">
        <f>IF($B37=REPORT_CARD!$M$12,$DJ37,"")</f>
        <v/>
      </c>
      <c r="DL37" s="62"/>
      <c r="DM37" s="186"/>
    </row>
    <row r="38" spans="1:117" ht="19.5" customHeight="1">
      <c r="A38" s="187" t="str">
        <f>IFERROR(IF(ISBLANK(DATA!$A38),"",DATA!$A38),"")</f>
        <v/>
      </c>
      <c r="B38" s="187" t="str">
        <f>IFERROR(IF(ISBLANK(DATA!$B38),"",DATA!$B38),"")</f>
        <v/>
      </c>
      <c r="C38" s="190" t="str">
        <f>IFERROR(IF(ISBLANK(DATA!C38),"",DATA!C38),"")</f>
        <v/>
      </c>
      <c r="D38" s="190" t="str">
        <f>IFERROR(IF(ISBLANK(DATA!D38),"",DATA!D38),"")</f>
        <v/>
      </c>
      <c r="E38" s="190" t="str">
        <f>IFERROR(IF(ISBLANK(DATA!E38),"",DATA!E38),"")</f>
        <v/>
      </c>
      <c r="F38" s="190" t="str">
        <f>IFERROR(IF(ISBLANK(DATA!F38),"",DATA!F38),"")</f>
        <v/>
      </c>
      <c r="G38" s="97" t="str">
        <f t="shared" si="37"/>
        <v/>
      </c>
      <c r="H38" s="106" t="str">
        <f>IFERROR(IF(G38=0,"",ROUND((G38/SUM(SETTINGS!$L$14:$L$17))*SETTINGS!$L$18,0)),"")</f>
        <v/>
      </c>
      <c r="I38" s="190" t="str">
        <f>IFERROR(IF(ISBLANK(DATA!G38),"",DATA!G38),"")</f>
        <v/>
      </c>
      <c r="J38" s="106" t="str">
        <f>IFERROR(IF(ISBLANK(I38),"",ROUND((I38/SETTINGS!$L$19)*SETTINGS!$L$20,0)),"")</f>
        <v/>
      </c>
      <c r="K38" s="106" t="str">
        <f t="shared" si="10"/>
        <v/>
      </c>
      <c r="L38" s="103" t="str">
        <f t="shared" si="0"/>
        <v/>
      </c>
      <c r="M38" s="107" t="str">
        <f t="shared" si="11"/>
        <v/>
      </c>
      <c r="N38" s="136"/>
      <c r="O38" s="190" t="str">
        <f>IFERROR(IF(ISBLANK(DATA!I38),"",DATA!I38),"")</f>
        <v/>
      </c>
      <c r="P38" s="190" t="str">
        <f>IFERROR(IF(ISBLANK(DATA!J38),"",DATA!J38),"")</f>
        <v/>
      </c>
      <c r="Q38" s="190" t="str">
        <f>IFERROR(IF(ISBLANK(DATA!K38),"",DATA!K38),"")</f>
        <v/>
      </c>
      <c r="R38" s="190" t="str">
        <f>IFERROR(IF(ISBLANK(DATA!L38),"",DATA!L38),"")</f>
        <v/>
      </c>
      <c r="S38" s="97" t="str">
        <f t="shared" si="12"/>
        <v/>
      </c>
      <c r="T38" s="106" t="str">
        <f>IFERROR(IF(S38=0,"",ROUND((S38/SUM(SETTINGS!$L$14:$L$17))*SETTINGS!$L$18,0)),"")</f>
        <v/>
      </c>
      <c r="U38" s="190" t="str">
        <f>IFERROR(IF(ISBLANK(DATA!M38),"",DATA!M38),"")</f>
        <v/>
      </c>
      <c r="V38" s="106" t="str">
        <f>IFERROR(IF(ISBLANK(U38),"",ROUND((U38/SETTINGS!$L$19)*SETTINGS!$L$20,0)),"")</f>
        <v/>
      </c>
      <c r="W38" s="106" t="str">
        <f t="shared" si="13"/>
        <v/>
      </c>
      <c r="X38" s="103" t="str">
        <f t="shared" si="14"/>
        <v/>
      </c>
      <c r="Y38" s="107" t="str">
        <f t="shared" si="15"/>
        <v/>
      </c>
      <c r="Z38" s="130"/>
      <c r="AA38" s="190" t="str">
        <f>IFERROR(IF(ISBLANK(DATA!O38),"",DATA!O38),"")</f>
        <v/>
      </c>
      <c r="AB38" s="190" t="str">
        <f>IFERROR(IF(ISBLANK(DATA!P38),"",DATA!P38),"")</f>
        <v/>
      </c>
      <c r="AC38" s="190" t="str">
        <f>IFERROR(IF(ISBLANK(DATA!Q38),"",DATA!Q38),"")</f>
        <v/>
      </c>
      <c r="AD38" s="190" t="str">
        <f>IFERROR(IF(ISBLANK(DATA!R38),"",DATA!R38),"")</f>
        <v/>
      </c>
      <c r="AE38" s="97" t="str">
        <f t="shared" si="16"/>
        <v/>
      </c>
      <c r="AF38" s="106" t="str">
        <f>IFERROR(IF(AE38=0,"",ROUND((AE38/SUM(SETTINGS!$L$14:$L$17))*SETTINGS!$L$18,0)),"")</f>
        <v/>
      </c>
      <c r="AG38" s="190" t="str">
        <f>IFERROR(IF(ISBLANK(DATA!S38),"",DATA!S38),"")</f>
        <v/>
      </c>
      <c r="AH38" s="106" t="str">
        <f>IFERROR(IF(ISBLANK(AG38),"",ROUND((AG38/SETTINGS!$L$19)*SETTINGS!$L$20,0)),"")</f>
        <v/>
      </c>
      <c r="AI38" s="106" t="str">
        <f t="shared" si="17"/>
        <v/>
      </c>
      <c r="AJ38" s="103" t="str">
        <f t="shared" si="2"/>
        <v/>
      </c>
      <c r="AK38" s="108" t="str">
        <f t="shared" si="18"/>
        <v/>
      </c>
      <c r="AL38" s="130"/>
      <c r="AM38" s="190" t="str">
        <f>IFERROR(IF(ISBLANK(DATA!U38),"",DATA!U38),"")</f>
        <v/>
      </c>
      <c r="AN38" s="190" t="str">
        <f>IFERROR(IF(ISBLANK(DATA!V38),"",DATA!V38),"")</f>
        <v/>
      </c>
      <c r="AO38" s="190" t="str">
        <f>IFERROR(IF(ISBLANK(DATA!W38),"",DATA!W38),"")</f>
        <v/>
      </c>
      <c r="AP38" s="190" t="str">
        <f>IFERROR(IF(ISBLANK(DATA!X38),"",DATA!X38),"")</f>
        <v/>
      </c>
      <c r="AQ38" s="97" t="str">
        <f t="shared" si="19"/>
        <v/>
      </c>
      <c r="AR38" s="106" t="str">
        <f>IFERROR(IF(AQ38=0,"",ROUND((AQ38/SUM(SETTINGS!$L$14:$L$17))*SETTINGS!$L$18,0)),"")</f>
        <v/>
      </c>
      <c r="AS38" s="190" t="str">
        <f>IFERROR(IF(ISBLANK(DATA!Y38),"",DATA!Y38),"")</f>
        <v/>
      </c>
      <c r="AT38" s="106" t="str">
        <f>IFERROR(IF(ISBLANK(AS38),"",ROUND((AS38/SETTINGS!$L$19)*SETTINGS!$L$20,0)),"")</f>
        <v/>
      </c>
      <c r="AU38" s="106" t="str">
        <f t="shared" si="20"/>
        <v/>
      </c>
      <c r="AV38" s="103" t="str">
        <f t="shared" si="3"/>
        <v/>
      </c>
      <c r="AW38" s="107" t="str">
        <f t="shared" si="21"/>
        <v/>
      </c>
      <c r="AX38" s="130"/>
      <c r="AY38" s="190" t="str">
        <f>IFERROR(IF(ISBLANK(DATA!AA38),"",DATA!AA38),"")</f>
        <v/>
      </c>
      <c r="AZ38" s="190" t="str">
        <f>IFERROR(IF(ISBLANK(DATA!AB38),"",DATA!AB38),"")</f>
        <v/>
      </c>
      <c r="BA38" s="190" t="str">
        <f>IFERROR(IF(ISBLANK(DATA!AC38),"",DATA!AC38),"")</f>
        <v/>
      </c>
      <c r="BB38" s="190" t="str">
        <f>IFERROR(IF(ISBLANK(DATA!AD38),"",DATA!AD38),"")</f>
        <v/>
      </c>
      <c r="BC38" s="97" t="str">
        <f t="shared" si="22"/>
        <v/>
      </c>
      <c r="BD38" s="106" t="str">
        <f>IFERROR(IF(BC38=0,"",ROUND((BC38/SUM(SETTINGS!$L$14:$L$17))*SETTINGS!$L$18,0)),"")</f>
        <v/>
      </c>
      <c r="BE38" s="190" t="str">
        <f>IFERROR(IF(ISBLANK(DATA!AE38),"",DATA!AE38),"")</f>
        <v/>
      </c>
      <c r="BF38" s="106" t="str">
        <f>IFERROR(IF(ISBLANK(BE38),"",ROUND((BE38/SETTINGS!$L$19)*SETTINGS!$L$20,0)),"")</f>
        <v/>
      </c>
      <c r="BG38" s="106" t="str">
        <f t="shared" si="23"/>
        <v/>
      </c>
      <c r="BH38" s="103" t="str">
        <f t="shared" si="4"/>
        <v/>
      </c>
      <c r="BI38" s="108" t="str">
        <f t="shared" si="24"/>
        <v/>
      </c>
      <c r="BJ38" s="130"/>
      <c r="BK38" s="190" t="str">
        <f>IFERROR(IF(ISBLANK(DATA!AG38),"",DATA!AG38),"")</f>
        <v/>
      </c>
      <c r="BL38" s="190" t="str">
        <f>IFERROR(IF(ISBLANK(DATA!AH38),"",DATA!AH38),"")</f>
        <v/>
      </c>
      <c r="BM38" s="190" t="str">
        <f>IFERROR(IF(ISBLANK(DATA!AI38),"",DATA!AI38),"")</f>
        <v/>
      </c>
      <c r="BN38" s="190" t="str">
        <f>IFERROR(IF(ISBLANK(DATA!AJ38),"",DATA!AJ38),"")</f>
        <v/>
      </c>
      <c r="BO38" s="97" t="str">
        <f t="shared" si="25"/>
        <v/>
      </c>
      <c r="BP38" s="106" t="str">
        <f>IFERROR(IF(BO38=0,"",ROUND((BO38/SUM(SETTINGS!$L$14:$L$17))*SETTINGS!$L$18,0)),"")</f>
        <v/>
      </c>
      <c r="BQ38" s="190" t="str">
        <f>IFERROR(IF(ISBLANK(DATA!AK38),"",DATA!AK38),"")</f>
        <v/>
      </c>
      <c r="BR38" s="106" t="str">
        <f>IFERROR(IF(ISBLANK(BQ38),"",ROUND((BQ38/SETTINGS!$L$19)*SETTINGS!$L$20,0)),"")</f>
        <v/>
      </c>
      <c r="BS38" s="106" t="str">
        <f t="shared" si="26"/>
        <v/>
      </c>
      <c r="BT38" s="103" t="str">
        <f t="shared" si="5"/>
        <v/>
      </c>
      <c r="BU38" s="107" t="str">
        <f t="shared" si="27"/>
        <v/>
      </c>
      <c r="BV38" s="130"/>
      <c r="BW38" s="190" t="str">
        <f>IFERROR(IF(ISBLANK(DATA!AM38),"",DATA!AM38),"")</f>
        <v/>
      </c>
      <c r="BX38" s="190" t="str">
        <f>IFERROR(IF(ISBLANK(DATA!AN38),"",DATA!AN38),"")</f>
        <v/>
      </c>
      <c r="BY38" s="190" t="str">
        <f>IFERROR(IF(ISBLANK(DATA!AO38),"",DATA!AO38),"")</f>
        <v/>
      </c>
      <c r="BZ38" s="190" t="str">
        <f>IFERROR(IF(ISBLANK(DATA!AP38),"",DATA!AP38),"")</f>
        <v/>
      </c>
      <c r="CA38" s="97" t="str">
        <f t="shared" si="28"/>
        <v/>
      </c>
      <c r="CB38" s="106" t="str">
        <f>IFERROR(IF(CA38=0,"",ROUND((CA38/SUM(SETTINGS!$L$14:$L$17))*SETTINGS!$L$18,0)),"")</f>
        <v/>
      </c>
      <c r="CC38" s="190" t="str">
        <f>IFERROR(IF(ISBLANK(DATA!AQ38),"",DATA!AQ38),"")</f>
        <v/>
      </c>
      <c r="CD38" s="106" t="str">
        <f>IFERROR(IF(ISBLANK(CC38),"",ROUND((CC38/SETTINGS!$L$19)*SETTINGS!$L$20,0)),"")</f>
        <v/>
      </c>
      <c r="CE38" s="106" t="str">
        <f t="shared" si="29"/>
        <v/>
      </c>
      <c r="CF38" s="103" t="str">
        <f t="shared" si="6"/>
        <v/>
      </c>
      <c r="CG38" s="107" t="str">
        <f t="shared" si="30"/>
        <v/>
      </c>
      <c r="CH38" s="130"/>
      <c r="CI38" s="190" t="str">
        <f>IFERROR(IF(ISBLANK(DATA!AS38),"",DATA!AS38),"")</f>
        <v/>
      </c>
      <c r="CJ38" s="190" t="str">
        <f>IFERROR(IF(ISBLANK(DATA!AT38),"",DATA!AT38),"")</f>
        <v/>
      </c>
      <c r="CK38" s="190" t="str">
        <f>IFERROR(IF(ISBLANK(DATA!AU38),"",DATA!AU38),"")</f>
        <v/>
      </c>
      <c r="CL38" s="190" t="str">
        <f>IFERROR(IF(ISBLANK(DATA!AV38),"",DATA!AV38),"")</f>
        <v/>
      </c>
      <c r="CM38" s="97" t="str">
        <f t="shared" si="31"/>
        <v/>
      </c>
      <c r="CN38" s="106" t="str">
        <f>IFERROR(IF(CM38=0,"",ROUND((CM38/SUM(SETTINGS!$L$14:$L$17))*SETTINGS!$L$18,0)),"")</f>
        <v/>
      </c>
      <c r="CO38" s="190" t="str">
        <f>IFERROR(IF(ISBLANK(DATA!AW38),"",DATA!AW38),"")</f>
        <v/>
      </c>
      <c r="CP38" s="106" t="str">
        <f>IFERROR(IF(ISBLANK(CO38),"",ROUND((CO38/SETTINGS!$L$19)*SETTINGS!$L$20,0)),"")</f>
        <v/>
      </c>
      <c r="CQ38" s="106" t="str">
        <f t="shared" si="32"/>
        <v/>
      </c>
      <c r="CR38" s="103" t="str">
        <f t="shared" si="7"/>
        <v/>
      </c>
      <c r="CS38" s="107" t="str">
        <f t="shared" si="33"/>
        <v/>
      </c>
      <c r="CT38" s="130"/>
      <c r="CU38" s="190" t="str">
        <f>IFERROR(IF(ISBLANK(DATA!AY38),"",DATA!AY38),"")</f>
        <v/>
      </c>
      <c r="CV38" s="190" t="str">
        <f>IFERROR(IF(ISBLANK(DATA!AZ38),"",DATA!AZ38),"")</f>
        <v/>
      </c>
      <c r="CW38" s="190" t="str">
        <f>IFERROR(IF(ISBLANK(DATA!BA38),"",DATA!BA38),"")</f>
        <v/>
      </c>
      <c r="CX38" s="190" t="str">
        <f>IFERROR(IF(ISBLANK(DATA!BB38),"",DATA!BB38),"")</f>
        <v/>
      </c>
      <c r="CY38" s="97" t="str">
        <f t="shared" si="34"/>
        <v/>
      </c>
      <c r="CZ38" s="106" t="str">
        <f>IFERROR(IF(CY38=0,"",ROUND((CY38/SUM(SETTINGS!$L$14:$L$17))*SETTINGS!$L$18,0)),"")</f>
        <v/>
      </c>
      <c r="DA38" s="190" t="str">
        <f>IFERROR(IF(ISBLANK(DATA!BC38),"",DATA!BC38),"")</f>
        <v/>
      </c>
      <c r="DB38" s="106" t="str">
        <f>IFERROR(IF(ISBLANK(DA38),"",ROUND((DA38/SETTINGS!$L$19)*SETTINGS!$L$20,0)),"")</f>
        <v/>
      </c>
      <c r="DC38" s="106" t="str">
        <f t="shared" si="35"/>
        <v/>
      </c>
      <c r="DD38" s="103" t="str">
        <f t="shared" si="8"/>
        <v/>
      </c>
      <c r="DE38" s="107" t="str">
        <f t="shared" si="36"/>
        <v/>
      </c>
      <c r="DF38" s="103" t="str">
        <f t="shared" si="9"/>
        <v/>
      </c>
      <c r="DG38" s="103" t="str">
        <f>IFERROR(IF(AND(K38,W38,AI38,AU38,BG38,BS38,CE38,CQ38,DC38)="","",SUM(K38,W38,AI38,AU38,LARGE((BG38,BS38,CE38,CQ38,DC38),{1,2}))),"")</f>
        <v/>
      </c>
      <c r="DH38" s="103" t="str">
        <f>IFERROR(IF(AND(M38,Y38,AK38,AW38,,BI38,BU38,CG38,CS38,DE38)="","",SUM(M38,Y38,AK38,AW38,SMALL((BI38,BU38,CG38,CS38,DE38),{1,2}))),"")</f>
        <v/>
      </c>
      <c r="DI38" s="109" t="str">
        <f>IFERROR(IF(ISBLANK($D38),"",pos&amp;IF(AND(MOD(ABS(pos),100)&gt;10,MOD(ABS(pos),100)&lt;14),"th",CHOOSE(MOD(ABS(pos),10)+1,"th","st","nd","rd","th","th","th","th","th","th"))),"")</f>
        <v/>
      </c>
      <c r="DJ38" s="62">
        <f>ROWS($B$12:$B38)</f>
        <v>27</v>
      </c>
      <c r="DK38" s="62" t="str">
        <f>IF($B38=REPORT_CARD!$M$12,$DJ38,"")</f>
        <v/>
      </c>
      <c r="DL38" s="62"/>
      <c r="DM38" s="186"/>
    </row>
    <row r="39" spans="1:117" ht="19.5" customHeight="1">
      <c r="A39" s="187" t="str">
        <f>IFERROR(IF(ISBLANK(DATA!$A39),"",DATA!$A39),"")</f>
        <v/>
      </c>
      <c r="B39" s="187" t="str">
        <f>IFERROR(IF(ISBLANK(DATA!$B39),"",DATA!$B39),"")</f>
        <v/>
      </c>
      <c r="C39" s="190" t="str">
        <f>IFERROR(IF(ISBLANK(DATA!C39),"",DATA!C39),"")</f>
        <v/>
      </c>
      <c r="D39" s="190" t="str">
        <f>IFERROR(IF(ISBLANK(DATA!D39),"",DATA!D39),"")</f>
        <v/>
      </c>
      <c r="E39" s="190" t="str">
        <f>IFERROR(IF(ISBLANK(DATA!E39),"",DATA!E39),"")</f>
        <v/>
      </c>
      <c r="F39" s="190" t="str">
        <f>IFERROR(IF(ISBLANK(DATA!F39),"",DATA!F39),"")</f>
        <v/>
      </c>
      <c r="G39" s="97" t="str">
        <f t="shared" si="37"/>
        <v/>
      </c>
      <c r="H39" s="106" t="str">
        <f>IFERROR(IF(G39=0,"",ROUND((G39/SUM(SETTINGS!$L$14:$L$17))*SETTINGS!$L$18,0)),"")</f>
        <v/>
      </c>
      <c r="I39" s="190" t="str">
        <f>IFERROR(IF(ISBLANK(DATA!G39),"",DATA!G39),"")</f>
        <v/>
      </c>
      <c r="J39" s="106" t="str">
        <f>IFERROR(IF(ISBLANK(I39),"",ROUND((I39/SETTINGS!$L$19)*SETTINGS!$L$20,0)),"")</f>
        <v/>
      </c>
      <c r="K39" s="106" t="str">
        <f t="shared" si="10"/>
        <v/>
      </c>
      <c r="L39" s="103" t="str">
        <f t="shared" si="0"/>
        <v/>
      </c>
      <c r="M39" s="107" t="str">
        <f t="shared" si="11"/>
        <v/>
      </c>
      <c r="N39" s="136"/>
      <c r="O39" s="190" t="str">
        <f>IFERROR(IF(ISBLANK(DATA!I39),"",DATA!I39),"")</f>
        <v/>
      </c>
      <c r="P39" s="190" t="str">
        <f>IFERROR(IF(ISBLANK(DATA!J39),"",DATA!J39),"")</f>
        <v/>
      </c>
      <c r="Q39" s="190" t="str">
        <f>IFERROR(IF(ISBLANK(DATA!K39),"",DATA!K39),"")</f>
        <v/>
      </c>
      <c r="R39" s="190" t="str">
        <f>IFERROR(IF(ISBLANK(DATA!L39),"",DATA!L39),"")</f>
        <v/>
      </c>
      <c r="S39" s="97" t="str">
        <f t="shared" si="12"/>
        <v/>
      </c>
      <c r="T39" s="106" t="str">
        <f>IFERROR(IF(S39=0,"",ROUND((S39/SUM(SETTINGS!$L$14:$L$17))*SETTINGS!$L$18,0)),"")</f>
        <v/>
      </c>
      <c r="U39" s="190" t="str">
        <f>IFERROR(IF(ISBLANK(DATA!M39),"",DATA!M39),"")</f>
        <v/>
      </c>
      <c r="V39" s="106" t="str">
        <f>IFERROR(IF(ISBLANK(U39),"",ROUND((U39/SETTINGS!$L$19)*SETTINGS!$L$20,0)),"")</f>
        <v/>
      </c>
      <c r="W39" s="106" t="str">
        <f t="shared" si="13"/>
        <v/>
      </c>
      <c r="X39" s="103" t="str">
        <f t="shared" si="14"/>
        <v/>
      </c>
      <c r="Y39" s="107" t="str">
        <f t="shared" si="15"/>
        <v/>
      </c>
      <c r="Z39" s="130"/>
      <c r="AA39" s="190" t="str">
        <f>IFERROR(IF(ISBLANK(DATA!O39),"",DATA!O39),"")</f>
        <v/>
      </c>
      <c r="AB39" s="190" t="str">
        <f>IFERROR(IF(ISBLANK(DATA!P39),"",DATA!P39),"")</f>
        <v/>
      </c>
      <c r="AC39" s="190" t="str">
        <f>IFERROR(IF(ISBLANK(DATA!Q39),"",DATA!Q39),"")</f>
        <v/>
      </c>
      <c r="AD39" s="190" t="str">
        <f>IFERROR(IF(ISBLANK(DATA!R39),"",DATA!R39),"")</f>
        <v/>
      </c>
      <c r="AE39" s="97" t="str">
        <f t="shared" si="16"/>
        <v/>
      </c>
      <c r="AF39" s="106" t="str">
        <f>IFERROR(IF(AE39=0,"",ROUND((AE39/SUM(SETTINGS!$L$14:$L$17))*SETTINGS!$L$18,0)),"")</f>
        <v/>
      </c>
      <c r="AG39" s="190" t="str">
        <f>IFERROR(IF(ISBLANK(DATA!S39),"",DATA!S39),"")</f>
        <v/>
      </c>
      <c r="AH39" s="106" t="str">
        <f>IFERROR(IF(ISBLANK(AG39),"",ROUND((AG39/SETTINGS!$L$19)*SETTINGS!$L$20,0)),"")</f>
        <v/>
      </c>
      <c r="AI39" s="106" t="str">
        <f t="shared" si="17"/>
        <v/>
      </c>
      <c r="AJ39" s="103" t="str">
        <f t="shared" si="2"/>
        <v/>
      </c>
      <c r="AK39" s="108" t="str">
        <f t="shared" si="18"/>
        <v/>
      </c>
      <c r="AL39" s="130"/>
      <c r="AM39" s="190" t="str">
        <f>IFERROR(IF(ISBLANK(DATA!U39),"",DATA!U39),"")</f>
        <v/>
      </c>
      <c r="AN39" s="190" t="str">
        <f>IFERROR(IF(ISBLANK(DATA!V39),"",DATA!V39),"")</f>
        <v/>
      </c>
      <c r="AO39" s="190" t="str">
        <f>IFERROR(IF(ISBLANK(DATA!W39),"",DATA!W39),"")</f>
        <v/>
      </c>
      <c r="AP39" s="190" t="str">
        <f>IFERROR(IF(ISBLANK(DATA!X39),"",DATA!X39),"")</f>
        <v/>
      </c>
      <c r="AQ39" s="97" t="str">
        <f t="shared" si="19"/>
        <v/>
      </c>
      <c r="AR39" s="106" t="str">
        <f>IFERROR(IF(AQ39=0,"",ROUND((AQ39/SUM(SETTINGS!$L$14:$L$17))*SETTINGS!$L$18,0)),"")</f>
        <v/>
      </c>
      <c r="AS39" s="190" t="str">
        <f>IFERROR(IF(ISBLANK(DATA!Y39),"",DATA!Y39),"")</f>
        <v/>
      </c>
      <c r="AT39" s="106" t="str">
        <f>IFERROR(IF(ISBLANK(AS39),"",ROUND((AS39/SETTINGS!$L$19)*SETTINGS!$L$20,0)),"")</f>
        <v/>
      </c>
      <c r="AU39" s="106" t="str">
        <f t="shared" si="20"/>
        <v/>
      </c>
      <c r="AV39" s="103" t="str">
        <f t="shared" si="3"/>
        <v/>
      </c>
      <c r="AW39" s="107" t="str">
        <f t="shared" si="21"/>
        <v/>
      </c>
      <c r="AX39" s="130"/>
      <c r="AY39" s="190" t="str">
        <f>IFERROR(IF(ISBLANK(DATA!AA39),"",DATA!AA39),"")</f>
        <v/>
      </c>
      <c r="AZ39" s="190" t="str">
        <f>IFERROR(IF(ISBLANK(DATA!AB39),"",DATA!AB39),"")</f>
        <v/>
      </c>
      <c r="BA39" s="190" t="str">
        <f>IFERROR(IF(ISBLANK(DATA!AC39),"",DATA!AC39),"")</f>
        <v/>
      </c>
      <c r="BB39" s="190" t="str">
        <f>IFERROR(IF(ISBLANK(DATA!AD39),"",DATA!AD39),"")</f>
        <v/>
      </c>
      <c r="BC39" s="97" t="str">
        <f t="shared" si="22"/>
        <v/>
      </c>
      <c r="BD39" s="106" t="str">
        <f>IFERROR(IF(BC39=0,"",ROUND((BC39/SUM(SETTINGS!$L$14:$L$17))*SETTINGS!$L$18,0)),"")</f>
        <v/>
      </c>
      <c r="BE39" s="190" t="str">
        <f>IFERROR(IF(ISBLANK(DATA!AE39),"",DATA!AE39),"")</f>
        <v/>
      </c>
      <c r="BF39" s="106" t="str">
        <f>IFERROR(IF(ISBLANK(BE39),"",ROUND((BE39/SETTINGS!$L$19)*SETTINGS!$L$20,0)),"")</f>
        <v/>
      </c>
      <c r="BG39" s="106" t="str">
        <f t="shared" si="23"/>
        <v/>
      </c>
      <c r="BH39" s="103" t="str">
        <f t="shared" si="4"/>
        <v/>
      </c>
      <c r="BI39" s="108" t="str">
        <f t="shared" si="24"/>
        <v/>
      </c>
      <c r="BJ39" s="130"/>
      <c r="BK39" s="190" t="str">
        <f>IFERROR(IF(ISBLANK(DATA!AG39),"",DATA!AG39),"")</f>
        <v/>
      </c>
      <c r="BL39" s="190" t="str">
        <f>IFERROR(IF(ISBLANK(DATA!AH39),"",DATA!AH39),"")</f>
        <v/>
      </c>
      <c r="BM39" s="190" t="str">
        <f>IFERROR(IF(ISBLANK(DATA!AI39),"",DATA!AI39),"")</f>
        <v/>
      </c>
      <c r="BN39" s="190" t="str">
        <f>IFERROR(IF(ISBLANK(DATA!AJ39),"",DATA!AJ39),"")</f>
        <v/>
      </c>
      <c r="BO39" s="97" t="str">
        <f t="shared" si="25"/>
        <v/>
      </c>
      <c r="BP39" s="106" t="str">
        <f>IFERROR(IF(BO39=0,"",ROUND((BO39/SUM(SETTINGS!$L$14:$L$17))*SETTINGS!$L$18,0)),"")</f>
        <v/>
      </c>
      <c r="BQ39" s="190" t="str">
        <f>IFERROR(IF(ISBLANK(DATA!AK39),"",DATA!AK39),"")</f>
        <v/>
      </c>
      <c r="BR39" s="106" t="str">
        <f>IFERROR(IF(ISBLANK(BQ39),"",ROUND((BQ39/SETTINGS!$L$19)*SETTINGS!$L$20,0)),"")</f>
        <v/>
      </c>
      <c r="BS39" s="106" t="str">
        <f t="shared" si="26"/>
        <v/>
      </c>
      <c r="BT39" s="103" t="str">
        <f t="shared" si="5"/>
        <v/>
      </c>
      <c r="BU39" s="107" t="str">
        <f t="shared" si="27"/>
        <v/>
      </c>
      <c r="BV39" s="130"/>
      <c r="BW39" s="190" t="str">
        <f>IFERROR(IF(ISBLANK(DATA!AM39),"",DATA!AM39),"")</f>
        <v/>
      </c>
      <c r="BX39" s="190" t="str">
        <f>IFERROR(IF(ISBLANK(DATA!AN39),"",DATA!AN39),"")</f>
        <v/>
      </c>
      <c r="BY39" s="190" t="str">
        <f>IFERROR(IF(ISBLANK(DATA!AO39),"",DATA!AO39),"")</f>
        <v/>
      </c>
      <c r="BZ39" s="190" t="str">
        <f>IFERROR(IF(ISBLANK(DATA!AP39),"",DATA!AP39),"")</f>
        <v/>
      </c>
      <c r="CA39" s="97" t="str">
        <f t="shared" si="28"/>
        <v/>
      </c>
      <c r="CB39" s="106" t="str">
        <f>IFERROR(IF(CA39=0,"",ROUND((CA39/SUM(SETTINGS!$L$14:$L$17))*SETTINGS!$L$18,0)),"")</f>
        <v/>
      </c>
      <c r="CC39" s="190" t="str">
        <f>IFERROR(IF(ISBLANK(DATA!AQ39),"",DATA!AQ39),"")</f>
        <v/>
      </c>
      <c r="CD39" s="106" t="str">
        <f>IFERROR(IF(ISBLANK(CC39),"",ROUND((CC39/SETTINGS!$L$19)*SETTINGS!$L$20,0)),"")</f>
        <v/>
      </c>
      <c r="CE39" s="106" t="str">
        <f t="shared" si="29"/>
        <v/>
      </c>
      <c r="CF39" s="103" t="str">
        <f t="shared" si="6"/>
        <v/>
      </c>
      <c r="CG39" s="107" t="str">
        <f t="shared" si="30"/>
        <v/>
      </c>
      <c r="CH39" s="130"/>
      <c r="CI39" s="190" t="str">
        <f>IFERROR(IF(ISBLANK(DATA!AS39),"",DATA!AS39),"")</f>
        <v/>
      </c>
      <c r="CJ39" s="190" t="str">
        <f>IFERROR(IF(ISBLANK(DATA!AT39),"",DATA!AT39),"")</f>
        <v/>
      </c>
      <c r="CK39" s="190" t="str">
        <f>IFERROR(IF(ISBLANK(DATA!AU39),"",DATA!AU39),"")</f>
        <v/>
      </c>
      <c r="CL39" s="190" t="str">
        <f>IFERROR(IF(ISBLANK(DATA!AV39),"",DATA!AV39),"")</f>
        <v/>
      </c>
      <c r="CM39" s="97" t="str">
        <f t="shared" si="31"/>
        <v/>
      </c>
      <c r="CN39" s="106" t="str">
        <f>IFERROR(IF(CM39=0,"",ROUND((CM39/SUM(SETTINGS!$L$14:$L$17))*SETTINGS!$L$18,0)),"")</f>
        <v/>
      </c>
      <c r="CO39" s="190" t="str">
        <f>IFERROR(IF(ISBLANK(DATA!AW39),"",DATA!AW39),"")</f>
        <v/>
      </c>
      <c r="CP39" s="106" t="str">
        <f>IFERROR(IF(ISBLANK(CO39),"",ROUND((CO39/SETTINGS!$L$19)*SETTINGS!$L$20,0)),"")</f>
        <v/>
      </c>
      <c r="CQ39" s="106" t="str">
        <f t="shared" si="32"/>
        <v/>
      </c>
      <c r="CR39" s="103" t="str">
        <f t="shared" si="7"/>
        <v/>
      </c>
      <c r="CS39" s="107" t="str">
        <f t="shared" si="33"/>
        <v/>
      </c>
      <c r="CT39" s="130"/>
      <c r="CU39" s="190" t="str">
        <f>IFERROR(IF(ISBLANK(DATA!AY39),"",DATA!AY39),"")</f>
        <v/>
      </c>
      <c r="CV39" s="190" t="str">
        <f>IFERROR(IF(ISBLANK(DATA!AZ39),"",DATA!AZ39),"")</f>
        <v/>
      </c>
      <c r="CW39" s="190" t="str">
        <f>IFERROR(IF(ISBLANK(DATA!BA39),"",DATA!BA39),"")</f>
        <v/>
      </c>
      <c r="CX39" s="190" t="str">
        <f>IFERROR(IF(ISBLANK(DATA!BB39),"",DATA!BB39),"")</f>
        <v/>
      </c>
      <c r="CY39" s="97" t="str">
        <f t="shared" si="34"/>
        <v/>
      </c>
      <c r="CZ39" s="106" t="str">
        <f>IFERROR(IF(CY39=0,"",ROUND((CY39/SUM(SETTINGS!$L$14:$L$17))*SETTINGS!$L$18,0)),"")</f>
        <v/>
      </c>
      <c r="DA39" s="190" t="str">
        <f>IFERROR(IF(ISBLANK(DATA!BC39),"",DATA!BC39),"")</f>
        <v/>
      </c>
      <c r="DB39" s="106" t="str">
        <f>IFERROR(IF(ISBLANK(DA39),"",ROUND((DA39/SETTINGS!$L$19)*SETTINGS!$L$20,0)),"")</f>
        <v/>
      </c>
      <c r="DC39" s="106" t="str">
        <f t="shared" si="35"/>
        <v/>
      </c>
      <c r="DD39" s="103" t="str">
        <f t="shared" si="8"/>
        <v/>
      </c>
      <c r="DE39" s="107" t="str">
        <f t="shared" si="36"/>
        <v/>
      </c>
      <c r="DF39" s="103" t="str">
        <f t="shared" si="9"/>
        <v/>
      </c>
      <c r="DG39" s="103" t="str">
        <f>IFERROR(IF(AND(K39,W39,AI39,AU39,BG39,BS39,CE39,CQ39,DC39)="","",SUM(K39,W39,AI39,AU39,LARGE((BG39,BS39,CE39,CQ39,DC39),{1,2}))),"")</f>
        <v/>
      </c>
      <c r="DH39" s="103" t="str">
        <f>IFERROR(IF(AND(M39,Y39,AK39,AW39,,BI39,BU39,CG39,CS39,DE39)="","",SUM(M39,Y39,AK39,AW39,SMALL((BI39,BU39,CG39,CS39,DE39),{1,2}))),"")</f>
        <v/>
      </c>
      <c r="DI39" s="109" t="str">
        <f>IFERROR(IF(ISBLANK($D39),"",pos&amp;IF(AND(MOD(ABS(pos),100)&gt;10,MOD(ABS(pos),100)&lt;14),"th",CHOOSE(MOD(ABS(pos),10)+1,"th","st","nd","rd","th","th","th","th","th","th"))),"")</f>
        <v/>
      </c>
      <c r="DJ39" s="62">
        <f>ROWS($B$12:$B39)</f>
        <v>28</v>
      </c>
      <c r="DK39" s="62" t="str">
        <f>IF($B39=REPORT_CARD!$M$12,$DJ39,"")</f>
        <v/>
      </c>
      <c r="DL39" s="62"/>
      <c r="DM39" s="186"/>
    </row>
    <row r="40" spans="1:117" ht="19.5" customHeight="1">
      <c r="A40" s="187" t="str">
        <f>IFERROR(IF(ISBLANK(DATA!$A40),"",DATA!$A40),"")</f>
        <v/>
      </c>
      <c r="B40" s="187" t="str">
        <f>IFERROR(IF(ISBLANK(DATA!$B40),"",DATA!$B40),"")</f>
        <v/>
      </c>
      <c r="C40" s="190" t="str">
        <f>IFERROR(IF(ISBLANK(DATA!C40),"",DATA!C40),"")</f>
        <v/>
      </c>
      <c r="D40" s="190" t="str">
        <f>IFERROR(IF(ISBLANK(DATA!D40),"",DATA!D40),"")</f>
        <v/>
      </c>
      <c r="E40" s="190" t="str">
        <f>IFERROR(IF(ISBLANK(DATA!E40),"",DATA!E40),"")</f>
        <v/>
      </c>
      <c r="F40" s="190" t="str">
        <f>IFERROR(IF(ISBLANK(DATA!F40),"",DATA!F40),"")</f>
        <v/>
      </c>
      <c r="G40" s="97" t="str">
        <f t="shared" si="37"/>
        <v/>
      </c>
      <c r="H40" s="106" t="str">
        <f>IFERROR(IF(G40=0,"",ROUND((G40/SUM(SETTINGS!$L$14:$L$17))*SETTINGS!$L$18,0)),"")</f>
        <v/>
      </c>
      <c r="I40" s="190" t="str">
        <f>IFERROR(IF(ISBLANK(DATA!G40),"",DATA!G40),"")</f>
        <v/>
      </c>
      <c r="J40" s="106" t="str">
        <f>IFERROR(IF(ISBLANK(I40),"",ROUND((I40/SETTINGS!$L$19)*SETTINGS!$L$20,0)),"")</f>
        <v/>
      </c>
      <c r="K40" s="106" t="str">
        <f t="shared" si="10"/>
        <v/>
      </c>
      <c r="L40" s="103" t="str">
        <f t="shared" si="0"/>
        <v/>
      </c>
      <c r="M40" s="107" t="str">
        <f t="shared" si="11"/>
        <v/>
      </c>
      <c r="N40" s="136"/>
      <c r="O40" s="190" t="str">
        <f>IFERROR(IF(ISBLANK(DATA!I40),"",DATA!I40),"")</f>
        <v/>
      </c>
      <c r="P40" s="190" t="str">
        <f>IFERROR(IF(ISBLANK(DATA!J40),"",DATA!J40),"")</f>
        <v/>
      </c>
      <c r="Q40" s="190" t="str">
        <f>IFERROR(IF(ISBLANK(DATA!K40),"",DATA!K40),"")</f>
        <v/>
      </c>
      <c r="R40" s="190" t="str">
        <f>IFERROR(IF(ISBLANK(DATA!L40),"",DATA!L40),"")</f>
        <v/>
      </c>
      <c r="S40" s="97" t="str">
        <f t="shared" si="12"/>
        <v/>
      </c>
      <c r="T40" s="106" t="str">
        <f>IFERROR(IF(S40=0,"",ROUND((S40/SUM(SETTINGS!$L$14:$L$17))*SETTINGS!$L$18,0)),"")</f>
        <v/>
      </c>
      <c r="U40" s="190" t="str">
        <f>IFERROR(IF(ISBLANK(DATA!M40),"",DATA!M40),"")</f>
        <v/>
      </c>
      <c r="V40" s="106" t="str">
        <f>IFERROR(IF(ISBLANK(U40),"",ROUND((U40/SETTINGS!$L$19)*SETTINGS!$L$20,0)),"")</f>
        <v/>
      </c>
      <c r="W40" s="106" t="str">
        <f t="shared" si="13"/>
        <v/>
      </c>
      <c r="X40" s="103" t="str">
        <f t="shared" si="14"/>
        <v/>
      </c>
      <c r="Y40" s="107" t="str">
        <f t="shared" si="15"/>
        <v/>
      </c>
      <c r="Z40" s="130"/>
      <c r="AA40" s="190" t="str">
        <f>IFERROR(IF(ISBLANK(DATA!O40),"",DATA!O40),"")</f>
        <v/>
      </c>
      <c r="AB40" s="190" t="str">
        <f>IFERROR(IF(ISBLANK(DATA!P40),"",DATA!P40),"")</f>
        <v/>
      </c>
      <c r="AC40" s="190" t="str">
        <f>IFERROR(IF(ISBLANK(DATA!Q40),"",DATA!Q40),"")</f>
        <v/>
      </c>
      <c r="AD40" s="190" t="str">
        <f>IFERROR(IF(ISBLANK(DATA!R40),"",DATA!R40),"")</f>
        <v/>
      </c>
      <c r="AE40" s="97" t="str">
        <f t="shared" si="16"/>
        <v/>
      </c>
      <c r="AF40" s="106" t="str">
        <f>IFERROR(IF(AE40=0,"",ROUND((AE40/SUM(SETTINGS!$L$14:$L$17))*SETTINGS!$L$18,0)),"")</f>
        <v/>
      </c>
      <c r="AG40" s="190" t="str">
        <f>IFERROR(IF(ISBLANK(DATA!S40),"",DATA!S40),"")</f>
        <v/>
      </c>
      <c r="AH40" s="106" t="str">
        <f>IFERROR(IF(ISBLANK(AG40),"",ROUND((AG40/SETTINGS!$L$19)*SETTINGS!$L$20,0)),"")</f>
        <v/>
      </c>
      <c r="AI40" s="106" t="str">
        <f t="shared" si="17"/>
        <v/>
      </c>
      <c r="AJ40" s="103" t="str">
        <f t="shared" si="2"/>
        <v/>
      </c>
      <c r="AK40" s="108" t="str">
        <f t="shared" si="18"/>
        <v/>
      </c>
      <c r="AL40" s="130"/>
      <c r="AM40" s="190" t="str">
        <f>IFERROR(IF(ISBLANK(DATA!U40),"",DATA!U40),"")</f>
        <v/>
      </c>
      <c r="AN40" s="190" t="str">
        <f>IFERROR(IF(ISBLANK(DATA!V40),"",DATA!V40),"")</f>
        <v/>
      </c>
      <c r="AO40" s="190" t="str">
        <f>IFERROR(IF(ISBLANK(DATA!W40),"",DATA!W40),"")</f>
        <v/>
      </c>
      <c r="AP40" s="190" t="str">
        <f>IFERROR(IF(ISBLANK(DATA!X40),"",DATA!X40),"")</f>
        <v/>
      </c>
      <c r="AQ40" s="97" t="str">
        <f t="shared" si="19"/>
        <v/>
      </c>
      <c r="AR40" s="106" t="str">
        <f>IFERROR(IF(AQ40=0,"",ROUND((AQ40/SUM(SETTINGS!$L$14:$L$17))*SETTINGS!$L$18,0)),"")</f>
        <v/>
      </c>
      <c r="AS40" s="190" t="str">
        <f>IFERROR(IF(ISBLANK(DATA!Y40),"",DATA!Y40),"")</f>
        <v/>
      </c>
      <c r="AT40" s="106" t="str">
        <f>IFERROR(IF(ISBLANK(AS40),"",ROUND((AS40/SETTINGS!$L$19)*SETTINGS!$L$20,0)),"")</f>
        <v/>
      </c>
      <c r="AU40" s="106" t="str">
        <f t="shared" si="20"/>
        <v/>
      </c>
      <c r="AV40" s="103" t="str">
        <f t="shared" si="3"/>
        <v/>
      </c>
      <c r="AW40" s="107" t="str">
        <f t="shared" si="21"/>
        <v/>
      </c>
      <c r="AX40" s="130"/>
      <c r="AY40" s="190" t="str">
        <f>IFERROR(IF(ISBLANK(DATA!AA40),"",DATA!AA40),"")</f>
        <v/>
      </c>
      <c r="AZ40" s="190" t="str">
        <f>IFERROR(IF(ISBLANK(DATA!AB40),"",DATA!AB40),"")</f>
        <v/>
      </c>
      <c r="BA40" s="190" t="str">
        <f>IFERROR(IF(ISBLANK(DATA!AC40),"",DATA!AC40),"")</f>
        <v/>
      </c>
      <c r="BB40" s="190" t="str">
        <f>IFERROR(IF(ISBLANK(DATA!AD40),"",DATA!AD40),"")</f>
        <v/>
      </c>
      <c r="BC40" s="97" t="str">
        <f t="shared" si="22"/>
        <v/>
      </c>
      <c r="BD40" s="106" t="str">
        <f>IFERROR(IF(BC40=0,"",ROUND((BC40/SUM(SETTINGS!$L$14:$L$17))*SETTINGS!$L$18,0)),"")</f>
        <v/>
      </c>
      <c r="BE40" s="190" t="str">
        <f>IFERROR(IF(ISBLANK(DATA!AE40),"",DATA!AE40),"")</f>
        <v/>
      </c>
      <c r="BF40" s="106" t="str">
        <f>IFERROR(IF(ISBLANK(BE40),"",ROUND((BE40/SETTINGS!$L$19)*SETTINGS!$L$20,0)),"")</f>
        <v/>
      </c>
      <c r="BG40" s="106" t="str">
        <f t="shared" si="23"/>
        <v/>
      </c>
      <c r="BH40" s="103" t="str">
        <f t="shared" si="4"/>
        <v/>
      </c>
      <c r="BI40" s="108" t="str">
        <f t="shared" si="24"/>
        <v/>
      </c>
      <c r="BJ40" s="130"/>
      <c r="BK40" s="190" t="str">
        <f>IFERROR(IF(ISBLANK(DATA!AG40),"",DATA!AG40),"")</f>
        <v/>
      </c>
      <c r="BL40" s="190" t="str">
        <f>IFERROR(IF(ISBLANK(DATA!AH40),"",DATA!AH40),"")</f>
        <v/>
      </c>
      <c r="BM40" s="190" t="str">
        <f>IFERROR(IF(ISBLANK(DATA!AI40),"",DATA!AI40),"")</f>
        <v/>
      </c>
      <c r="BN40" s="190" t="str">
        <f>IFERROR(IF(ISBLANK(DATA!AJ40),"",DATA!AJ40),"")</f>
        <v/>
      </c>
      <c r="BO40" s="97" t="str">
        <f t="shared" si="25"/>
        <v/>
      </c>
      <c r="BP40" s="106" t="str">
        <f>IFERROR(IF(BO40=0,"",ROUND((BO40/SUM(SETTINGS!$L$14:$L$17))*SETTINGS!$L$18,0)),"")</f>
        <v/>
      </c>
      <c r="BQ40" s="190" t="str">
        <f>IFERROR(IF(ISBLANK(DATA!AK40),"",DATA!AK40),"")</f>
        <v/>
      </c>
      <c r="BR40" s="106" t="str">
        <f>IFERROR(IF(ISBLANK(BQ40),"",ROUND((BQ40/SETTINGS!$L$19)*SETTINGS!$L$20,0)),"")</f>
        <v/>
      </c>
      <c r="BS40" s="106" t="str">
        <f t="shared" si="26"/>
        <v/>
      </c>
      <c r="BT40" s="103" t="str">
        <f t="shared" si="5"/>
        <v/>
      </c>
      <c r="BU40" s="107" t="str">
        <f t="shared" si="27"/>
        <v/>
      </c>
      <c r="BV40" s="130"/>
      <c r="BW40" s="190" t="str">
        <f>IFERROR(IF(ISBLANK(DATA!AM40),"",DATA!AM40),"")</f>
        <v/>
      </c>
      <c r="BX40" s="190" t="str">
        <f>IFERROR(IF(ISBLANK(DATA!AN40),"",DATA!AN40),"")</f>
        <v/>
      </c>
      <c r="BY40" s="190" t="str">
        <f>IFERROR(IF(ISBLANK(DATA!AO40),"",DATA!AO40),"")</f>
        <v/>
      </c>
      <c r="BZ40" s="190" t="str">
        <f>IFERROR(IF(ISBLANK(DATA!AP40),"",DATA!AP40),"")</f>
        <v/>
      </c>
      <c r="CA40" s="97" t="str">
        <f t="shared" si="28"/>
        <v/>
      </c>
      <c r="CB40" s="106" t="str">
        <f>IFERROR(IF(CA40=0,"",ROUND((CA40/SUM(SETTINGS!$L$14:$L$17))*SETTINGS!$L$18,0)),"")</f>
        <v/>
      </c>
      <c r="CC40" s="190" t="str">
        <f>IFERROR(IF(ISBLANK(DATA!AQ40),"",DATA!AQ40),"")</f>
        <v/>
      </c>
      <c r="CD40" s="106" t="str">
        <f>IFERROR(IF(ISBLANK(CC40),"",ROUND((CC40/SETTINGS!$L$19)*SETTINGS!$L$20,0)),"")</f>
        <v/>
      </c>
      <c r="CE40" s="106" t="str">
        <f t="shared" si="29"/>
        <v/>
      </c>
      <c r="CF40" s="103" t="str">
        <f t="shared" si="6"/>
        <v/>
      </c>
      <c r="CG40" s="107" t="str">
        <f t="shared" si="30"/>
        <v/>
      </c>
      <c r="CH40" s="130"/>
      <c r="CI40" s="190" t="str">
        <f>IFERROR(IF(ISBLANK(DATA!AS40),"",DATA!AS40),"")</f>
        <v/>
      </c>
      <c r="CJ40" s="190" t="str">
        <f>IFERROR(IF(ISBLANK(DATA!AT40),"",DATA!AT40),"")</f>
        <v/>
      </c>
      <c r="CK40" s="190" t="str">
        <f>IFERROR(IF(ISBLANK(DATA!AU40),"",DATA!AU40),"")</f>
        <v/>
      </c>
      <c r="CL40" s="190" t="str">
        <f>IFERROR(IF(ISBLANK(DATA!AV40),"",DATA!AV40),"")</f>
        <v/>
      </c>
      <c r="CM40" s="97" t="str">
        <f t="shared" si="31"/>
        <v/>
      </c>
      <c r="CN40" s="106" t="str">
        <f>IFERROR(IF(CM40=0,"",ROUND((CM40/SUM(SETTINGS!$L$14:$L$17))*SETTINGS!$L$18,0)),"")</f>
        <v/>
      </c>
      <c r="CO40" s="190" t="str">
        <f>IFERROR(IF(ISBLANK(DATA!AW40),"",DATA!AW40),"")</f>
        <v/>
      </c>
      <c r="CP40" s="106" t="str">
        <f>IFERROR(IF(ISBLANK(CO40),"",ROUND((CO40/SETTINGS!$L$19)*SETTINGS!$L$20,0)),"")</f>
        <v/>
      </c>
      <c r="CQ40" s="106" t="str">
        <f t="shared" si="32"/>
        <v/>
      </c>
      <c r="CR40" s="103" t="str">
        <f t="shared" si="7"/>
        <v/>
      </c>
      <c r="CS40" s="107" t="str">
        <f t="shared" si="33"/>
        <v/>
      </c>
      <c r="CT40" s="130"/>
      <c r="CU40" s="190" t="str">
        <f>IFERROR(IF(ISBLANK(DATA!AY40),"",DATA!AY40),"")</f>
        <v/>
      </c>
      <c r="CV40" s="190" t="str">
        <f>IFERROR(IF(ISBLANK(DATA!AZ40),"",DATA!AZ40),"")</f>
        <v/>
      </c>
      <c r="CW40" s="190" t="str">
        <f>IFERROR(IF(ISBLANK(DATA!BA40),"",DATA!BA40),"")</f>
        <v/>
      </c>
      <c r="CX40" s="190" t="str">
        <f>IFERROR(IF(ISBLANK(DATA!BB40),"",DATA!BB40),"")</f>
        <v/>
      </c>
      <c r="CY40" s="97" t="str">
        <f t="shared" si="34"/>
        <v/>
      </c>
      <c r="CZ40" s="106" t="str">
        <f>IFERROR(IF(CY40=0,"",ROUND((CY40/SUM(SETTINGS!$L$14:$L$17))*SETTINGS!$L$18,0)),"")</f>
        <v/>
      </c>
      <c r="DA40" s="190" t="str">
        <f>IFERROR(IF(ISBLANK(DATA!BC40),"",DATA!BC40),"")</f>
        <v/>
      </c>
      <c r="DB40" s="106" t="str">
        <f>IFERROR(IF(ISBLANK(DA40),"",ROUND((DA40/SETTINGS!$L$19)*SETTINGS!$L$20,0)),"")</f>
        <v/>
      </c>
      <c r="DC40" s="106" t="str">
        <f t="shared" si="35"/>
        <v/>
      </c>
      <c r="DD40" s="103" t="str">
        <f t="shared" si="8"/>
        <v/>
      </c>
      <c r="DE40" s="107" t="str">
        <f t="shared" si="36"/>
        <v/>
      </c>
      <c r="DF40" s="103" t="str">
        <f t="shared" si="9"/>
        <v/>
      </c>
      <c r="DG40" s="103" t="str">
        <f>IFERROR(IF(AND(K40,W40,AI40,AU40,BG40,BS40,CE40,CQ40,DC40)="","",SUM(K40,W40,AI40,AU40,LARGE((BG40,BS40,CE40,CQ40,DC40),{1,2}))),"")</f>
        <v/>
      </c>
      <c r="DH40" s="103" t="str">
        <f>IFERROR(IF(AND(M40,Y40,AK40,AW40,,BI40,BU40,CG40,CS40,DE40)="","",SUM(M40,Y40,AK40,AW40,SMALL((BI40,BU40,CG40,CS40,DE40),{1,2}))),"")</f>
        <v/>
      </c>
      <c r="DI40" s="109" t="str">
        <f>IFERROR(IF(ISBLANK($D40),"",pos&amp;IF(AND(MOD(ABS(pos),100)&gt;10,MOD(ABS(pos),100)&lt;14),"th",CHOOSE(MOD(ABS(pos),10)+1,"th","st","nd","rd","th","th","th","th","th","th"))),"")</f>
        <v/>
      </c>
      <c r="DJ40" s="62">
        <f>ROWS($B$12:$B40)</f>
        <v>29</v>
      </c>
      <c r="DK40" s="62" t="str">
        <f>IF($B40=REPORT_CARD!$M$12,$DJ40,"")</f>
        <v/>
      </c>
      <c r="DL40" s="62"/>
      <c r="DM40" s="186"/>
    </row>
    <row r="41" spans="1:117" ht="19.5" customHeight="1">
      <c r="A41" s="187" t="str">
        <f>IFERROR(IF(ISBLANK(DATA!$A41),"",DATA!$A41),"")</f>
        <v/>
      </c>
      <c r="B41" s="187" t="str">
        <f>IFERROR(IF(ISBLANK(DATA!$B41),"",DATA!$B41),"")</f>
        <v/>
      </c>
      <c r="C41" s="190" t="str">
        <f>IFERROR(IF(ISBLANK(DATA!C41),"",DATA!C41),"")</f>
        <v/>
      </c>
      <c r="D41" s="190" t="str">
        <f>IFERROR(IF(ISBLANK(DATA!D41),"",DATA!D41),"")</f>
        <v/>
      </c>
      <c r="E41" s="190" t="str">
        <f>IFERROR(IF(ISBLANK(DATA!E41),"",DATA!E41),"")</f>
        <v/>
      </c>
      <c r="F41" s="190" t="str">
        <f>IFERROR(IF(ISBLANK(DATA!F41),"",DATA!F41),"")</f>
        <v/>
      </c>
      <c r="G41" s="97" t="str">
        <f t="shared" si="37"/>
        <v/>
      </c>
      <c r="H41" s="106" t="str">
        <f>IFERROR(IF(G41=0,"",ROUND((G41/SUM(SETTINGS!$L$14:$L$17))*SETTINGS!$L$18,0)),"")</f>
        <v/>
      </c>
      <c r="I41" s="190" t="str">
        <f>IFERROR(IF(ISBLANK(DATA!G41),"",DATA!G41),"")</f>
        <v/>
      </c>
      <c r="J41" s="106" t="str">
        <f>IFERROR(IF(ISBLANK(I41),"",ROUND((I41/SETTINGS!$L$19)*SETTINGS!$L$20,0)),"")</f>
        <v/>
      </c>
      <c r="K41" s="106" t="str">
        <f t="shared" si="10"/>
        <v/>
      </c>
      <c r="L41" s="103" t="str">
        <f t="shared" si="0"/>
        <v/>
      </c>
      <c r="M41" s="107" t="str">
        <f t="shared" si="11"/>
        <v/>
      </c>
      <c r="N41" s="136"/>
      <c r="O41" s="190" t="str">
        <f>IFERROR(IF(ISBLANK(DATA!I41),"",DATA!I41),"")</f>
        <v/>
      </c>
      <c r="P41" s="190" t="str">
        <f>IFERROR(IF(ISBLANK(DATA!J41),"",DATA!J41),"")</f>
        <v/>
      </c>
      <c r="Q41" s="190" t="str">
        <f>IFERROR(IF(ISBLANK(DATA!K41),"",DATA!K41),"")</f>
        <v/>
      </c>
      <c r="R41" s="190" t="str">
        <f>IFERROR(IF(ISBLANK(DATA!L41),"",DATA!L41),"")</f>
        <v/>
      </c>
      <c r="S41" s="97" t="str">
        <f t="shared" si="12"/>
        <v/>
      </c>
      <c r="T41" s="106" t="str">
        <f>IFERROR(IF(S41=0,"",ROUND((S41/SUM(SETTINGS!$L$14:$L$17))*SETTINGS!$L$18,0)),"")</f>
        <v/>
      </c>
      <c r="U41" s="190" t="str">
        <f>IFERROR(IF(ISBLANK(DATA!M41),"",DATA!M41),"")</f>
        <v/>
      </c>
      <c r="V41" s="106" t="str">
        <f>IFERROR(IF(ISBLANK(U41),"",ROUND((U41/SETTINGS!$L$19)*SETTINGS!$L$20,0)),"")</f>
        <v/>
      </c>
      <c r="W41" s="106" t="str">
        <f t="shared" si="13"/>
        <v/>
      </c>
      <c r="X41" s="103" t="str">
        <f t="shared" si="14"/>
        <v/>
      </c>
      <c r="Y41" s="107" t="str">
        <f t="shared" si="15"/>
        <v/>
      </c>
      <c r="Z41" s="130"/>
      <c r="AA41" s="190" t="str">
        <f>IFERROR(IF(ISBLANK(DATA!O41),"",DATA!O41),"")</f>
        <v/>
      </c>
      <c r="AB41" s="190" t="str">
        <f>IFERROR(IF(ISBLANK(DATA!P41),"",DATA!P41),"")</f>
        <v/>
      </c>
      <c r="AC41" s="190" t="str">
        <f>IFERROR(IF(ISBLANK(DATA!Q41),"",DATA!Q41),"")</f>
        <v/>
      </c>
      <c r="AD41" s="190" t="str">
        <f>IFERROR(IF(ISBLANK(DATA!R41),"",DATA!R41),"")</f>
        <v/>
      </c>
      <c r="AE41" s="97" t="str">
        <f t="shared" si="16"/>
        <v/>
      </c>
      <c r="AF41" s="106" t="str">
        <f>IFERROR(IF(AE41=0,"",ROUND((AE41/SUM(SETTINGS!$L$14:$L$17))*SETTINGS!$L$18,0)),"")</f>
        <v/>
      </c>
      <c r="AG41" s="190" t="str">
        <f>IFERROR(IF(ISBLANK(DATA!S41),"",DATA!S41),"")</f>
        <v/>
      </c>
      <c r="AH41" s="106" t="str">
        <f>IFERROR(IF(ISBLANK(AG41),"",ROUND((AG41/SETTINGS!$L$19)*SETTINGS!$L$20,0)),"")</f>
        <v/>
      </c>
      <c r="AI41" s="106" t="str">
        <f t="shared" si="17"/>
        <v/>
      </c>
      <c r="AJ41" s="103" t="str">
        <f t="shared" si="2"/>
        <v/>
      </c>
      <c r="AK41" s="108" t="str">
        <f t="shared" si="18"/>
        <v/>
      </c>
      <c r="AL41" s="130"/>
      <c r="AM41" s="190" t="str">
        <f>IFERROR(IF(ISBLANK(DATA!U41),"",DATA!U41),"")</f>
        <v/>
      </c>
      <c r="AN41" s="190" t="str">
        <f>IFERROR(IF(ISBLANK(DATA!V41),"",DATA!V41),"")</f>
        <v/>
      </c>
      <c r="AO41" s="190" t="str">
        <f>IFERROR(IF(ISBLANK(DATA!W41),"",DATA!W41),"")</f>
        <v/>
      </c>
      <c r="AP41" s="190" t="str">
        <f>IFERROR(IF(ISBLANK(DATA!X41),"",DATA!X41),"")</f>
        <v/>
      </c>
      <c r="AQ41" s="97" t="str">
        <f t="shared" si="19"/>
        <v/>
      </c>
      <c r="AR41" s="106" t="str">
        <f>IFERROR(IF(AQ41=0,"",ROUND((AQ41/SUM(SETTINGS!$L$14:$L$17))*SETTINGS!$L$18,0)),"")</f>
        <v/>
      </c>
      <c r="AS41" s="190" t="str">
        <f>IFERROR(IF(ISBLANK(DATA!Y41),"",DATA!Y41),"")</f>
        <v/>
      </c>
      <c r="AT41" s="106" t="str">
        <f>IFERROR(IF(ISBLANK(AS41),"",ROUND((AS41/SETTINGS!$L$19)*SETTINGS!$L$20,0)),"")</f>
        <v/>
      </c>
      <c r="AU41" s="106" t="str">
        <f t="shared" si="20"/>
        <v/>
      </c>
      <c r="AV41" s="103" t="str">
        <f t="shared" si="3"/>
        <v/>
      </c>
      <c r="AW41" s="107" t="str">
        <f t="shared" si="21"/>
        <v/>
      </c>
      <c r="AX41" s="130"/>
      <c r="AY41" s="190" t="str">
        <f>IFERROR(IF(ISBLANK(DATA!AA41),"",DATA!AA41),"")</f>
        <v/>
      </c>
      <c r="AZ41" s="190" t="str">
        <f>IFERROR(IF(ISBLANK(DATA!AB41),"",DATA!AB41),"")</f>
        <v/>
      </c>
      <c r="BA41" s="190" t="str">
        <f>IFERROR(IF(ISBLANK(DATA!AC41),"",DATA!AC41),"")</f>
        <v/>
      </c>
      <c r="BB41" s="190" t="str">
        <f>IFERROR(IF(ISBLANK(DATA!AD41),"",DATA!AD41),"")</f>
        <v/>
      </c>
      <c r="BC41" s="97" t="str">
        <f t="shared" si="22"/>
        <v/>
      </c>
      <c r="BD41" s="106" t="str">
        <f>IFERROR(IF(BC41=0,"",ROUND((BC41/SUM(SETTINGS!$L$14:$L$17))*SETTINGS!$L$18,0)),"")</f>
        <v/>
      </c>
      <c r="BE41" s="190" t="str">
        <f>IFERROR(IF(ISBLANK(DATA!AE41),"",DATA!AE41),"")</f>
        <v/>
      </c>
      <c r="BF41" s="106" t="str">
        <f>IFERROR(IF(ISBLANK(BE41),"",ROUND((BE41/SETTINGS!$L$19)*SETTINGS!$L$20,0)),"")</f>
        <v/>
      </c>
      <c r="BG41" s="106" t="str">
        <f t="shared" si="23"/>
        <v/>
      </c>
      <c r="BH41" s="103" t="str">
        <f t="shared" si="4"/>
        <v/>
      </c>
      <c r="BI41" s="108" t="str">
        <f t="shared" si="24"/>
        <v/>
      </c>
      <c r="BJ41" s="130"/>
      <c r="BK41" s="190" t="str">
        <f>IFERROR(IF(ISBLANK(DATA!AG41),"",DATA!AG41),"")</f>
        <v/>
      </c>
      <c r="BL41" s="190" t="str">
        <f>IFERROR(IF(ISBLANK(DATA!AH41),"",DATA!AH41),"")</f>
        <v/>
      </c>
      <c r="BM41" s="190" t="str">
        <f>IFERROR(IF(ISBLANK(DATA!AI41),"",DATA!AI41),"")</f>
        <v/>
      </c>
      <c r="BN41" s="190" t="str">
        <f>IFERROR(IF(ISBLANK(DATA!AJ41),"",DATA!AJ41),"")</f>
        <v/>
      </c>
      <c r="BO41" s="97" t="str">
        <f t="shared" si="25"/>
        <v/>
      </c>
      <c r="BP41" s="106" t="str">
        <f>IFERROR(IF(BO41=0,"",ROUND((BO41/SUM(SETTINGS!$L$14:$L$17))*SETTINGS!$L$18,0)),"")</f>
        <v/>
      </c>
      <c r="BQ41" s="190" t="str">
        <f>IFERROR(IF(ISBLANK(DATA!AK41),"",DATA!AK41),"")</f>
        <v/>
      </c>
      <c r="BR41" s="106" t="str">
        <f>IFERROR(IF(ISBLANK(BQ41),"",ROUND((BQ41/SETTINGS!$L$19)*SETTINGS!$L$20,0)),"")</f>
        <v/>
      </c>
      <c r="BS41" s="106" t="str">
        <f t="shared" si="26"/>
        <v/>
      </c>
      <c r="BT41" s="103" t="str">
        <f t="shared" si="5"/>
        <v/>
      </c>
      <c r="BU41" s="107" t="str">
        <f t="shared" si="27"/>
        <v/>
      </c>
      <c r="BV41" s="130"/>
      <c r="BW41" s="190" t="str">
        <f>IFERROR(IF(ISBLANK(DATA!AM41),"",DATA!AM41),"")</f>
        <v/>
      </c>
      <c r="BX41" s="190" t="str">
        <f>IFERROR(IF(ISBLANK(DATA!AN41),"",DATA!AN41),"")</f>
        <v/>
      </c>
      <c r="BY41" s="190" t="str">
        <f>IFERROR(IF(ISBLANK(DATA!AO41),"",DATA!AO41),"")</f>
        <v/>
      </c>
      <c r="BZ41" s="190" t="str">
        <f>IFERROR(IF(ISBLANK(DATA!AP41),"",DATA!AP41),"")</f>
        <v/>
      </c>
      <c r="CA41" s="97" t="str">
        <f t="shared" si="28"/>
        <v/>
      </c>
      <c r="CB41" s="106" t="str">
        <f>IFERROR(IF(CA41=0,"",ROUND((CA41/SUM(SETTINGS!$L$14:$L$17))*SETTINGS!$L$18,0)),"")</f>
        <v/>
      </c>
      <c r="CC41" s="190" t="str">
        <f>IFERROR(IF(ISBLANK(DATA!AQ41),"",DATA!AQ41),"")</f>
        <v/>
      </c>
      <c r="CD41" s="106" t="str">
        <f>IFERROR(IF(ISBLANK(CC41),"",ROUND((CC41/SETTINGS!$L$19)*SETTINGS!$L$20,0)),"")</f>
        <v/>
      </c>
      <c r="CE41" s="106" t="str">
        <f t="shared" si="29"/>
        <v/>
      </c>
      <c r="CF41" s="103" t="str">
        <f t="shared" si="6"/>
        <v/>
      </c>
      <c r="CG41" s="107" t="str">
        <f t="shared" si="30"/>
        <v/>
      </c>
      <c r="CH41" s="130"/>
      <c r="CI41" s="190" t="str">
        <f>IFERROR(IF(ISBLANK(DATA!AS41),"",DATA!AS41),"")</f>
        <v/>
      </c>
      <c r="CJ41" s="190" t="str">
        <f>IFERROR(IF(ISBLANK(DATA!AT41),"",DATA!AT41),"")</f>
        <v/>
      </c>
      <c r="CK41" s="190" t="str">
        <f>IFERROR(IF(ISBLANK(DATA!AU41),"",DATA!AU41),"")</f>
        <v/>
      </c>
      <c r="CL41" s="190" t="str">
        <f>IFERROR(IF(ISBLANK(DATA!AV41),"",DATA!AV41),"")</f>
        <v/>
      </c>
      <c r="CM41" s="97" t="str">
        <f t="shared" si="31"/>
        <v/>
      </c>
      <c r="CN41" s="106" t="str">
        <f>IFERROR(IF(CM41=0,"",ROUND((CM41/SUM(SETTINGS!$L$14:$L$17))*SETTINGS!$L$18,0)),"")</f>
        <v/>
      </c>
      <c r="CO41" s="190" t="str">
        <f>IFERROR(IF(ISBLANK(DATA!AW41),"",DATA!AW41),"")</f>
        <v/>
      </c>
      <c r="CP41" s="106" t="str">
        <f>IFERROR(IF(ISBLANK(CO41),"",ROUND((CO41/SETTINGS!$L$19)*SETTINGS!$L$20,0)),"")</f>
        <v/>
      </c>
      <c r="CQ41" s="106" t="str">
        <f t="shared" si="32"/>
        <v/>
      </c>
      <c r="CR41" s="103" t="str">
        <f t="shared" si="7"/>
        <v/>
      </c>
      <c r="CS41" s="107" t="str">
        <f t="shared" si="33"/>
        <v/>
      </c>
      <c r="CT41" s="130"/>
      <c r="CU41" s="190" t="str">
        <f>IFERROR(IF(ISBLANK(DATA!AY41),"",DATA!AY41),"")</f>
        <v/>
      </c>
      <c r="CV41" s="190" t="str">
        <f>IFERROR(IF(ISBLANK(DATA!AZ41),"",DATA!AZ41),"")</f>
        <v/>
      </c>
      <c r="CW41" s="190" t="str">
        <f>IFERROR(IF(ISBLANK(DATA!BA41),"",DATA!BA41),"")</f>
        <v/>
      </c>
      <c r="CX41" s="190" t="str">
        <f>IFERROR(IF(ISBLANK(DATA!BB41),"",DATA!BB41),"")</f>
        <v/>
      </c>
      <c r="CY41" s="97" t="str">
        <f t="shared" si="34"/>
        <v/>
      </c>
      <c r="CZ41" s="106" t="str">
        <f>IFERROR(IF(CY41=0,"",ROUND((CY41/SUM(SETTINGS!$L$14:$L$17))*SETTINGS!$L$18,0)),"")</f>
        <v/>
      </c>
      <c r="DA41" s="190" t="str">
        <f>IFERROR(IF(ISBLANK(DATA!BC41),"",DATA!BC41),"")</f>
        <v/>
      </c>
      <c r="DB41" s="106" t="str">
        <f>IFERROR(IF(ISBLANK(DA41),"",ROUND((DA41/SETTINGS!$L$19)*SETTINGS!$L$20,0)),"")</f>
        <v/>
      </c>
      <c r="DC41" s="106" t="str">
        <f t="shared" si="35"/>
        <v/>
      </c>
      <c r="DD41" s="103" t="str">
        <f t="shared" si="8"/>
        <v/>
      </c>
      <c r="DE41" s="107" t="str">
        <f t="shared" si="36"/>
        <v/>
      </c>
      <c r="DF41" s="103" t="str">
        <f t="shared" si="9"/>
        <v/>
      </c>
      <c r="DG41" s="103" t="str">
        <f>IFERROR(IF(AND(K41,W41,AI41,AU41,BG41,BS41,CE41,CQ41,DC41)="","",SUM(K41,W41,AI41,AU41,LARGE((BG41,BS41,CE41,CQ41,DC41),{1,2}))),"")</f>
        <v/>
      </c>
      <c r="DH41" s="103" t="str">
        <f>IFERROR(IF(AND(M41,Y41,AK41,AW41,,BI41,BU41,CG41,CS41,DE41)="","",SUM(M41,Y41,AK41,AW41,SMALL((BI41,BU41,CG41,CS41,DE41),{1,2}))),"")</f>
        <v/>
      </c>
      <c r="DI41" s="109" t="str">
        <f>IFERROR(IF(ISBLANK($D41),"",pos&amp;IF(AND(MOD(ABS(pos),100)&gt;10,MOD(ABS(pos),100)&lt;14),"th",CHOOSE(MOD(ABS(pos),10)+1,"th","st","nd","rd","th","th","th","th","th","th"))),"")</f>
        <v/>
      </c>
      <c r="DJ41" s="62">
        <f>ROWS($B$12:$B41)</f>
        <v>30</v>
      </c>
      <c r="DK41" s="62" t="str">
        <f>IF($B41=REPORT_CARD!$M$12,$DJ41,"")</f>
        <v/>
      </c>
      <c r="DL41" s="62"/>
      <c r="DM41" s="186"/>
    </row>
    <row r="42" spans="1:117" ht="19.5" customHeight="1">
      <c r="A42" s="187" t="str">
        <f>IFERROR(IF(ISBLANK(DATA!$A42),"",DATA!$A42),"")</f>
        <v/>
      </c>
      <c r="B42" s="187" t="str">
        <f>IFERROR(IF(ISBLANK(DATA!$B42),"",DATA!$B42),"")</f>
        <v/>
      </c>
      <c r="C42" s="190" t="str">
        <f>IFERROR(IF(ISBLANK(DATA!C42),"",DATA!C42),"")</f>
        <v/>
      </c>
      <c r="D42" s="190" t="str">
        <f>IFERROR(IF(ISBLANK(DATA!D42),"",DATA!D42),"")</f>
        <v/>
      </c>
      <c r="E42" s="190" t="str">
        <f>IFERROR(IF(ISBLANK(DATA!E42),"",DATA!E42),"")</f>
        <v/>
      </c>
      <c r="F42" s="190" t="str">
        <f>IFERROR(IF(ISBLANK(DATA!F42),"",DATA!F42),"")</f>
        <v/>
      </c>
      <c r="G42" s="97" t="str">
        <f t="shared" si="37"/>
        <v/>
      </c>
      <c r="H42" s="106" t="str">
        <f>IFERROR(IF(G42=0,"",ROUND((G42/SUM(SETTINGS!$L$14:$L$17))*SETTINGS!$L$18,0)),"")</f>
        <v/>
      </c>
      <c r="I42" s="190" t="str">
        <f>IFERROR(IF(ISBLANK(DATA!G42),"",DATA!G42),"")</f>
        <v/>
      </c>
      <c r="J42" s="106" t="str">
        <f>IFERROR(IF(ISBLANK(I42),"",ROUND((I42/SETTINGS!$L$19)*SETTINGS!$L$20,0)),"")</f>
        <v/>
      </c>
      <c r="K42" s="106" t="str">
        <f t="shared" si="10"/>
        <v/>
      </c>
      <c r="L42" s="103" t="str">
        <f t="shared" si="0"/>
        <v/>
      </c>
      <c r="M42" s="107" t="str">
        <f t="shared" si="11"/>
        <v/>
      </c>
      <c r="N42" s="136"/>
      <c r="O42" s="190" t="str">
        <f>IFERROR(IF(ISBLANK(DATA!I42),"",DATA!I42),"")</f>
        <v/>
      </c>
      <c r="P42" s="190" t="str">
        <f>IFERROR(IF(ISBLANK(DATA!J42),"",DATA!J42),"")</f>
        <v/>
      </c>
      <c r="Q42" s="190" t="str">
        <f>IFERROR(IF(ISBLANK(DATA!K42),"",DATA!K42),"")</f>
        <v/>
      </c>
      <c r="R42" s="190" t="str">
        <f>IFERROR(IF(ISBLANK(DATA!L42),"",DATA!L42),"")</f>
        <v/>
      </c>
      <c r="S42" s="97" t="str">
        <f t="shared" si="12"/>
        <v/>
      </c>
      <c r="T42" s="106" t="str">
        <f>IFERROR(IF(S42=0,"",ROUND((S42/SUM(SETTINGS!$L$14:$L$17))*SETTINGS!$L$18,0)),"")</f>
        <v/>
      </c>
      <c r="U42" s="190" t="str">
        <f>IFERROR(IF(ISBLANK(DATA!M42),"",DATA!M42),"")</f>
        <v/>
      </c>
      <c r="V42" s="106" t="str">
        <f>IFERROR(IF(ISBLANK(U42),"",ROUND((U42/SETTINGS!$L$19)*SETTINGS!$L$20,0)),"")</f>
        <v/>
      </c>
      <c r="W42" s="106" t="str">
        <f t="shared" si="13"/>
        <v/>
      </c>
      <c r="X42" s="103" t="str">
        <f t="shared" si="14"/>
        <v/>
      </c>
      <c r="Y42" s="107" t="str">
        <f t="shared" si="15"/>
        <v/>
      </c>
      <c r="Z42" s="130"/>
      <c r="AA42" s="190" t="str">
        <f>IFERROR(IF(ISBLANK(DATA!O42),"",DATA!O42),"")</f>
        <v/>
      </c>
      <c r="AB42" s="190" t="str">
        <f>IFERROR(IF(ISBLANK(DATA!P42),"",DATA!P42),"")</f>
        <v/>
      </c>
      <c r="AC42" s="190" t="str">
        <f>IFERROR(IF(ISBLANK(DATA!Q42),"",DATA!Q42),"")</f>
        <v/>
      </c>
      <c r="AD42" s="190" t="str">
        <f>IFERROR(IF(ISBLANK(DATA!R42),"",DATA!R42),"")</f>
        <v/>
      </c>
      <c r="AE42" s="97" t="str">
        <f t="shared" si="16"/>
        <v/>
      </c>
      <c r="AF42" s="106" t="str">
        <f>IFERROR(IF(AE42=0,"",ROUND((AE42/SUM(SETTINGS!$L$14:$L$17))*SETTINGS!$L$18,0)),"")</f>
        <v/>
      </c>
      <c r="AG42" s="190" t="str">
        <f>IFERROR(IF(ISBLANK(DATA!S42),"",DATA!S42),"")</f>
        <v/>
      </c>
      <c r="AH42" s="106" t="str">
        <f>IFERROR(IF(ISBLANK(AG42),"",ROUND((AG42/SETTINGS!$L$19)*SETTINGS!$L$20,0)),"")</f>
        <v/>
      </c>
      <c r="AI42" s="106" t="str">
        <f t="shared" si="17"/>
        <v/>
      </c>
      <c r="AJ42" s="103" t="str">
        <f t="shared" si="2"/>
        <v/>
      </c>
      <c r="AK42" s="108" t="str">
        <f t="shared" si="18"/>
        <v/>
      </c>
      <c r="AL42" s="130"/>
      <c r="AM42" s="190" t="str">
        <f>IFERROR(IF(ISBLANK(DATA!U42),"",DATA!U42),"")</f>
        <v/>
      </c>
      <c r="AN42" s="190" t="str">
        <f>IFERROR(IF(ISBLANK(DATA!V42),"",DATA!V42),"")</f>
        <v/>
      </c>
      <c r="AO42" s="190" t="str">
        <f>IFERROR(IF(ISBLANK(DATA!W42),"",DATA!W42),"")</f>
        <v/>
      </c>
      <c r="AP42" s="190" t="str">
        <f>IFERROR(IF(ISBLANK(DATA!X42),"",DATA!X42),"")</f>
        <v/>
      </c>
      <c r="AQ42" s="97" t="str">
        <f t="shared" si="19"/>
        <v/>
      </c>
      <c r="AR42" s="106" t="str">
        <f>IFERROR(IF(AQ42=0,"",ROUND((AQ42/SUM(SETTINGS!$L$14:$L$17))*SETTINGS!$L$18,0)),"")</f>
        <v/>
      </c>
      <c r="AS42" s="190" t="str">
        <f>IFERROR(IF(ISBLANK(DATA!Y42),"",DATA!Y42),"")</f>
        <v/>
      </c>
      <c r="AT42" s="106" t="str">
        <f>IFERROR(IF(ISBLANK(AS42),"",ROUND((AS42/SETTINGS!$L$19)*SETTINGS!$L$20,0)),"")</f>
        <v/>
      </c>
      <c r="AU42" s="106" t="str">
        <f t="shared" si="20"/>
        <v/>
      </c>
      <c r="AV42" s="103" t="str">
        <f t="shared" si="3"/>
        <v/>
      </c>
      <c r="AW42" s="107" t="str">
        <f t="shared" si="21"/>
        <v/>
      </c>
      <c r="AX42" s="130"/>
      <c r="AY42" s="190" t="str">
        <f>IFERROR(IF(ISBLANK(DATA!AA42),"",DATA!AA42),"")</f>
        <v/>
      </c>
      <c r="AZ42" s="190" t="str">
        <f>IFERROR(IF(ISBLANK(DATA!AB42),"",DATA!AB42),"")</f>
        <v/>
      </c>
      <c r="BA42" s="190" t="str">
        <f>IFERROR(IF(ISBLANK(DATA!AC42),"",DATA!AC42),"")</f>
        <v/>
      </c>
      <c r="BB42" s="190" t="str">
        <f>IFERROR(IF(ISBLANK(DATA!AD42),"",DATA!AD42),"")</f>
        <v/>
      </c>
      <c r="BC42" s="97" t="str">
        <f t="shared" si="22"/>
        <v/>
      </c>
      <c r="BD42" s="106" t="str">
        <f>IFERROR(IF(BC42=0,"",ROUND((BC42/SUM(SETTINGS!$L$14:$L$17))*SETTINGS!$L$18,0)),"")</f>
        <v/>
      </c>
      <c r="BE42" s="190" t="str">
        <f>IFERROR(IF(ISBLANK(DATA!AE42),"",DATA!AE42),"")</f>
        <v/>
      </c>
      <c r="BF42" s="106" t="str">
        <f>IFERROR(IF(ISBLANK(BE42),"",ROUND((BE42/SETTINGS!$L$19)*SETTINGS!$L$20,0)),"")</f>
        <v/>
      </c>
      <c r="BG42" s="106" t="str">
        <f t="shared" si="23"/>
        <v/>
      </c>
      <c r="BH42" s="103" t="str">
        <f t="shared" si="4"/>
        <v/>
      </c>
      <c r="BI42" s="108" t="str">
        <f t="shared" si="24"/>
        <v/>
      </c>
      <c r="BJ42" s="130"/>
      <c r="BK42" s="190" t="str">
        <f>IFERROR(IF(ISBLANK(DATA!AG42),"",DATA!AG42),"")</f>
        <v/>
      </c>
      <c r="BL42" s="190" t="str">
        <f>IFERROR(IF(ISBLANK(DATA!AH42),"",DATA!AH42),"")</f>
        <v/>
      </c>
      <c r="BM42" s="190" t="str">
        <f>IFERROR(IF(ISBLANK(DATA!AI42),"",DATA!AI42),"")</f>
        <v/>
      </c>
      <c r="BN42" s="190" t="str">
        <f>IFERROR(IF(ISBLANK(DATA!AJ42),"",DATA!AJ42),"")</f>
        <v/>
      </c>
      <c r="BO42" s="97" t="str">
        <f t="shared" si="25"/>
        <v/>
      </c>
      <c r="BP42" s="106" t="str">
        <f>IFERROR(IF(BO42=0,"",ROUND((BO42/SUM(SETTINGS!$L$14:$L$17))*SETTINGS!$L$18,0)),"")</f>
        <v/>
      </c>
      <c r="BQ42" s="190" t="str">
        <f>IFERROR(IF(ISBLANK(DATA!AK42),"",DATA!AK42),"")</f>
        <v/>
      </c>
      <c r="BR42" s="106" t="str">
        <f>IFERROR(IF(ISBLANK(BQ42),"",ROUND((BQ42/SETTINGS!$L$19)*SETTINGS!$L$20,0)),"")</f>
        <v/>
      </c>
      <c r="BS42" s="106" t="str">
        <f t="shared" si="26"/>
        <v/>
      </c>
      <c r="BT42" s="103" t="str">
        <f t="shared" si="5"/>
        <v/>
      </c>
      <c r="BU42" s="107" t="str">
        <f t="shared" si="27"/>
        <v/>
      </c>
      <c r="BV42" s="130"/>
      <c r="BW42" s="190" t="str">
        <f>IFERROR(IF(ISBLANK(DATA!AM42),"",DATA!AM42),"")</f>
        <v/>
      </c>
      <c r="BX42" s="190" t="str">
        <f>IFERROR(IF(ISBLANK(DATA!AN42),"",DATA!AN42),"")</f>
        <v/>
      </c>
      <c r="BY42" s="190" t="str">
        <f>IFERROR(IF(ISBLANK(DATA!AO42),"",DATA!AO42),"")</f>
        <v/>
      </c>
      <c r="BZ42" s="190" t="str">
        <f>IFERROR(IF(ISBLANK(DATA!AP42),"",DATA!AP42),"")</f>
        <v/>
      </c>
      <c r="CA42" s="97" t="str">
        <f t="shared" si="28"/>
        <v/>
      </c>
      <c r="CB42" s="106" t="str">
        <f>IFERROR(IF(CA42=0,"",ROUND((CA42/SUM(SETTINGS!$L$14:$L$17))*SETTINGS!$L$18,0)),"")</f>
        <v/>
      </c>
      <c r="CC42" s="190" t="str">
        <f>IFERROR(IF(ISBLANK(DATA!AQ42),"",DATA!AQ42),"")</f>
        <v/>
      </c>
      <c r="CD42" s="106" t="str">
        <f>IFERROR(IF(ISBLANK(CC42),"",ROUND((CC42/SETTINGS!$L$19)*SETTINGS!$L$20,0)),"")</f>
        <v/>
      </c>
      <c r="CE42" s="106" t="str">
        <f t="shared" si="29"/>
        <v/>
      </c>
      <c r="CF42" s="103" t="str">
        <f t="shared" si="6"/>
        <v/>
      </c>
      <c r="CG42" s="107" t="str">
        <f t="shared" si="30"/>
        <v/>
      </c>
      <c r="CH42" s="130"/>
      <c r="CI42" s="190" t="str">
        <f>IFERROR(IF(ISBLANK(DATA!AS42),"",DATA!AS42),"")</f>
        <v/>
      </c>
      <c r="CJ42" s="190" t="str">
        <f>IFERROR(IF(ISBLANK(DATA!AT42),"",DATA!AT42),"")</f>
        <v/>
      </c>
      <c r="CK42" s="190" t="str">
        <f>IFERROR(IF(ISBLANK(DATA!AU42),"",DATA!AU42),"")</f>
        <v/>
      </c>
      <c r="CL42" s="190" t="str">
        <f>IFERROR(IF(ISBLANK(DATA!AV42),"",DATA!AV42),"")</f>
        <v/>
      </c>
      <c r="CM42" s="97" t="str">
        <f t="shared" si="31"/>
        <v/>
      </c>
      <c r="CN42" s="106" t="str">
        <f>IFERROR(IF(CM42=0,"",ROUND((CM42/SUM(SETTINGS!$L$14:$L$17))*SETTINGS!$L$18,0)),"")</f>
        <v/>
      </c>
      <c r="CO42" s="190" t="str">
        <f>IFERROR(IF(ISBLANK(DATA!AW42),"",DATA!AW42),"")</f>
        <v/>
      </c>
      <c r="CP42" s="106" t="str">
        <f>IFERROR(IF(ISBLANK(CO42),"",ROUND((CO42/SETTINGS!$L$19)*SETTINGS!$L$20,0)),"")</f>
        <v/>
      </c>
      <c r="CQ42" s="106" t="str">
        <f t="shared" si="32"/>
        <v/>
      </c>
      <c r="CR42" s="103" t="str">
        <f t="shared" si="7"/>
        <v/>
      </c>
      <c r="CS42" s="107" t="str">
        <f t="shared" si="33"/>
        <v/>
      </c>
      <c r="CT42" s="130"/>
      <c r="CU42" s="190" t="str">
        <f>IFERROR(IF(ISBLANK(DATA!AY42),"",DATA!AY42),"")</f>
        <v/>
      </c>
      <c r="CV42" s="190" t="str">
        <f>IFERROR(IF(ISBLANK(DATA!AZ42),"",DATA!AZ42),"")</f>
        <v/>
      </c>
      <c r="CW42" s="190" t="str">
        <f>IFERROR(IF(ISBLANK(DATA!BA42),"",DATA!BA42),"")</f>
        <v/>
      </c>
      <c r="CX42" s="190" t="str">
        <f>IFERROR(IF(ISBLANK(DATA!BB42),"",DATA!BB42),"")</f>
        <v/>
      </c>
      <c r="CY42" s="97" t="str">
        <f t="shared" si="34"/>
        <v/>
      </c>
      <c r="CZ42" s="106" t="str">
        <f>IFERROR(IF(CY42=0,"",ROUND((CY42/SUM(SETTINGS!$L$14:$L$17))*SETTINGS!$L$18,0)),"")</f>
        <v/>
      </c>
      <c r="DA42" s="190" t="str">
        <f>IFERROR(IF(ISBLANK(DATA!BC42),"",DATA!BC42),"")</f>
        <v/>
      </c>
      <c r="DB42" s="106" t="str">
        <f>IFERROR(IF(ISBLANK(DA42),"",ROUND((DA42/SETTINGS!$L$19)*SETTINGS!$L$20,0)),"")</f>
        <v/>
      </c>
      <c r="DC42" s="106" t="str">
        <f t="shared" si="35"/>
        <v/>
      </c>
      <c r="DD42" s="103" t="str">
        <f t="shared" si="8"/>
        <v/>
      </c>
      <c r="DE42" s="107" t="str">
        <f t="shared" si="36"/>
        <v/>
      </c>
      <c r="DF42" s="103" t="str">
        <f t="shared" si="9"/>
        <v/>
      </c>
      <c r="DG42" s="103" t="str">
        <f>IFERROR(IF(AND(K42,W42,AI42,AU42,BG42,BS42,CE42,CQ42,DC42)="","",SUM(K42,W42,AI42,AU42,LARGE((BG42,BS42,CE42,CQ42,DC42),{1,2}))),"")</f>
        <v/>
      </c>
      <c r="DH42" s="103" t="str">
        <f>IFERROR(IF(AND(M42,Y42,AK42,AW42,,BI42,BU42,CG42,CS42,DE42)="","",SUM(M42,Y42,AK42,AW42,SMALL((BI42,BU42,CG42,CS42,DE42),{1,2}))),"")</f>
        <v/>
      </c>
      <c r="DI42" s="109" t="str">
        <f>IFERROR(IF(ISBLANK($D42),"",pos&amp;IF(AND(MOD(ABS(pos),100)&gt;10,MOD(ABS(pos),100)&lt;14),"th",CHOOSE(MOD(ABS(pos),10)+1,"th","st","nd","rd","th","th","th","th","th","th"))),"")</f>
        <v/>
      </c>
      <c r="DJ42" s="62">
        <f>ROWS($B$12:$B42)</f>
        <v>31</v>
      </c>
      <c r="DK42" s="62" t="str">
        <f>IF($B42=REPORT_CARD!$M$12,$DJ42,"")</f>
        <v/>
      </c>
      <c r="DL42" s="62"/>
      <c r="DM42" s="186"/>
    </row>
    <row r="43" spans="1:117" ht="19.5" customHeight="1">
      <c r="A43" s="187" t="str">
        <f>IFERROR(IF(ISBLANK(DATA!$A43),"",DATA!$A43),"")</f>
        <v/>
      </c>
      <c r="B43" s="187" t="str">
        <f>IFERROR(IF(ISBLANK(DATA!$B43),"",DATA!$B43),"")</f>
        <v/>
      </c>
      <c r="C43" s="190" t="str">
        <f>IFERROR(IF(ISBLANK(DATA!C43),"",DATA!C43),"")</f>
        <v/>
      </c>
      <c r="D43" s="190" t="str">
        <f>IFERROR(IF(ISBLANK(DATA!D43),"",DATA!D43),"")</f>
        <v/>
      </c>
      <c r="E43" s="190" t="str">
        <f>IFERROR(IF(ISBLANK(DATA!E43),"",DATA!E43),"")</f>
        <v/>
      </c>
      <c r="F43" s="190" t="str">
        <f>IFERROR(IF(ISBLANK(DATA!F43),"",DATA!F43),"")</f>
        <v/>
      </c>
      <c r="G43" s="97" t="str">
        <f t="shared" si="37"/>
        <v/>
      </c>
      <c r="H43" s="106" t="str">
        <f>IFERROR(IF(G43=0,"",ROUND((G43/SUM(SETTINGS!$L$14:$L$17))*SETTINGS!$L$18,0)),"")</f>
        <v/>
      </c>
      <c r="I43" s="190" t="str">
        <f>IFERROR(IF(ISBLANK(DATA!G43),"",DATA!G43),"")</f>
        <v/>
      </c>
      <c r="J43" s="106" t="str">
        <f>IFERROR(IF(ISBLANK(I43),"",ROUND((I43/SETTINGS!$L$19)*SETTINGS!$L$20,0)),"")</f>
        <v/>
      </c>
      <c r="K43" s="106" t="str">
        <f t="shared" si="10"/>
        <v/>
      </c>
      <c r="L43" s="103" t="str">
        <f t="shared" si="0"/>
        <v/>
      </c>
      <c r="M43" s="107" t="str">
        <f t="shared" si="11"/>
        <v/>
      </c>
      <c r="N43" s="136"/>
      <c r="O43" s="190" t="str">
        <f>IFERROR(IF(ISBLANK(DATA!I43),"",DATA!I43),"")</f>
        <v/>
      </c>
      <c r="P43" s="190" t="str">
        <f>IFERROR(IF(ISBLANK(DATA!J43),"",DATA!J43),"")</f>
        <v/>
      </c>
      <c r="Q43" s="190" t="str">
        <f>IFERROR(IF(ISBLANK(DATA!K43),"",DATA!K43),"")</f>
        <v/>
      </c>
      <c r="R43" s="190" t="str">
        <f>IFERROR(IF(ISBLANK(DATA!L43),"",DATA!L43),"")</f>
        <v/>
      </c>
      <c r="S43" s="97" t="str">
        <f t="shared" si="12"/>
        <v/>
      </c>
      <c r="T43" s="106" t="str">
        <f>IFERROR(IF(S43=0,"",ROUND((S43/SUM(SETTINGS!$L$14:$L$17))*SETTINGS!$L$18,0)),"")</f>
        <v/>
      </c>
      <c r="U43" s="190" t="str">
        <f>IFERROR(IF(ISBLANK(DATA!M43),"",DATA!M43),"")</f>
        <v/>
      </c>
      <c r="V43" s="106" t="str">
        <f>IFERROR(IF(ISBLANK(U43),"",ROUND((U43/SETTINGS!$L$19)*SETTINGS!$L$20,0)),"")</f>
        <v/>
      </c>
      <c r="W43" s="106" t="str">
        <f t="shared" si="13"/>
        <v/>
      </c>
      <c r="X43" s="103" t="str">
        <f t="shared" si="14"/>
        <v/>
      </c>
      <c r="Y43" s="107" t="str">
        <f t="shared" si="15"/>
        <v/>
      </c>
      <c r="Z43" s="130"/>
      <c r="AA43" s="190" t="str">
        <f>IFERROR(IF(ISBLANK(DATA!O43),"",DATA!O43),"")</f>
        <v/>
      </c>
      <c r="AB43" s="190" t="str">
        <f>IFERROR(IF(ISBLANK(DATA!P43),"",DATA!P43),"")</f>
        <v/>
      </c>
      <c r="AC43" s="190" t="str">
        <f>IFERROR(IF(ISBLANK(DATA!Q43),"",DATA!Q43),"")</f>
        <v/>
      </c>
      <c r="AD43" s="190" t="str">
        <f>IFERROR(IF(ISBLANK(DATA!R43),"",DATA!R43),"")</f>
        <v/>
      </c>
      <c r="AE43" s="97" t="str">
        <f t="shared" si="16"/>
        <v/>
      </c>
      <c r="AF43" s="106" t="str">
        <f>IFERROR(IF(AE43=0,"",ROUND((AE43/SUM(SETTINGS!$L$14:$L$17))*SETTINGS!$L$18,0)),"")</f>
        <v/>
      </c>
      <c r="AG43" s="190" t="str">
        <f>IFERROR(IF(ISBLANK(DATA!S43),"",DATA!S43),"")</f>
        <v/>
      </c>
      <c r="AH43" s="106" t="str">
        <f>IFERROR(IF(ISBLANK(AG43),"",ROUND((AG43/SETTINGS!$L$19)*SETTINGS!$L$20,0)),"")</f>
        <v/>
      </c>
      <c r="AI43" s="106" t="str">
        <f t="shared" si="17"/>
        <v/>
      </c>
      <c r="AJ43" s="103" t="str">
        <f t="shared" si="2"/>
        <v/>
      </c>
      <c r="AK43" s="108" t="str">
        <f t="shared" si="18"/>
        <v/>
      </c>
      <c r="AL43" s="130"/>
      <c r="AM43" s="190" t="str">
        <f>IFERROR(IF(ISBLANK(DATA!U43),"",DATA!U43),"")</f>
        <v/>
      </c>
      <c r="AN43" s="190" t="str">
        <f>IFERROR(IF(ISBLANK(DATA!V43),"",DATA!V43),"")</f>
        <v/>
      </c>
      <c r="AO43" s="190" t="str">
        <f>IFERROR(IF(ISBLANK(DATA!W43),"",DATA!W43),"")</f>
        <v/>
      </c>
      <c r="AP43" s="190" t="str">
        <f>IFERROR(IF(ISBLANK(DATA!X43),"",DATA!X43),"")</f>
        <v/>
      </c>
      <c r="AQ43" s="97" t="str">
        <f t="shared" si="19"/>
        <v/>
      </c>
      <c r="AR43" s="106" t="str">
        <f>IFERROR(IF(AQ43=0,"",ROUND((AQ43/SUM(SETTINGS!$L$14:$L$17))*SETTINGS!$L$18,0)),"")</f>
        <v/>
      </c>
      <c r="AS43" s="190" t="str">
        <f>IFERROR(IF(ISBLANK(DATA!Y43),"",DATA!Y43),"")</f>
        <v/>
      </c>
      <c r="AT43" s="106" t="str">
        <f>IFERROR(IF(ISBLANK(AS43),"",ROUND((AS43/SETTINGS!$L$19)*SETTINGS!$L$20,0)),"")</f>
        <v/>
      </c>
      <c r="AU43" s="106" t="str">
        <f t="shared" si="20"/>
        <v/>
      </c>
      <c r="AV43" s="103" t="str">
        <f t="shared" si="3"/>
        <v/>
      </c>
      <c r="AW43" s="107" t="str">
        <f t="shared" si="21"/>
        <v/>
      </c>
      <c r="AX43" s="130"/>
      <c r="AY43" s="190" t="str">
        <f>IFERROR(IF(ISBLANK(DATA!AA43),"",DATA!AA43),"")</f>
        <v/>
      </c>
      <c r="AZ43" s="190" t="str">
        <f>IFERROR(IF(ISBLANK(DATA!AB43),"",DATA!AB43),"")</f>
        <v/>
      </c>
      <c r="BA43" s="190" t="str">
        <f>IFERROR(IF(ISBLANK(DATA!AC43),"",DATA!AC43),"")</f>
        <v/>
      </c>
      <c r="BB43" s="190" t="str">
        <f>IFERROR(IF(ISBLANK(DATA!AD43),"",DATA!AD43),"")</f>
        <v/>
      </c>
      <c r="BC43" s="97" t="str">
        <f t="shared" si="22"/>
        <v/>
      </c>
      <c r="BD43" s="106" t="str">
        <f>IFERROR(IF(BC43=0,"",ROUND((BC43/SUM(SETTINGS!$L$14:$L$17))*SETTINGS!$L$18,0)),"")</f>
        <v/>
      </c>
      <c r="BE43" s="190" t="str">
        <f>IFERROR(IF(ISBLANK(DATA!AE43),"",DATA!AE43),"")</f>
        <v/>
      </c>
      <c r="BF43" s="106" t="str">
        <f>IFERROR(IF(ISBLANK(BE43),"",ROUND((BE43/SETTINGS!$L$19)*SETTINGS!$L$20,0)),"")</f>
        <v/>
      </c>
      <c r="BG43" s="106" t="str">
        <f t="shared" si="23"/>
        <v/>
      </c>
      <c r="BH43" s="103" t="str">
        <f t="shared" si="4"/>
        <v/>
      </c>
      <c r="BI43" s="108" t="str">
        <f t="shared" si="24"/>
        <v/>
      </c>
      <c r="BJ43" s="130"/>
      <c r="BK43" s="190" t="str">
        <f>IFERROR(IF(ISBLANK(DATA!AG43),"",DATA!AG43),"")</f>
        <v/>
      </c>
      <c r="BL43" s="190" t="str">
        <f>IFERROR(IF(ISBLANK(DATA!AH43),"",DATA!AH43),"")</f>
        <v/>
      </c>
      <c r="BM43" s="190" t="str">
        <f>IFERROR(IF(ISBLANK(DATA!AI43),"",DATA!AI43),"")</f>
        <v/>
      </c>
      <c r="BN43" s="190" t="str">
        <f>IFERROR(IF(ISBLANK(DATA!AJ43),"",DATA!AJ43),"")</f>
        <v/>
      </c>
      <c r="BO43" s="97" t="str">
        <f t="shared" si="25"/>
        <v/>
      </c>
      <c r="BP43" s="106" t="str">
        <f>IFERROR(IF(BO43=0,"",ROUND((BO43/SUM(SETTINGS!$L$14:$L$17))*SETTINGS!$L$18,0)),"")</f>
        <v/>
      </c>
      <c r="BQ43" s="190" t="str">
        <f>IFERROR(IF(ISBLANK(DATA!AK43),"",DATA!AK43),"")</f>
        <v/>
      </c>
      <c r="BR43" s="106" t="str">
        <f>IFERROR(IF(ISBLANK(BQ43),"",ROUND((BQ43/SETTINGS!$L$19)*SETTINGS!$L$20,0)),"")</f>
        <v/>
      </c>
      <c r="BS43" s="106" t="str">
        <f t="shared" si="26"/>
        <v/>
      </c>
      <c r="BT43" s="103" t="str">
        <f t="shared" si="5"/>
        <v/>
      </c>
      <c r="BU43" s="107" t="str">
        <f t="shared" si="27"/>
        <v/>
      </c>
      <c r="BV43" s="130"/>
      <c r="BW43" s="190" t="str">
        <f>IFERROR(IF(ISBLANK(DATA!AM43),"",DATA!AM43),"")</f>
        <v/>
      </c>
      <c r="BX43" s="190" t="str">
        <f>IFERROR(IF(ISBLANK(DATA!AN43),"",DATA!AN43),"")</f>
        <v/>
      </c>
      <c r="BY43" s="190" t="str">
        <f>IFERROR(IF(ISBLANK(DATA!AO43),"",DATA!AO43),"")</f>
        <v/>
      </c>
      <c r="BZ43" s="190" t="str">
        <f>IFERROR(IF(ISBLANK(DATA!AP43),"",DATA!AP43),"")</f>
        <v/>
      </c>
      <c r="CA43" s="97" t="str">
        <f t="shared" si="28"/>
        <v/>
      </c>
      <c r="CB43" s="106" t="str">
        <f>IFERROR(IF(CA43=0,"",ROUND((CA43/SUM(SETTINGS!$L$14:$L$17))*SETTINGS!$L$18,0)),"")</f>
        <v/>
      </c>
      <c r="CC43" s="190" t="str">
        <f>IFERROR(IF(ISBLANK(DATA!AQ43),"",DATA!AQ43),"")</f>
        <v/>
      </c>
      <c r="CD43" s="106" t="str">
        <f>IFERROR(IF(ISBLANK(CC43),"",ROUND((CC43/SETTINGS!$L$19)*SETTINGS!$L$20,0)),"")</f>
        <v/>
      </c>
      <c r="CE43" s="106" t="str">
        <f t="shared" si="29"/>
        <v/>
      </c>
      <c r="CF43" s="103" t="str">
        <f t="shared" si="6"/>
        <v/>
      </c>
      <c r="CG43" s="107" t="str">
        <f t="shared" si="30"/>
        <v/>
      </c>
      <c r="CH43" s="130"/>
      <c r="CI43" s="190" t="str">
        <f>IFERROR(IF(ISBLANK(DATA!AS43),"",DATA!AS43),"")</f>
        <v/>
      </c>
      <c r="CJ43" s="190" t="str">
        <f>IFERROR(IF(ISBLANK(DATA!AT43),"",DATA!AT43),"")</f>
        <v/>
      </c>
      <c r="CK43" s="190" t="str">
        <f>IFERROR(IF(ISBLANK(DATA!AU43),"",DATA!AU43),"")</f>
        <v/>
      </c>
      <c r="CL43" s="190" t="str">
        <f>IFERROR(IF(ISBLANK(DATA!AV43),"",DATA!AV43),"")</f>
        <v/>
      </c>
      <c r="CM43" s="97" t="str">
        <f t="shared" si="31"/>
        <v/>
      </c>
      <c r="CN43" s="106" t="str">
        <f>IFERROR(IF(CM43=0,"",ROUND((CM43/SUM(SETTINGS!$L$14:$L$17))*SETTINGS!$L$18,0)),"")</f>
        <v/>
      </c>
      <c r="CO43" s="190" t="str">
        <f>IFERROR(IF(ISBLANK(DATA!AW43),"",DATA!AW43),"")</f>
        <v/>
      </c>
      <c r="CP43" s="106" t="str">
        <f>IFERROR(IF(ISBLANK(CO43),"",ROUND((CO43/SETTINGS!$L$19)*SETTINGS!$L$20,0)),"")</f>
        <v/>
      </c>
      <c r="CQ43" s="106" t="str">
        <f t="shared" si="32"/>
        <v/>
      </c>
      <c r="CR43" s="103" t="str">
        <f t="shared" si="7"/>
        <v/>
      </c>
      <c r="CS43" s="107" t="str">
        <f t="shared" si="33"/>
        <v/>
      </c>
      <c r="CT43" s="130"/>
      <c r="CU43" s="190" t="str">
        <f>IFERROR(IF(ISBLANK(DATA!AY43),"",DATA!AY43),"")</f>
        <v/>
      </c>
      <c r="CV43" s="190" t="str">
        <f>IFERROR(IF(ISBLANK(DATA!AZ43),"",DATA!AZ43),"")</f>
        <v/>
      </c>
      <c r="CW43" s="190" t="str">
        <f>IFERROR(IF(ISBLANK(DATA!BA43),"",DATA!BA43),"")</f>
        <v/>
      </c>
      <c r="CX43" s="190" t="str">
        <f>IFERROR(IF(ISBLANK(DATA!BB43),"",DATA!BB43),"")</f>
        <v/>
      </c>
      <c r="CY43" s="97" t="str">
        <f t="shared" si="34"/>
        <v/>
      </c>
      <c r="CZ43" s="106" t="str">
        <f>IFERROR(IF(CY43=0,"",ROUND((CY43/SUM(SETTINGS!$L$14:$L$17))*SETTINGS!$L$18,0)),"")</f>
        <v/>
      </c>
      <c r="DA43" s="190" t="str">
        <f>IFERROR(IF(ISBLANK(DATA!BC43),"",DATA!BC43),"")</f>
        <v/>
      </c>
      <c r="DB43" s="106" t="str">
        <f>IFERROR(IF(ISBLANK(DA43),"",ROUND((DA43/SETTINGS!$L$19)*SETTINGS!$L$20,0)),"")</f>
        <v/>
      </c>
      <c r="DC43" s="106" t="str">
        <f t="shared" si="35"/>
        <v/>
      </c>
      <c r="DD43" s="103" t="str">
        <f t="shared" si="8"/>
        <v/>
      </c>
      <c r="DE43" s="107" t="str">
        <f t="shared" si="36"/>
        <v/>
      </c>
      <c r="DF43" s="103" t="str">
        <f t="shared" si="9"/>
        <v/>
      </c>
      <c r="DG43" s="103" t="str">
        <f>IFERROR(IF(AND(K43,W43,AI43,AU43,BG43,BS43,CE43,CQ43,DC43)="","",SUM(K43,W43,AI43,AU43,LARGE((BG43,BS43,CE43,CQ43,DC43),{1,2}))),"")</f>
        <v/>
      </c>
      <c r="DH43" s="103" t="str">
        <f>IFERROR(IF(AND(M43,Y43,AK43,AW43,,BI43,BU43,CG43,CS43,DE43)="","",SUM(M43,Y43,AK43,AW43,SMALL((BI43,BU43,CG43,CS43,DE43),{1,2}))),"")</f>
        <v/>
      </c>
      <c r="DI43" s="109" t="str">
        <f>IFERROR(IF(ISBLANK($D43),"",pos&amp;IF(AND(MOD(ABS(pos),100)&gt;10,MOD(ABS(pos),100)&lt;14),"th",CHOOSE(MOD(ABS(pos),10)+1,"th","st","nd","rd","th","th","th","th","th","th"))),"")</f>
        <v/>
      </c>
      <c r="DJ43" s="62">
        <f>ROWS($B$12:$B43)</f>
        <v>32</v>
      </c>
      <c r="DK43" s="62" t="str">
        <f>IF($B43=REPORT_CARD!$M$12,$DJ43,"")</f>
        <v/>
      </c>
      <c r="DL43" s="62"/>
      <c r="DM43" s="186"/>
    </row>
    <row r="44" spans="1:117" ht="19.5" customHeight="1">
      <c r="A44" s="187" t="str">
        <f>IFERROR(IF(ISBLANK(DATA!$A44),"",DATA!$A44),"")</f>
        <v/>
      </c>
      <c r="B44" s="187" t="str">
        <f>IFERROR(IF(ISBLANK(DATA!$B44),"",DATA!$B44),"")</f>
        <v/>
      </c>
      <c r="C44" s="190" t="str">
        <f>IFERROR(IF(ISBLANK(DATA!C44),"",DATA!C44),"")</f>
        <v/>
      </c>
      <c r="D44" s="190" t="str">
        <f>IFERROR(IF(ISBLANK(DATA!D44),"",DATA!D44),"")</f>
        <v/>
      </c>
      <c r="E44" s="190" t="str">
        <f>IFERROR(IF(ISBLANK(DATA!E44),"",DATA!E44),"")</f>
        <v/>
      </c>
      <c r="F44" s="190" t="str">
        <f>IFERROR(IF(ISBLANK(DATA!F44),"",DATA!F44),"")</f>
        <v/>
      </c>
      <c r="G44" s="97" t="str">
        <f t="shared" si="37"/>
        <v/>
      </c>
      <c r="H44" s="106" t="str">
        <f>IFERROR(IF(G44=0,"",ROUND((G44/SUM(SETTINGS!$L$14:$L$17))*SETTINGS!$L$18,0)),"")</f>
        <v/>
      </c>
      <c r="I44" s="190" t="str">
        <f>IFERROR(IF(ISBLANK(DATA!G44),"",DATA!G44),"")</f>
        <v/>
      </c>
      <c r="J44" s="106" t="str">
        <f>IFERROR(IF(ISBLANK(I44),"",ROUND((I44/SETTINGS!$L$19)*SETTINGS!$L$20,0)),"")</f>
        <v/>
      </c>
      <c r="K44" s="106" t="str">
        <f t="shared" si="10"/>
        <v/>
      </c>
      <c r="L44" s="103" t="str">
        <f t="shared" si="0"/>
        <v/>
      </c>
      <c r="M44" s="107" t="str">
        <f t="shared" si="11"/>
        <v/>
      </c>
      <c r="N44" s="136"/>
      <c r="O44" s="190" t="str">
        <f>IFERROR(IF(ISBLANK(DATA!I44),"",DATA!I44),"")</f>
        <v/>
      </c>
      <c r="P44" s="190" t="str">
        <f>IFERROR(IF(ISBLANK(DATA!J44),"",DATA!J44),"")</f>
        <v/>
      </c>
      <c r="Q44" s="190" t="str">
        <f>IFERROR(IF(ISBLANK(DATA!K44),"",DATA!K44),"")</f>
        <v/>
      </c>
      <c r="R44" s="190" t="str">
        <f>IFERROR(IF(ISBLANK(DATA!L44),"",DATA!L44),"")</f>
        <v/>
      </c>
      <c r="S44" s="97" t="str">
        <f t="shared" ref="S44:S75" si="38">IFERROR(IF(AND(O44:R44)="","",SUM(O44:R44)),"")</f>
        <v/>
      </c>
      <c r="T44" s="106" t="str">
        <f>IFERROR(IF(S44=0,"",ROUND((S44/SUM(SETTINGS!$L$14:$L$17))*SETTINGS!$L$18,0)),"")</f>
        <v/>
      </c>
      <c r="U44" s="190" t="str">
        <f>IFERROR(IF(ISBLANK(DATA!M44),"",DATA!M44),"")</f>
        <v/>
      </c>
      <c r="V44" s="106" t="str">
        <f>IFERROR(IF(ISBLANK(U44),"",ROUND((U44/SETTINGS!$L$19)*SETTINGS!$L$20,0)),"")</f>
        <v/>
      </c>
      <c r="W44" s="106" t="str">
        <f t="shared" si="13"/>
        <v/>
      </c>
      <c r="X44" s="103" t="str">
        <f t="shared" si="14"/>
        <v/>
      </c>
      <c r="Y44" s="107" t="str">
        <f t="shared" si="15"/>
        <v/>
      </c>
      <c r="Z44" s="130"/>
      <c r="AA44" s="190" t="str">
        <f>IFERROR(IF(ISBLANK(DATA!O44),"",DATA!O44),"")</f>
        <v/>
      </c>
      <c r="AB44" s="190" t="str">
        <f>IFERROR(IF(ISBLANK(DATA!P44),"",DATA!P44),"")</f>
        <v/>
      </c>
      <c r="AC44" s="190" t="str">
        <f>IFERROR(IF(ISBLANK(DATA!Q44),"",DATA!Q44),"")</f>
        <v/>
      </c>
      <c r="AD44" s="190" t="str">
        <f>IFERROR(IF(ISBLANK(DATA!R44),"",DATA!R44),"")</f>
        <v/>
      </c>
      <c r="AE44" s="97" t="str">
        <f t="shared" ref="AE44:AE75" si="39">IFERROR(IF(AND(AA44:AD44)="","",SUM(AA44:AD44)),"")</f>
        <v/>
      </c>
      <c r="AF44" s="106" t="str">
        <f>IFERROR(IF(AE44=0,"",ROUND((AE44/SUM(SETTINGS!$L$14:$L$17))*SETTINGS!$L$18,0)),"")</f>
        <v/>
      </c>
      <c r="AG44" s="190" t="str">
        <f>IFERROR(IF(ISBLANK(DATA!S44),"",DATA!S44),"")</f>
        <v/>
      </c>
      <c r="AH44" s="106" t="str">
        <f>IFERROR(IF(ISBLANK(AG44),"",ROUND((AG44/SETTINGS!$L$19)*SETTINGS!$L$20,0)),"")</f>
        <v/>
      </c>
      <c r="AI44" s="106" t="str">
        <f t="shared" si="17"/>
        <v/>
      </c>
      <c r="AJ44" s="103" t="str">
        <f t="shared" si="2"/>
        <v/>
      </c>
      <c r="AK44" s="108" t="str">
        <f t="shared" si="18"/>
        <v/>
      </c>
      <c r="AL44" s="130"/>
      <c r="AM44" s="190" t="str">
        <f>IFERROR(IF(ISBLANK(DATA!U44),"",DATA!U44),"")</f>
        <v/>
      </c>
      <c r="AN44" s="190" t="str">
        <f>IFERROR(IF(ISBLANK(DATA!V44),"",DATA!V44),"")</f>
        <v/>
      </c>
      <c r="AO44" s="190" t="str">
        <f>IFERROR(IF(ISBLANK(DATA!W44),"",DATA!W44),"")</f>
        <v/>
      </c>
      <c r="AP44" s="190" t="str">
        <f>IFERROR(IF(ISBLANK(DATA!X44),"",DATA!X44),"")</f>
        <v/>
      </c>
      <c r="AQ44" s="97" t="str">
        <f t="shared" si="19"/>
        <v/>
      </c>
      <c r="AR44" s="106" t="str">
        <f>IFERROR(IF(AQ44=0,"",ROUND((AQ44/SUM(SETTINGS!$L$14:$L$17))*SETTINGS!$L$18,0)),"")</f>
        <v/>
      </c>
      <c r="AS44" s="190" t="str">
        <f>IFERROR(IF(ISBLANK(DATA!Y44),"",DATA!Y44),"")</f>
        <v/>
      </c>
      <c r="AT44" s="106" t="str">
        <f>IFERROR(IF(ISBLANK(AS44),"",ROUND((AS44/SETTINGS!$L$19)*SETTINGS!$L$20,0)),"")</f>
        <v/>
      </c>
      <c r="AU44" s="106" t="str">
        <f t="shared" si="20"/>
        <v/>
      </c>
      <c r="AV44" s="103" t="str">
        <f t="shared" si="3"/>
        <v/>
      </c>
      <c r="AW44" s="107" t="str">
        <f t="shared" si="21"/>
        <v/>
      </c>
      <c r="AX44" s="130"/>
      <c r="AY44" s="190" t="str">
        <f>IFERROR(IF(ISBLANK(DATA!AA44),"",DATA!AA44),"")</f>
        <v/>
      </c>
      <c r="AZ44" s="190" t="str">
        <f>IFERROR(IF(ISBLANK(DATA!AB44),"",DATA!AB44),"")</f>
        <v/>
      </c>
      <c r="BA44" s="190" t="str">
        <f>IFERROR(IF(ISBLANK(DATA!AC44),"",DATA!AC44),"")</f>
        <v/>
      </c>
      <c r="BB44" s="190" t="str">
        <f>IFERROR(IF(ISBLANK(DATA!AD44),"",DATA!AD44),"")</f>
        <v/>
      </c>
      <c r="BC44" s="97" t="str">
        <f t="shared" si="22"/>
        <v/>
      </c>
      <c r="BD44" s="106" t="str">
        <f>IFERROR(IF(BC44=0,"",ROUND((BC44/SUM(SETTINGS!$L$14:$L$17))*SETTINGS!$L$18,0)),"")</f>
        <v/>
      </c>
      <c r="BE44" s="190" t="str">
        <f>IFERROR(IF(ISBLANK(DATA!AE44),"",DATA!AE44),"")</f>
        <v/>
      </c>
      <c r="BF44" s="106" t="str">
        <f>IFERROR(IF(ISBLANK(BE44),"",ROUND((BE44/SETTINGS!$L$19)*SETTINGS!$L$20,0)),"")</f>
        <v/>
      </c>
      <c r="BG44" s="106" t="str">
        <f t="shared" si="23"/>
        <v/>
      </c>
      <c r="BH44" s="103" t="str">
        <f t="shared" si="4"/>
        <v/>
      </c>
      <c r="BI44" s="108" t="str">
        <f t="shared" si="24"/>
        <v/>
      </c>
      <c r="BJ44" s="130"/>
      <c r="BK44" s="190" t="str">
        <f>IFERROR(IF(ISBLANK(DATA!AG44),"",DATA!AG44),"")</f>
        <v/>
      </c>
      <c r="BL44" s="190" t="str">
        <f>IFERROR(IF(ISBLANK(DATA!AH44),"",DATA!AH44),"")</f>
        <v/>
      </c>
      <c r="BM44" s="190" t="str">
        <f>IFERROR(IF(ISBLANK(DATA!AI44),"",DATA!AI44),"")</f>
        <v/>
      </c>
      <c r="BN44" s="190" t="str">
        <f>IFERROR(IF(ISBLANK(DATA!AJ44),"",DATA!AJ44),"")</f>
        <v/>
      </c>
      <c r="BO44" s="97" t="str">
        <f t="shared" si="25"/>
        <v/>
      </c>
      <c r="BP44" s="106" t="str">
        <f>IFERROR(IF(BO44=0,"",ROUND((BO44/SUM(SETTINGS!$L$14:$L$17))*SETTINGS!$L$18,0)),"")</f>
        <v/>
      </c>
      <c r="BQ44" s="190" t="str">
        <f>IFERROR(IF(ISBLANK(DATA!AK44),"",DATA!AK44),"")</f>
        <v/>
      </c>
      <c r="BR44" s="106" t="str">
        <f>IFERROR(IF(ISBLANK(BQ44),"",ROUND((BQ44/SETTINGS!$L$19)*SETTINGS!$L$20,0)),"")</f>
        <v/>
      </c>
      <c r="BS44" s="106" t="str">
        <f t="shared" si="26"/>
        <v/>
      </c>
      <c r="BT44" s="103" t="str">
        <f t="shared" si="5"/>
        <v/>
      </c>
      <c r="BU44" s="107" t="str">
        <f t="shared" si="27"/>
        <v/>
      </c>
      <c r="BV44" s="130"/>
      <c r="BW44" s="190" t="str">
        <f>IFERROR(IF(ISBLANK(DATA!AM44),"",DATA!AM44),"")</f>
        <v/>
      </c>
      <c r="BX44" s="190" t="str">
        <f>IFERROR(IF(ISBLANK(DATA!AN44),"",DATA!AN44),"")</f>
        <v/>
      </c>
      <c r="BY44" s="190" t="str">
        <f>IFERROR(IF(ISBLANK(DATA!AO44),"",DATA!AO44),"")</f>
        <v/>
      </c>
      <c r="BZ44" s="190" t="str">
        <f>IFERROR(IF(ISBLANK(DATA!AP44),"",DATA!AP44),"")</f>
        <v/>
      </c>
      <c r="CA44" s="97" t="str">
        <f t="shared" si="28"/>
        <v/>
      </c>
      <c r="CB44" s="106" t="str">
        <f>IFERROR(IF(CA44=0,"",ROUND((CA44/SUM(SETTINGS!$L$14:$L$17))*SETTINGS!$L$18,0)),"")</f>
        <v/>
      </c>
      <c r="CC44" s="190" t="str">
        <f>IFERROR(IF(ISBLANK(DATA!AQ44),"",DATA!AQ44),"")</f>
        <v/>
      </c>
      <c r="CD44" s="106" t="str">
        <f>IFERROR(IF(ISBLANK(CC44),"",ROUND((CC44/SETTINGS!$L$19)*SETTINGS!$L$20,0)),"")</f>
        <v/>
      </c>
      <c r="CE44" s="106" t="str">
        <f t="shared" si="29"/>
        <v/>
      </c>
      <c r="CF44" s="103" t="str">
        <f t="shared" si="6"/>
        <v/>
      </c>
      <c r="CG44" s="107" t="str">
        <f t="shared" si="30"/>
        <v/>
      </c>
      <c r="CH44" s="130"/>
      <c r="CI44" s="190" t="str">
        <f>IFERROR(IF(ISBLANK(DATA!AS44),"",DATA!AS44),"")</f>
        <v/>
      </c>
      <c r="CJ44" s="190" t="str">
        <f>IFERROR(IF(ISBLANK(DATA!AT44),"",DATA!AT44),"")</f>
        <v/>
      </c>
      <c r="CK44" s="190" t="str">
        <f>IFERROR(IF(ISBLANK(DATA!AU44),"",DATA!AU44),"")</f>
        <v/>
      </c>
      <c r="CL44" s="190" t="str">
        <f>IFERROR(IF(ISBLANK(DATA!AV44),"",DATA!AV44),"")</f>
        <v/>
      </c>
      <c r="CM44" s="97" t="str">
        <f t="shared" si="31"/>
        <v/>
      </c>
      <c r="CN44" s="106" t="str">
        <f>IFERROR(IF(CM44=0,"",ROUND((CM44/SUM(SETTINGS!$L$14:$L$17))*SETTINGS!$L$18,0)),"")</f>
        <v/>
      </c>
      <c r="CO44" s="190" t="str">
        <f>IFERROR(IF(ISBLANK(DATA!AW44),"",DATA!AW44),"")</f>
        <v/>
      </c>
      <c r="CP44" s="106" t="str">
        <f>IFERROR(IF(ISBLANK(CO44),"",ROUND((CO44/SETTINGS!$L$19)*SETTINGS!$L$20,0)),"")</f>
        <v/>
      </c>
      <c r="CQ44" s="106" t="str">
        <f t="shared" si="32"/>
        <v/>
      </c>
      <c r="CR44" s="103" t="str">
        <f t="shared" si="7"/>
        <v/>
      </c>
      <c r="CS44" s="107" t="str">
        <f t="shared" si="33"/>
        <v/>
      </c>
      <c r="CT44" s="130"/>
      <c r="CU44" s="190" t="str">
        <f>IFERROR(IF(ISBLANK(DATA!AY44),"",DATA!AY44),"")</f>
        <v/>
      </c>
      <c r="CV44" s="190" t="str">
        <f>IFERROR(IF(ISBLANK(DATA!AZ44),"",DATA!AZ44),"")</f>
        <v/>
      </c>
      <c r="CW44" s="190" t="str">
        <f>IFERROR(IF(ISBLANK(DATA!BA44),"",DATA!BA44),"")</f>
        <v/>
      </c>
      <c r="CX44" s="190" t="str">
        <f>IFERROR(IF(ISBLANK(DATA!BB44),"",DATA!BB44),"")</f>
        <v/>
      </c>
      <c r="CY44" s="97" t="str">
        <f t="shared" si="34"/>
        <v/>
      </c>
      <c r="CZ44" s="106" t="str">
        <f>IFERROR(IF(CY44=0,"",ROUND((CY44/SUM(SETTINGS!$L$14:$L$17))*SETTINGS!$L$18,0)),"")</f>
        <v/>
      </c>
      <c r="DA44" s="190" t="str">
        <f>IFERROR(IF(ISBLANK(DATA!BC44),"",DATA!BC44),"")</f>
        <v/>
      </c>
      <c r="DB44" s="106" t="str">
        <f>IFERROR(IF(ISBLANK(DA44),"",ROUND((DA44/SETTINGS!$L$19)*SETTINGS!$L$20,0)),"")</f>
        <v/>
      </c>
      <c r="DC44" s="106" t="str">
        <f t="shared" si="35"/>
        <v/>
      </c>
      <c r="DD44" s="103" t="str">
        <f t="shared" si="8"/>
        <v/>
      </c>
      <c r="DE44" s="107" t="str">
        <f t="shared" si="36"/>
        <v/>
      </c>
      <c r="DF44" s="103" t="str">
        <f t="shared" si="9"/>
        <v/>
      </c>
      <c r="DG44" s="103" t="str">
        <f>IFERROR(IF(AND(K44,W44,AI44,AU44,BG44,BS44,CE44,CQ44,DC44)="","",SUM(K44,W44,AI44,AU44,LARGE((BG44,BS44,CE44,CQ44,DC44),{1,2}))),"")</f>
        <v/>
      </c>
      <c r="DH44" s="103" t="str">
        <f>IFERROR(IF(AND(M44,Y44,AK44,AW44,,BI44,BU44,CG44,CS44,DE44)="","",SUM(M44,Y44,AK44,AW44,SMALL((BI44,BU44,CG44,CS44,DE44),{1,2}))),"")</f>
        <v/>
      </c>
      <c r="DI44" s="109" t="str">
        <f>IFERROR(IF(ISBLANK($D44),"",pos&amp;IF(AND(MOD(ABS(pos),100)&gt;10,MOD(ABS(pos),100)&lt;14),"th",CHOOSE(MOD(ABS(pos),10)+1,"th","st","nd","rd","th","th","th","th","th","th"))),"")</f>
        <v/>
      </c>
      <c r="DJ44" s="62">
        <f>ROWS($B$12:$B44)</f>
        <v>33</v>
      </c>
      <c r="DK44" s="62" t="str">
        <f>IF($B44=REPORT_CARD!$M$12,$DJ44,"")</f>
        <v/>
      </c>
      <c r="DL44" s="62"/>
      <c r="DM44" s="186"/>
    </row>
    <row r="45" spans="1:117" ht="19.5" customHeight="1">
      <c r="A45" s="187" t="str">
        <f>IFERROR(IF(ISBLANK(DATA!$A45),"",DATA!$A45),"")</f>
        <v/>
      </c>
      <c r="B45" s="187" t="str">
        <f>IFERROR(IF(ISBLANK(DATA!$B45),"",DATA!$B45),"")</f>
        <v/>
      </c>
      <c r="C45" s="190" t="str">
        <f>IFERROR(IF(ISBLANK(DATA!C45),"",DATA!C45),"")</f>
        <v/>
      </c>
      <c r="D45" s="190" t="str">
        <f>IFERROR(IF(ISBLANK(DATA!D45),"",DATA!D45),"")</f>
        <v/>
      </c>
      <c r="E45" s="190" t="str">
        <f>IFERROR(IF(ISBLANK(DATA!E45),"",DATA!E45),"")</f>
        <v/>
      </c>
      <c r="F45" s="190" t="str">
        <f>IFERROR(IF(ISBLANK(DATA!F45),"",DATA!F45),"")</f>
        <v/>
      </c>
      <c r="G45" s="97" t="str">
        <f t="shared" si="37"/>
        <v/>
      </c>
      <c r="H45" s="106" t="str">
        <f>IFERROR(IF(G45=0,"",ROUND((G45/SUM(SETTINGS!$L$14:$L$17))*SETTINGS!$L$18,0)),"")</f>
        <v/>
      </c>
      <c r="I45" s="190" t="str">
        <f>IFERROR(IF(ISBLANK(DATA!G45),"",DATA!G45),"")</f>
        <v/>
      </c>
      <c r="J45" s="106" t="str">
        <f>IFERROR(IF(ISBLANK(I45),"",ROUND((I45/SETTINGS!$L$19)*SETTINGS!$L$20,0)),"")</f>
        <v/>
      </c>
      <c r="K45" s="106" t="str">
        <f t="shared" si="10"/>
        <v/>
      </c>
      <c r="L45" s="103" t="str">
        <f t="shared" si="0"/>
        <v/>
      </c>
      <c r="M45" s="107" t="str">
        <f t="shared" si="11"/>
        <v/>
      </c>
      <c r="N45" s="136"/>
      <c r="O45" s="190" t="str">
        <f>IFERROR(IF(ISBLANK(DATA!I45),"",DATA!I45),"")</f>
        <v/>
      </c>
      <c r="P45" s="190" t="str">
        <f>IFERROR(IF(ISBLANK(DATA!J45),"",DATA!J45),"")</f>
        <v/>
      </c>
      <c r="Q45" s="190" t="str">
        <f>IFERROR(IF(ISBLANK(DATA!K45),"",DATA!K45),"")</f>
        <v/>
      </c>
      <c r="R45" s="190" t="str">
        <f>IFERROR(IF(ISBLANK(DATA!L45),"",DATA!L45),"")</f>
        <v/>
      </c>
      <c r="S45" s="97" t="str">
        <f t="shared" si="38"/>
        <v/>
      </c>
      <c r="T45" s="106" t="str">
        <f>IFERROR(IF(S45=0,"",ROUND((S45/SUM(SETTINGS!$L$14:$L$17))*SETTINGS!$L$18,0)),"")</f>
        <v/>
      </c>
      <c r="U45" s="190" t="str">
        <f>IFERROR(IF(ISBLANK(DATA!M45),"",DATA!M45),"")</f>
        <v/>
      </c>
      <c r="V45" s="106" t="str">
        <f>IFERROR(IF(ISBLANK(U45),"",ROUND((U45/SETTINGS!$L$19)*SETTINGS!$L$20,0)),"")</f>
        <v/>
      </c>
      <c r="W45" s="106" t="str">
        <f t="shared" si="13"/>
        <v/>
      </c>
      <c r="X45" s="103" t="str">
        <f t="shared" si="14"/>
        <v/>
      </c>
      <c r="Y45" s="107" t="str">
        <f t="shared" si="15"/>
        <v/>
      </c>
      <c r="Z45" s="130"/>
      <c r="AA45" s="190" t="str">
        <f>IFERROR(IF(ISBLANK(DATA!O45),"",DATA!O45),"")</f>
        <v/>
      </c>
      <c r="AB45" s="190" t="str">
        <f>IFERROR(IF(ISBLANK(DATA!P45),"",DATA!P45),"")</f>
        <v/>
      </c>
      <c r="AC45" s="190" t="str">
        <f>IFERROR(IF(ISBLANK(DATA!Q45),"",DATA!Q45),"")</f>
        <v/>
      </c>
      <c r="AD45" s="190" t="str">
        <f>IFERROR(IF(ISBLANK(DATA!R45),"",DATA!R45),"")</f>
        <v/>
      </c>
      <c r="AE45" s="97" t="str">
        <f t="shared" si="39"/>
        <v/>
      </c>
      <c r="AF45" s="106" t="str">
        <f>IFERROR(IF(AE45=0,"",ROUND((AE45/SUM(SETTINGS!$L$14:$L$17))*SETTINGS!$L$18,0)),"")</f>
        <v/>
      </c>
      <c r="AG45" s="190" t="str">
        <f>IFERROR(IF(ISBLANK(DATA!S45),"",DATA!S45),"")</f>
        <v/>
      </c>
      <c r="AH45" s="106" t="str">
        <f>IFERROR(IF(ISBLANK(AG45),"",ROUND((AG45/SETTINGS!$L$19)*SETTINGS!$L$20,0)),"")</f>
        <v/>
      </c>
      <c r="AI45" s="106" t="str">
        <f t="shared" si="17"/>
        <v/>
      </c>
      <c r="AJ45" s="103" t="str">
        <f t="shared" si="2"/>
        <v/>
      </c>
      <c r="AK45" s="108" t="str">
        <f t="shared" si="18"/>
        <v/>
      </c>
      <c r="AL45" s="130"/>
      <c r="AM45" s="190" t="str">
        <f>IFERROR(IF(ISBLANK(DATA!U45),"",DATA!U45),"")</f>
        <v/>
      </c>
      <c r="AN45" s="190" t="str">
        <f>IFERROR(IF(ISBLANK(DATA!V45),"",DATA!V45),"")</f>
        <v/>
      </c>
      <c r="AO45" s="190" t="str">
        <f>IFERROR(IF(ISBLANK(DATA!W45),"",DATA!W45),"")</f>
        <v/>
      </c>
      <c r="AP45" s="190" t="str">
        <f>IFERROR(IF(ISBLANK(DATA!X45),"",DATA!X45),"")</f>
        <v/>
      </c>
      <c r="AQ45" s="97" t="str">
        <f t="shared" si="19"/>
        <v/>
      </c>
      <c r="AR45" s="106" t="str">
        <f>IFERROR(IF(AQ45=0,"",ROUND((AQ45/SUM(SETTINGS!$L$14:$L$17))*SETTINGS!$L$18,0)),"")</f>
        <v/>
      </c>
      <c r="AS45" s="190" t="str">
        <f>IFERROR(IF(ISBLANK(DATA!Y45),"",DATA!Y45),"")</f>
        <v/>
      </c>
      <c r="AT45" s="106" t="str">
        <f>IFERROR(IF(ISBLANK(AS45),"",ROUND((AS45/SETTINGS!$L$19)*SETTINGS!$L$20,0)),"")</f>
        <v/>
      </c>
      <c r="AU45" s="106" t="str">
        <f t="shared" si="20"/>
        <v/>
      </c>
      <c r="AV45" s="103" t="str">
        <f t="shared" si="3"/>
        <v/>
      </c>
      <c r="AW45" s="107" t="str">
        <f t="shared" si="21"/>
        <v/>
      </c>
      <c r="AX45" s="130"/>
      <c r="AY45" s="190" t="str">
        <f>IFERROR(IF(ISBLANK(DATA!AA45),"",DATA!AA45),"")</f>
        <v/>
      </c>
      <c r="AZ45" s="190" t="str">
        <f>IFERROR(IF(ISBLANK(DATA!AB45),"",DATA!AB45),"")</f>
        <v/>
      </c>
      <c r="BA45" s="190" t="str">
        <f>IFERROR(IF(ISBLANK(DATA!AC45),"",DATA!AC45),"")</f>
        <v/>
      </c>
      <c r="BB45" s="190" t="str">
        <f>IFERROR(IF(ISBLANK(DATA!AD45),"",DATA!AD45),"")</f>
        <v/>
      </c>
      <c r="BC45" s="97" t="str">
        <f t="shared" si="22"/>
        <v/>
      </c>
      <c r="BD45" s="106" t="str">
        <f>IFERROR(IF(BC45=0,"",ROUND((BC45/SUM(SETTINGS!$L$14:$L$17))*SETTINGS!$L$18,0)),"")</f>
        <v/>
      </c>
      <c r="BE45" s="190" t="str">
        <f>IFERROR(IF(ISBLANK(DATA!AE45),"",DATA!AE45),"")</f>
        <v/>
      </c>
      <c r="BF45" s="106" t="str">
        <f>IFERROR(IF(ISBLANK(BE45),"",ROUND((BE45/SETTINGS!$L$19)*SETTINGS!$L$20,0)),"")</f>
        <v/>
      </c>
      <c r="BG45" s="106" t="str">
        <f t="shared" si="23"/>
        <v/>
      </c>
      <c r="BH45" s="103" t="str">
        <f t="shared" si="4"/>
        <v/>
      </c>
      <c r="BI45" s="108" t="str">
        <f t="shared" si="24"/>
        <v/>
      </c>
      <c r="BJ45" s="130"/>
      <c r="BK45" s="190" t="str">
        <f>IFERROR(IF(ISBLANK(DATA!AG45),"",DATA!AG45),"")</f>
        <v/>
      </c>
      <c r="BL45" s="190" t="str">
        <f>IFERROR(IF(ISBLANK(DATA!AH45),"",DATA!AH45),"")</f>
        <v/>
      </c>
      <c r="BM45" s="190" t="str">
        <f>IFERROR(IF(ISBLANK(DATA!AI45),"",DATA!AI45),"")</f>
        <v/>
      </c>
      <c r="BN45" s="190" t="str">
        <f>IFERROR(IF(ISBLANK(DATA!AJ45),"",DATA!AJ45),"")</f>
        <v/>
      </c>
      <c r="BO45" s="97" t="str">
        <f t="shared" si="25"/>
        <v/>
      </c>
      <c r="BP45" s="106" t="str">
        <f>IFERROR(IF(BO45=0,"",ROUND((BO45/SUM(SETTINGS!$L$14:$L$17))*SETTINGS!$L$18,0)),"")</f>
        <v/>
      </c>
      <c r="BQ45" s="190" t="str">
        <f>IFERROR(IF(ISBLANK(DATA!AK45),"",DATA!AK45),"")</f>
        <v/>
      </c>
      <c r="BR45" s="106" t="str">
        <f>IFERROR(IF(ISBLANK(BQ45),"",ROUND((BQ45/SETTINGS!$L$19)*SETTINGS!$L$20,0)),"")</f>
        <v/>
      </c>
      <c r="BS45" s="106" t="str">
        <f t="shared" si="26"/>
        <v/>
      </c>
      <c r="BT45" s="103" t="str">
        <f t="shared" si="5"/>
        <v/>
      </c>
      <c r="BU45" s="107" t="str">
        <f t="shared" si="27"/>
        <v/>
      </c>
      <c r="BV45" s="130"/>
      <c r="BW45" s="190" t="str">
        <f>IFERROR(IF(ISBLANK(DATA!AM45),"",DATA!AM45),"")</f>
        <v/>
      </c>
      <c r="BX45" s="190" t="str">
        <f>IFERROR(IF(ISBLANK(DATA!AN45),"",DATA!AN45),"")</f>
        <v/>
      </c>
      <c r="BY45" s="190" t="str">
        <f>IFERROR(IF(ISBLANK(DATA!AO45),"",DATA!AO45),"")</f>
        <v/>
      </c>
      <c r="BZ45" s="190" t="str">
        <f>IFERROR(IF(ISBLANK(DATA!AP45),"",DATA!AP45),"")</f>
        <v/>
      </c>
      <c r="CA45" s="97" t="str">
        <f t="shared" si="28"/>
        <v/>
      </c>
      <c r="CB45" s="106" t="str">
        <f>IFERROR(IF(CA45=0,"",ROUND((CA45/SUM(SETTINGS!$L$14:$L$17))*SETTINGS!$L$18,0)),"")</f>
        <v/>
      </c>
      <c r="CC45" s="190" t="str">
        <f>IFERROR(IF(ISBLANK(DATA!AQ45),"",DATA!AQ45),"")</f>
        <v/>
      </c>
      <c r="CD45" s="106" t="str">
        <f>IFERROR(IF(ISBLANK(CC45),"",ROUND((CC45/SETTINGS!$L$19)*SETTINGS!$L$20,0)),"")</f>
        <v/>
      </c>
      <c r="CE45" s="106" t="str">
        <f t="shared" si="29"/>
        <v/>
      </c>
      <c r="CF45" s="103" t="str">
        <f t="shared" si="6"/>
        <v/>
      </c>
      <c r="CG45" s="107" t="str">
        <f t="shared" si="30"/>
        <v/>
      </c>
      <c r="CH45" s="130"/>
      <c r="CI45" s="190" t="str">
        <f>IFERROR(IF(ISBLANK(DATA!AS45),"",DATA!AS45),"")</f>
        <v/>
      </c>
      <c r="CJ45" s="190" t="str">
        <f>IFERROR(IF(ISBLANK(DATA!AT45),"",DATA!AT45),"")</f>
        <v/>
      </c>
      <c r="CK45" s="190" t="str">
        <f>IFERROR(IF(ISBLANK(DATA!AU45),"",DATA!AU45),"")</f>
        <v/>
      </c>
      <c r="CL45" s="190" t="str">
        <f>IFERROR(IF(ISBLANK(DATA!AV45),"",DATA!AV45),"")</f>
        <v/>
      </c>
      <c r="CM45" s="97" t="str">
        <f t="shared" si="31"/>
        <v/>
      </c>
      <c r="CN45" s="106" t="str">
        <f>IFERROR(IF(CM45=0,"",ROUND((CM45/SUM(SETTINGS!$L$14:$L$17))*SETTINGS!$L$18,0)),"")</f>
        <v/>
      </c>
      <c r="CO45" s="190" t="str">
        <f>IFERROR(IF(ISBLANK(DATA!AW45),"",DATA!AW45),"")</f>
        <v/>
      </c>
      <c r="CP45" s="106" t="str">
        <f>IFERROR(IF(ISBLANK(CO45),"",ROUND((CO45/SETTINGS!$L$19)*SETTINGS!$L$20,0)),"")</f>
        <v/>
      </c>
      <c r="CQ45" s="106" t="str">
        <f t="shared" si="32"/>
        <v/>
      </c>
      <c r="CR45" s="103" t="str">
        <f t="shared" si="7"/>
        <v/>
      </c>
      <c r="CS45" s="107" t="str">
        <f t="shared" si="33"/>
        <v/>
      </c>
      <c r="CT45" s="130"/>
      <c r="CU45" s="190" t="str">
        <f>IFERROR(IF(ISBLANK(DATA!AY45),"",DATA!AY45),"")</f>
        <v/>
      </c>
      <c r="CV45" s="190" t="str">
        <f>IFERROR(IF(ISBLANK(DATA!AZ45),"",DATA!AZ45),"")</f>
        <v/>
      </c>
      <c r="CW45" s="190" t="str">
        <f>IFERROR(IF(ISBLANK(DATA!BA45),"",DATA!BA45),"")</f>
        <v/>
      </c>
      <c r="CX45" s="190" t="str">
        <f>IFERROR(IF(ISBLANK(DATA!BB45),"",DATA!BB45),"")</f>
        <v/>
      </c>
      <c r="CY45" s="97" t="str">
        <f t="shared" si="34"/>
        <v/>
      </c>
      <c r="CZ45" s="106" t="str">
        <f>IFERROR(IF(CY45=0,"",ROUND((CY45/SUM(SETTINGS!$L$14:$L$17))*SETTINGS!$L$18,0)),"")</f>
        <v/>
      </c>
      <c r="DA45" s="190" t="str">
        <f>IFERROR(IF(ISBLANK(DATA!BC45),"",DATA!BC45),"")</f>
        <v/>
      </c>
      <c r="DB45" s="106" t="str">
        <f>IFERROR(IF(ISBLANK(DA45),"",ROUND((DA45/SETTINGS!$L$19)*SETTINGS!$L$20,0)),"")</f>
        <v/>
      </c>
      <c r="DC45" s="106" t="str">
        <f t="shared" si="35"/>
        <v/>
      </c>
      <c r="DD45" s="103" t="str">
        <f t="shared" si="8"/>
        <v/>
      </c>
      <c r="DE45" s="107" t="str">
        <f t="shared" si="36"/>
        <v/>
      </c>
      <c r="DF45" s="103" t="str">
        <f t="shared" si="9"/>
        <v/>
      </c>
      <c r="DG45" s="103" t="str">
        <f>IFERROR(IF(AND(K45,W45,AI45,AU45,BG45,BS45,CE45,CQ45,DC45)="","",SUM(K45,W45,AI45,AU45,LARGE((BG45,BS45,CE45,CQ45,DC45),{1,2}))),"")</f>
        <v/>
      </c>
      <c r="DH45" s="103" t="str">
        <f>IFERROR(IF(AND(M45,Y45,AK45,AW45,,BI45,BU45,CG45,CS45,DE45)="","",SUM(M45,Y45,AK45,AW45,SMALL((BI45,BU45,CG45,CS45,DE45),{1,2}))),"")</f>
        <v/>
      </c>
      <c r="DI45" s="109" t="str">
        <f>IFERROR(IF(ISBLANK($D45),"",pos&amp;IF(AND(MOD(ABS(pos),100)&gt;10,MOD(ABS(pos),100)&lt;14),"th",CHOOSE(MOD(ABS(pos),10)+1,"th","st","nd","rd","th","th","th","th","th","th"))),"")</f>
        <v/>
      </c>
      <c r="DJ45" s="62">
        <f>ROWS($B$12:$B45)</f>
        <v>34</v>
      </c>
      <c r="DK45" s="62" t="str">
        <f>IF($B45=REPORT_CARD!$M$12,$DJ45,"")</f>
        <v/>
      </c>
      <c r="DL45" s="62"/>
      <c r="DM45" s="186"/>
    </row>
    <row r="46" spans="1:117" ht="19.5" customHeight="1">
      <c r="A46" s="187" t="str">
        <f>IFERROR(IF(ISBLANK(DATA!$A46),"",DATA!$A46),"")</f>
        <v/>
      </c>
      <c r="B46" s="187" t="str">
        <f>IFERROR(IF(ISBLANK(DATA!$B46),"",DATA!$B46),"")</f>
        <v/>
      </c>
      <c r="C46" s="190" t="str">
        <f>IFERROR(IF(ISBLANK(DATA!C46),"",DATA!C46),"")</f>
        <v/>
      </c>
      <c r="D46" s="190" t="str">
        <f>IFERROR(IF(ISBLANK(DATA!D46),"",DATA!D46),"")</f>
        <v/>
      </c>
      <c r="E46" s="190" t="str">
        <f>IFERROR(IF(ISBLANK(DATA!E46),"",DATA!E46),"")</f>
        <v/>
      </c>
      <c r="F46" s="190" t="str">
        <f>IFERROR(IF(ISBLANK(DATA!F46),"",DATA!F46),"")</f>
        <v/>
      </c>
      <c r="G46" s="97" t="str">
        <f t="shared" si="37"/>
        <v/>
      </c>
      <c r="H46" s="106" t="str">
        <f>IFERROR(IF(G46=0,"",ROUND((G46/SUM(SETTINGS!$L$14:$L$17))*SETTINGS!$L$18,0)),"")</f>
        <v/>
      </c>
      <c r="I46" s="190" t="str">
        <f>IFERROR(IF(ISBLANK(DATA!G46),"",DATA!G46),"")</f>
        <v/>
      </c>
      <c r="J46" s="106" t="str">
        <f>IFERROR(IF(ISBLANK(I46),"",ROUND((I46/SETTINGS!$L$19)*SETTINGS!$L$20,0)),"")</f>
        <v/>
      </c>
      <c r="K46" s="106" t="str">
        <f t="shared" si="10"/>
        <v/>
      </c>
      <c r="L46" s="103" t="str">
        <f t="shared" si="0"/>
        <v/>
      </c>
      <c r="M46" s="107" t="str">
        <f t="shared" si="11"/>
        <v/>
      </c>
      <c r="N46" s="136"/>
      <c r="O46" s="190" t="str">
        <f>IFERROR(IF(ISBLANK(DATA!I46),"",DATA!I46),"")</f>
        <v/>
      </c>
      <c r="P46" s="190" t="str">
        <f>IFERROR(IF(ISBLANK(DATA!J46),"",DATA!J46),"")</f>
        <v/>
      </c>
      <c r="Q46" s="190" t="str">
        <f>IFERROR(IF(ISBLANK(DATA!K46),"",DATA!K46),"")</f>
        <v/>
      </c>
      <c r="R46" s="190" t="str">
        <f>IFERROR(IF(ISBLANK(DATA!L46),"",DATA!L46),"")</f>
        <v/>
      </c>
      <c r="S46" s="97" t="str">
        <f t="shared" si="38"/>
        <v/>
      </c>
      <c r="T46" s="106" t="str">
        <f>IFERROR(IF(S46=0,"",ROUND((S46/SUM(SETTINGS!$L$14:$L$17))*SETTINGS!$L$18,0)),"")</f>
        <v/>
      </c>
      <c r="U46" s="190" t="str">
        <f>IFERROR(IF(ISBLANK(DATA!M46),"",DATA!M46),"")</f>
        <v/>
      </c>
      <c r="V46" s="106" t="str">
        <f>IFERROR(IF(ISBLANK(U46),"",ROUND((U46/SETTINGS!$L$19)*SETTINGS!$L$20,0)),"")</f>
        <v/>
      </c>
      <c r="W46" s="106" t="str">
        <f t="shared" si="13"/>
        <v/>
      </c>
      <c r="X46" s="103" t="str">
        <f t="shared" si="14"/>
        <v/>
      </c>
      <c r="Y46" s="107" t="str">
        <f t="shared" si="15"/>
        <v/>
      </c>
      <c r="Z46" s="130"/>
      <c r="AA46" s="190" t="str">
        <f>IFERROR(IF(ISBLANK(DATA!O46),"",DATA!O46),"")</f>
        <v/>
      </c>
      <c r="AB46" s="190" t="str">
        <f>IFERROR(IF(ISBLANK(DATA!P46),"",DATA!P46),"")</f>
        <v/>
      </c>
      <c r="AC46" s="190" t="str">
        <f>IFERROR(IF(ISBLANK(DATA!Q46),"",DATA!Q46),"")</f>
        <v/>
      </c>
      <c r="AD46" s="190" t="str">
        <f>IFERROR(IF(ISBLANK(DATA!R46),"",DATA!R46),"")</f>
        <v/>
      </c>
      <c r="AE46" s="97" t="str">
        <f t="shared" si="39"/>
        <v/>
      </c>
      <c r="AF46" s="106" t="str">
        <f>IFERROR(IF(AE46=0,"",ROUND((AE46/SUM(SETTINGS!$L$14:$L$17))*SETTINGS!$L$18,0)),"")</f>
        <v/>
      </c>
      <c r="AG46" s="190" t="str">
        <f>IFERROR(IF(ISBLANK(DATA!S46),"",DATA!S46),"")</f>
        <v/>
      </c>
      <c r="AH46" s="106" t="str">
        <f>IFERROR(IF(ISBLANK(AG46),"",ROUND((AG46/SETTINGS!$L$19)*SETTINGS!$L$20,0)),"")</f>
        <v/>
      </c>
      <c r="AI46" s="106" t="str">
        <f t="shared" si="17"/>
        <v/>
      </c>
      <c r="AJ46" s="103" t="str">
        <f t="shared" si="2"/>
        <v/>
      </c>
      <c r="AK46" s="108" t="str">
        <f t="shared" si="18"/>
        <v/>
      </c>
      <c r="AL46" s="130"/>
      <c r="AM46" s="190" t="str">
        <f>IFERROR(IF(ISBLANK(DATA!U46),"",DATA!U46),"")</f>
        <v/>
      </c>
      <c r="AN46" s="190" t="str">
        <f>IFERROR(IF(ISBLANK(DATA!V46),"",DATA!V46),"")</f>
        <v/>
      </c>
      <c r="AO46" s="190" t="str">
        <f>IFERROR(IF(ISBLANK(DATA!W46),"",DATA!W46),"")</f>
        <v/>
      </c>
      <c r="AP46" s="190" t="str">
        <f>IFERROR(IF(ISBLANK(DATA!X46),"",DATA!X46),"")</f>
        <v/>
      </c>
      <c r="AQ46" s="97" t="str">
        <f t="shared" si="19"/>
        <v/>
      </c>
      <c r="AR46" s="106" t="str">
        <f>IFERROR(IF(AQ46=0,"",ROUND((AQ46/SUM(SETTINGS!$L$14:$L$17))*SETTINGS!$L$18,0)),"")</f>
        <v/>
      </c>
      <c r="AS46" s="190" t="str">
        <f>IFERROR(IF(ISBLANK(DATA!Y46),"",DATA!Y46),"")</f>
        <v/>
      </c>
      <c r="AT46" s="106" t="str">
        <f>IFERROR(IF(ISBLANK(AS46),"",ROUND((AS46/SETTINGS!$L$19)*SETTINGS!$L$20,0)),"")</f>
        <v/>
      </c>
      <c r="AU46" s="106" t="str">
        <f t="shared" si="20"/>
        <v/>
      </c>
      <c r="AV46" s="103" t="str">
        <f t="shared" si="3"/>
        <v/>
      </c>
      <c r="AW46" s="107" t="str">
        <f t="shared" si="21"/>
        <v/>
      </c>
      <c r="AX46" s="130"/>
      <c r="AY46" s="190" t="str">
        <f>IFERROR(IF(ISBLANK(DATA!AA46),"",DATA!AA46),"")</f>
        <v/>
      </c>
      <c r="AZ46" s="190" t="str">
        <f>IFERROR(IF(ISBLANK(DATA!AB46),"",DATA!AB46),"")</f>
        <v/>
      </c>
      <c r="BA46" s="190" t="str">
        <f>IFERROR(IF(ISBLANK(DATA!AC46),"",DATA!AC46),"")</f>
        <v/>
      </c>
      <c r="BB46" s="190" t="str">
        <f>IFERROR(IF(ISBLANK(DATA!AD46),"",DATA!AD46),"")</f>
        <v/>
      </c>
      <c r="BC46" s="97" t="str">
        <f t="shared" si="22"/>
        <v/>
      </c>
      <c r="BD46" s="106" t="str">
        <f>IFERROR(IF(BC46=0,"",ROUND((BC46/SUM(SETTINGS!$L$14:$L$17))*SETTINGS!$L$18,0)),"")</f>
        <v/>
      </c>
      <c r="BE46" s="190" t="str">
        <f>IFERROR(IF(ISBLANK(DATA!AE46),"",DATA!AE46),"")</f>
        <v/>
      </c>
      <c r="BF46" s="106" t="str">
        <f>IFERROR(IF(ISBLANK(BE46),"",ROUND((BE46/SETTINGS!$L$19)*SETTINGS!$L$20,0)),"")</f>
        <v/>
      </c>
      <c r="BG46" s="106" t="str">
        <f t="shared" si="23"/>
        <v/>
      </c>
      <c r="BH46" s="103" t="str">
        <f t="shared" si="4"/>
        <v/>
      </c>
      <c r="BI46" s="108" t="str">
        <f t="shared" si="24"/>
        <v/>
      </c>
      <c r="BJ46" s="130"/>
      <c r="BK46" s="190" t="str">
        <f>IFERROR(IF(ISBLANK(DATA!AG46),"",DATA!AG46),"")</f>
        <v/>
      </c>
      <c r="BL46" s="190" t="str">
        <f>IFERROR(IF(ISBLANK(DATA!AH46),"",DATA!AH46),"")</f>
        <v/>
      </c>
      <c r="BM46" s="190" t="str">
        <f>IFERROR(IF(ISBLANK(DATA!AI46),"",DATA!AI46),"")</f>
        <v/>
      </c>
      <c r="BN46" s="190" t="str">
        <f>IFERROR(IF(ISBLANK(DATA!AJ46),"",DATA!AJ46),"")</f>
        <v/>
      </c>
      <c r="BO46" s="97" t="str">
        <f t="shared" si="25"/>
        <v/>
      </c>
      <c r="BP46" s="106" t="str">
        <f>IFERROR(IF(BO46=0,"",ROUND((BO46/SUM(SETTINGS!$L$14:$L$17))*SETTINGS!$L$18,0)),"")</f>
        <v/>
      </c>
      <c r="BQ46" s="190" t="str">
        <f>IFERROR(IF(ISBLANK(DATA!AK46),"",DATA!AK46),"")</f>
        <v/>
      </c>
      <c r="BR46" s="106" t="str">
        <f>IFERROR(IF(ISBLANK(BQ46),"",ROUND((BQ46/SETTINGS!$L$19)*SETTINGS!$L$20,0)),"")</f>
        <v/>
      </c>
      <c r="BS46" s="106" t="str">
        <f t="shared" si="26"/>
        <v/>
      </c>
      <c r="BT46" s="103" t="str">
        <f t="shared" si="5"/>
        <v/>
      </c>
      <c r="BU46" s="107" t="str">
        <f t="shared" si="27"/>
        <v/>
      </c>
      <c r="BV46" s="130"/>
      <c r="BW46" s="190" t="str">
        <f>IFERROR(IF(ISBLANK(DATA!AM46),"",DATA!AM46),"")</f>
        <v/>
      </c>
      <c r="BX46" s="190" t="str">
        <f>IFERROR(IF(ISBLANK(DATA!AN46),"",DATA!AN46),"")</f>
        <v/>
      </c>
      <c r="BY46" s="190" t="str">
        <f>IFERROR(IF(ISBLANK(DATA!AO46),"",DATA!AO46),"")</f>
        <v/>
      </c>
      <c r="BZ46" s="190" t="str">
        <f>IFERROR(IF(ISBLANK(DATA!AP46),"",DATA!AP46),"")</f>
        <v/>
      </c>
      <c r="CA46" s="97" t="str">
        <f t="shared" si="28"/>
        <v/>
      </c>
      <c r="CB46" s="106" t="str">
        <f>IFERROR(IF(CA46=0,"",ROUND((CA46/SUM(SETTINGS!$L$14:$L$17))*SETTINGS!$L$18,0)),"")</f>
        <v/>
      </c>
      <c r="CC46" s="190" t="str">
        <f>IFERROR(IF(ISBLANK(DATA!AQ46),"",DATA!AQ46),"")</f>
        <v/>
      </c>
      <c r="CD46" s="106" t="str">
        <f>IFERROR(IF(ISBLANK(CC46),"",ROUND((CC46/SETTINGS!$L$19)*SETTINGS!$L$20,0)),"")</f>
        <v/>
      </c>
      <c r="CE46" s="106" t="str">
        <f t="shared" si="29"/>
        <v/>
      </c>
      <c r="CF46" s="103" t="str">
        <f t="shared" si="6"/>
        <v/>
      </c>
      <c r="CG46" s="107" t="str">
        <f t="shared" si="30"/>
        <v/>
      </c>
      <c r="CH46" s="130"/>
      <c r="CI46" s="190" t="str">
        <f>IFERROR(IF(ISBLANK(DATA!AS46),"",DATA!AS46),"")</f>
        <v/>
      </c>
      <c r="CJ46" s="190" t="str">
        <f>IFERROR(IF(ISBLANK(DATA!AT46),"",DATA!AT46),"")</f>
        <v/>
      </c>
      <c r="CK46" s="190" t="str">
        <f>IFERROR(IF(ISBLANK(DATA!AU46),"",DATA!AU46),"")</f>
        <v/>
      </c>
      <c r="CL46" s="190" t="str">
        <f>IFERROR(IF(ISBLANK(DATA!AV46),"",DATA!AV46),"")</f>
        <v/>
      </c>
      <c r="CM46" s="97" t="str">
        <f t="shared" si="31"/>
        <v/>
      </c>
      <c r="CN46" s="106" t="str">
        <f>IFERROR(IF(CM46=0,"",ROUND((CM46/SUM(SETTINGS!$L$14:$L$17))*SETTINGS!$L$18,0)),"")</f>
        <v/>
      </c>
      <c r="CO46" s="190" t="str">
        <f>IFERROR(IF(ISBLANK(DATA!AW46),"",DATA!AW46),"")</f>
        <v/>
      </c>
      <c r="CP46" s="106" t="str">
        <f>IFERROR(IF(ISBLANK(CO46),"",ROUND((CO46/SETTINGS!$L$19)*SETTINGS!$L$20,0)),"")</f>
        <v/>
      </c>
      <c r="CQ46" s="106" t="str">
        <f t="shared" si="32"/>
        <v/>
      </c>
      <c r="CR46" s="103" t="str">
        <f t="shared" si="7"/>
        <v/>
      </c>
      <c r="CS46" s="107" t="str">
        <f t="shared" si="33"/>
        <v/>
      </c>
      <c r="CT46" s="130"/>
      <c r="CU46" s="190" t="str">
        <f>IFERROR(IF(ISBLANK(DATA!AY46),"",DATA!AY46),"")</f>
        <v/>
      </c>
      <c r="CV46" s="190" t="str">
        <f>IFERROR(IF(ISBLANK(DATA!AZ46),"",DATA!AZ46),"")</f>
        <v/>
      </c>
      <c r="CW46" s="190" t="str">
        <f>IFERROR(IF(ISBLANK(DATA!BA46),"",DATA!BA46),"")</f>
        <v/>
      </c>
      <c r="CX46" s="190" t="str">
        <f>IFERROR(IF(ISBLANK(DATA!BB46),"",DATA!BB46),"")</f>
        <v/>
      </c>
      <c r="CY46" s="97" t="str">
        <f t="shared" si="34"/>
        <v/>
      </c>
      <c r="CZ46" s="106" t="str">
        <f>IFERROR(IF(CY46=0,"",ROUND((CY46/SUM(SETTINGS!$L$14:$L$17))*SETTINGS!$L$18,0)),"")</f>
        <v/>
      </c>
      <c r="DA46" s="190" t="str">
        <f>IFERROR(IF(ISBLANK(DATA!BC46),"",DATA!BC46),"")</f>
        <v/>
      </c>
      <c r="DB46" s="106" t="str">
        <f>IFERROR(IF(ISBLANK(DA46),"",ROUND((DA46/SETTINGS!$L$19)*SETTINGS!$L$20,0)),"")</f>
        <v/>
      </c>
      <c r="DC46" s="106" t="str">
        <f t="shared" si="35"/>
        <v/>
      </c>
      <c r="DD46" s="103" t="str">
        <f t="shared" si="8"/>
        <v/>
      </c>
      <c r="DE46" s="107" t="str">
        <f t="shared" si="36"/>
        <v/>
      </c>
      <c r="DF46" s="103" t="str">
        <f t="shared" si="9"/>
        <v/>
      </c>
      <c r="DG46" s="103" t="str">
        <f>IFERROR(IF(AND(K46,W46,AI46,AU46,BG46,BS46,CE46,CQ46,DC46)="","",SUM(K46,W46,AI46,AU46,LARGE((BG46,BS46,CE46,CQ46,DC46),{1,2}))),"")</f>
        <v/>
      </c>
      <c r="DH46" s="103" t="str">
        <f>IFERROR(IF(AND(M46,Y46,AK46,AW46,,BI46,BU46,CG46,CS46,DE46)="","",SUM(M46,Y46,AK46,AW46,SMALL((BI46,BU46,CG46,CS46,DE46),{1,2}))),"")</f>
        <v/>
      </c>
      <c r="DI46" s="109" t="str">
        <f>IFERROR(IF(ISBLANK($D46),"",pos&amp;IF(AND(MOD(ABS(pos),100)&gt;10,MOD(ABS(pos),100)&lt;14),"th",CHOOSE(MOD(ABS(pos),10)+1,"th","st","nd","rd","th","th","th","th","th","th"))),"")</f>
        <v/>
      </c>
      <c r="DJ46" s="62">
        <f>ROWS($B$12:$B46)</f>
        <v>35</v>
      </c>
      <c r="DK46" s="62" t="str">
        <f>IF($B46=REPORT_CARD!$M$12,$DJ46,"")</f>
        <v/>
      </c>
      <c r="DL46" s="62"/>
      <c r="DM46" s="186"/>
    </row>
    <row r="47" spans="1:117" ht="19.5" customHeight="1">
      <c r="A47" s="187" t="str">
        <f>IFERROR(IF(ISBLANK(DATA!$A47),"",DATA!$A47),"")</f>
        <v/>
      </c>
      <c r="B47" s="187" t="str">
        <f>IFERROR(IF(ISBLANK(DATA!$B47),"",DATA!$B47),"")</f>
        <v/>
      </c>
      <c r="C47" s="190" t="str">
        <f>IFERROR(IF(ISBLANK(DATA!C47),"",DATA!C47),"")</f>
        <v/>
      </c>
      <c r="D47" s="190" t="str">
        <f>IFERROR(IF(ISBLANK(DATA!D47),"",DATA!D47),"")</f>
        <v/>
      </c>
      <c r="E47" s="190" t="str">
        <f>IFERROR(IF(ISBLANK(DATA!E47),"",DATA!E47),"")</f>
        <v/>
      </c>
      <c r="F47" s="190" t="str">
        <f>IFERROR(IF(ISBLANK(DATA!F47),"",DATA!F47),"")</f>
        <v/>
      </c>
      <c r="G47" s="97" t="str">
        <f t="shared" si="37"/>
        <v/>
      </c>
      <c r="H47" s="106" t="str">
        <f>IFERROR(IF(G47=0,"",ROUND((G47/SUM(SETTINGS!$L$14:$L$17))*SETTINGS!$L$18,0)),"")</f>
        <v/>
      </c>
      <c r="I47" s="190" t="str">
        <f>IFERROR(IF(ISBLANK(DATA!G47),"",DATA!G47),"")</f>
        <v/>
      </c>
      <c r="J47" s="106" t="str">
        <f>IFERROR(IF(ISBLANK(I47),"",ROUND((I47/SETTINGS!$L$19)*SETTINGS!$L$20,0)),"")</f>
        <v/>
      </c>
      <c r="K47" s="106" t="str">
        <f t="shared" si="10"/>
        <v/>
      </c>
      <c r="L47" s="103" t="str">
        <f t="shared" si="0"/>
        <v/>
      </c>
      <c r="M47" s="107" t="str">
        <f t="shared" si="11"/>
        <v/>
      </c>
      <c r="N47" s="136"/>
      <c r="O47" s="190" t="str">
        <f>IFERROR(IF(ISBLANK(DATA!I47),"",DATA!I47),"")</f>
        <v/>
      </c>
      <c r="P47" s="190" t="str">
        <f>IFERROR(IF(ISBLANK(DATA!J47),"",DATA!J47),"")</f>
        <v/>
      </c>
      <c r="Q47" s="190" t="str">
        <f>IFERROR(IF(ISBLANK(DATA!K47),"",DATA!K47),"")</f>
        <v/>
      </c>
      <c r="R47" s="190" t="str">
        <f>IFERROR(IF(ISBLANK(DATA!L47),"",DATA!L47),"")</f>
        <v/>
      </c>
      <c r="S47" s="97" t="str">
        <f t="shared" si="38"/>
        <v/>
      </c>
      <c r="T47" s="106" t="str">
        <f>IFERROR(IF(S47=0,"",ROUND((S47/SUM(SETTINGS!$L$14:$L$17))*SETTINGS!$L$18,0)),"")</f>
        <v/>
      </c>
      <c r="U47" s="190" t="str">
        <f>IFERROR(IF(ISBLANK(DATA!M47),"",DATA!M47),"")</f>
        <v/>
      </c>
      <c r="V47" s="106" t="str">
        <f>IFERROR(IF(ISBLANK(U47),"",ROUND((U47/SETTINGS!$L$19)*SETTINGS!$L$20,0)),"")</f>
        <v/>
      </c>
      <c r="W47" s="106" t="str">
        <f t="shared" si="13"/>
        <v/>
      </c>
      <c r="X47" s="103" t="str">
        <f t="shared" si="14"/>
        <v/>
      </c>
      <c r="Y47" s="107" t="str">
        <f t="shared" si="15"/>
        <v/>
      </c>
      <c r="Z47" s="130"/>
      <c r="AA47" s="190" t="str">
        <f>IFERROR(IF(ISBLANK(DATA!O47),"",DATA!O47),"")</f>
        <v/>
      </c>
      <c r="AB47" s="190" t="str">
        <f>IFERROR(IF(ISBLANK(DATA!P47),"",DATA!P47),"")</f>
        <v/>
      </c>
      <c r="AC47" s="190" t="str">
        <f>IFERROR(IF(ISBLANK(DATA!Q47),"",DATA!Q47),"")</f>
        <v/>
      </c>
      <c r="AD47" s="190" t="str">
        <f>IFERROR(IF(ISBLANK(DATA!R47),"",DATA!R47),"")</f>
        <v/>
      </c>
      <c r="AE47" s="97" t="str">
        <f t="shared" si="39"/>
        <v/>
      </c>
      <c r="AF47" s="106" t="str">
        <f>IFERROR(IF(AE47=0,"",ROUND((AE47/SUM(SETTINGS!$L$14:$L$17))*SETTINGS!$L$18,0)),"")</f>
        <v/>
      </c>
      <c r="AG47" s="190" t="str">
        <f>IFERROR(IF(ISBLANK(DATA!S47),"",DATA!S47),"")</f>
        <v/>
      </c>
      <c r="AH47" s="106" t="str">
        <f>IFERROR(IF(ISBLANK(AG47),"",ROUND((AG47/SETTINGS!$L$19)*SETTINGS!$L$20,0)),"")</f>
        <v/>
      </c>
      <c r="AI47" s="106" t="str">
        <f t="shared" si="17"/>
        <v/>
      </c>
      <c r="AJ47" s="103" t="str">
        <f t="shared" si="2"/>
        <v/>
      </c>
      <c r="AK47" s="108" t="str">
        <f t="shared" si="18"/>
        <v/>
      </c>
      <c r="AL47" s="130"/>
      <c r="AM47" s="190" t="str">
        <f>IFERROR(IF(ISBLANK(DATA!U47),"",DATA!U47),"")</f>
        <v/>
      </c>
      <c r="AN47" s="190" t="str">
        <f>IFERROR(IF(ISBLANK(DATA!V47),"",DATA!V47),"")</f>
        <v/>
      </c>
      <c r="AO47" s="190" t="str">
        <f>IFERROR(IF(ISBLANK(DATA!W47),"",DATA!W47),"")</f>
        <v/>
      </c>
      <c r="AP47" s="190" t="str">
        <f>IFERROR(IF(ISBLANK(DATA!X47),"",DATA!X47),"")</f>
        <v/>
      </c>
      <c r="AQ47" s="97" t="str">
        <f t="shared" si="19"/>
        <v/>
      </c>
      <c r="AR47" s="106" t="str">
        <f>IFERROR(IF(AQ47=0,"",ROUND((AQ47/SUM(SETTINGS!$L$14:$L$17))*SETTINGS!$L$18,0)),"")</f>
        <v/>
      </c>
      <c r="AS47" s="190" t="str">
        <f>IFERROR(IF(ISBLANK(DATA!Y47),"",DATA!Y47),"")</f>
        <v/>
      </c>
      <c r="AT47" s="106" t="str">
        <f>IFERROR(IF(ISBLANK(AS47),"",ROUND((AS47/SETTINGS!$L$19)*SETTINGS!$L$20,0)),"")</f>
        <v/>
      </c>
      <c r="AU47" s="106" t="str">
        <f t="shared" si="20"/>
        <v/>
      </c>
      <c r="AV47" s="103" t="str">
        <f t="shared" si="3"/>
        <v/>
      </c>
      <c r="AW47" s="107" t="str">
        <f t="shared" si="21"/>
        <v/>
      </c>
      <c r="AX47" s="130"/>
      <c r="AY47" s="190" t="str">
        <f>IFERROR(IF(ISBLANK(DATA!AA47),"",DATA!AA47),"")</f>
        <v/>
      </c>
      <c r="AZ47" s="190" t="str">
        <f>IFERROR(IF(ISBLANK(DATA!AB47),"",DATA!AB47),"")</f>
        <v/>
      </c>
      <c r="BA47" s="190" t="str">
        <f>IFERROR(IF(ISBLANK(DATA!AC47),"",DATA!AC47),"")</f>
        <v/>
      </c>
      <c r="BB47" s="190" t="str">
        <f>IFERROR(IF(ISBLANK(DATA!AD47),"",DATA!AD47),"")</f>
        <v/>
      </c>
      <c r="BC47" s="97" t="str">
        <f t="shared" si="22"/>
        <v/>
      </c>
      <c r="BD47" s="106" t="str">
        <f>IFERROR(IF(BC47=0,"",ROUND((BC47/SUM(SETTINGS!$L$14:$L$17))*SETTINGS!$L$18,0)),"")</f>
        <v/>
      </c>
      <c r="BE47" s="190" t="str">
        <f>IFERROR(IF(ISBLANK(DATA!AE47),"",DATA!AE47),"")</f>
        <v/>
      </c>
      <c r="BF47" s="106" t="str">
        <f>IFERROR(IF(ISBLANK(BE47),"",ROUND((BE47/SETTINGS!$L$19)*SETTINGS!$L$20,0)),"")</f>
        <v/>
      </c>
      <c r="BG47" s="106" t="str">
        <f t="shared" si="23"/>
        <v/>
      </c>
      <c r="BH47" s="103" t="str">
        <f t="shared" si="4"/>
        <v/>
      </c>
      <c r="BI47" s="108" t="str">
        <f t="shared" si="24"/>
        <v/>
      </c>
      <c r="BJ47" s="130"/>
      <c r="BK47" s="190" t="str">
        <f>IFERROR(IF(ISBLANK(DATA!AG47),"",DATA!AG47),"")</f>
        <v/>
      </c>
      <c r="BL47" s="190" t="str">
        <f>IFERROR(IF(ISBLANK(DATA!AH47),"",DATA!AH47),"")</f>
        <v/>
      </c>
      <c r="BM47" s="190" t="str">
        <f>IFERROR(IF(ISBLANK(DATA!AI47),"",DATA!AI47),"")</f>
        <v/>
      </c>
      <c r="BN47" s="190" t="str">
        <f>IFERROR(IF(ISBLANK(DATA!AJ47),"",DATA!AJ47),"")</f>
        <v/>
      </c>
      <c r="BO47" s="97" t="str">
        <f t="shared" si="25"/>
        <v/>
      </c>
      <c r="BP47" s="106" t="str">
        <f>IFERROR(IF(BO47=0,"",ROUND((BO47/SUM(SETTINGS!$L$14:$L$17))*SETTINGS!$L$18,0)),"")</f>
        <v/>
      </c>
      <c r="BQ47" s="190" t="str">
        <f>IFERROR(IF(ISBLANK(DATA!AK47),"",DATA!AK47),"")</f>
        <v/>
      </c>
      <c r="BR47" s="106" t="str">
        <f>IFERROR(IF(ISBLANK(BQ47),"",ROUND((BQ47/SETTINGS!$L$19)*SETTINGS!$L$20,0)),"")</f>
        <v/>
      </c>
      <c r="BS47" s="106" t="str">
        <f t="shared" si="26"/>
        <v/>
      </c>
      <c r="BT47" s="103" t="str">
        <f t="shared" si="5"/>
        <v/>
      </c>
      <c r="BU47" s="107" t="str">
        <f t="shared" si="27"/>
        <v/>
      </c>
      <c r="BV47" s="130"/>
      <c r="BW47" s="190" t="str">
        <f>IFERROR(IF(ISBLANK(DATA!AM47),"",DATA!AM47),"")</f>
        <v/>
      </c>
      <c r="BX47" s="190" t="str">
        <f>IFERROR(IF(ISBLANK(DATA!AN47),"",DATA!AN47),"")</f>
        <v/>
      </c>
      <c r="BY47" s="190" t="str">
        <f>IFERROR(IF(ISBLANK(DATA!AO47),"",DATA!AO47),"")</f>
        <v/>
      </c>
      <c r="BZ47" s="190" t="str">
        <f>IFERROR(IF(ISBLANK(DATA!AP47),"",DATA!AP47),"")</f>
        <v/>
      </c>
      <c r="CA47" s="97" t="str">
        <f t="shared" si="28"/>
        <v/>
      </c>
      <c r="CB47" s="106" t="str">
        <f>IFERROR(IF(CA47=0,"",ROUND((CA47/SUM(SETTINGS!$L$14:$L$17))*SETTINGS!$L$18,0)),"")</f>
        <v/>
      </c>
      <c r="CC47" s="190" t="str">
        <f>IFERROR(IF(ISBLANK(DATA!AQ47),"",DATA!AQ47),"")</f>
        <v/>
      </c>
      <c r="CD47" s="106" t="str">
        <f>IFERROR(IF(ISBLANK(CC47),"",ROUND((CC47/SETTINGS!$L$19)*SETTINGS!$L$20,0)),"")</f>
        <v/>
      </c>
      <c r="CE47" s="106" t="str">
        <f t="shared" si="29"/>
        <v/>
      </c>
      <c r="CF47" s="103" t="str">
        <f t="shared" si="6"/>
        <v/>
      </c>
      <c r="CG47" s="107" t="str">
        <f t="shared" si="30"/>
        <v/>
      </c>
      <c r="CH47" s="130"/>
      <c r="CI47" s="190" t="str">
        <f>IFERROR(IF(ISBLANK(DATA!AS47),"",DATA!AS47),"")</f>
        <v/>
      </c>
      <c r="CJ47" s="190" t="str">
        <f>IFERROR(IF(ISBLANK(DATA!AT47),"",DATA!AT47),"")</f>
        <v/>
      </c>
      <c r="CK47" s="190" t="str">
        <f>IFERROR(IF(ISBLANK(DATA!AU47),"",DATA!AU47),"")</f>
        <v/>
      </c>
      <c r="CL47" s="190" t="str">
        <f>IFERROR(IF(ISBLANK(DATA!AV47),"",DATA!AV47),"")</f>
        <v/>
      </c>
      <c r="CM47" s="97" t="str">
        <f t="shared" si="31"/>
        <v/>
      </c>
      <c r="CN47" s="106" t="str">
        <f>IFERROR(IF(CM47=0,"",ROUND((CM47/SUM(SETTINGS!$L$14:$L$17))*SETTINGS!$L$18,0)),"")</f>
        <v/>
      </c>
      <c r="CO47" s="190" t="str">
        <f>IFERROR(IF(ISBLANK(DATA!AW47),"",DATA!AW47),"")</f>
        <v/>
      </c>
      <c r="CP47" s="106" t="str">
        <f>IFERROR(IF(ISBLANK(CO47),"",ROUND((CO47/SETTINGS!$L$19)*SETTINGS!$L$20,0)),"")</f>
        <v/>
      </c>
      <c r="CQ47" s="106" t="str">
        <f t="shared" si="32"/>
        <v/>
      </c>
      <c r="CR47" s="103" t="str">
        <f t="shared" si="7"/>
        <v/>
      </c>
      <c r="CS47" s="107" t="str">
        <f t="shared" si="33"/>
        <v/>
      </c>
      <c r="CT47" s="130"/>
      <c r="CU47" s="190" t="str">
        <f>IFERROR(IF(ISBLANK(DATA!AY47),"",DATA!AY47),"")</f>
        <v/>
      </c>
      <c r="CV47" s="190" t="str">
        <f>IFERROR(IF(ISBLANK(DATA!AZ47),"",DATA!AZ47),"")</f>
        <v/>
      </c>
      <c r="CW47" s="190" t="str">
        <f>IFERROR(IF(ISBLANK(DATA!BA47),"",DATA!BA47),"")</f>
        <v/>
      </c>
      <c r="CX47" s="190" t="str">
        <f>IFERROR(IF(ISBLANK(DATA!BB47),"",DATA!BB47),"")</f>
        <v/>
      </c>
      <c r="CY47" s="97" t="str">
        <f t="shared" si="34"/>
        <v/>
      </c>
      <c r="CZ47" s="106" t="str">
        <f>IFERROR(IF(CY47=0,"",ROUND((CY47/SUM(SETTINGS!$L$14:$L$17))*SETTINGS!$L$18,0)),"")</f>
        <v/>
      </c>
      <c r="DA47" s="190" t="str">
        <f>IFERROR(IF(ISBLANK(DATA!BC47),"",DATA!BC47),"")</f>
        <v/>
      </c>
      <c r="DB47" s="106" t="str">
        <f>IFERROR(IF(ISBLANK(DA47),"",ROUND((DA47/SETTINGS!$L$19)*SETTINGS!$L$20,0)),"")</f>
        <v/>
      </c>
      <c r="DC47" s="106" t="str">
        <f t="shared" si="35"/>
        <v/>
      </c>
      <c r="DD47" s="103" t="str">
        <f t="shared" si="8"/>
        <v/>
      </c>
      <c r="DE47" s="107" t="str">
        <f t="shared" si="36"/>
        <v/>
      </c>
      <c r="DF47" s="103" t="str">
        <f t="shared" si="9"/>
        <v/>
      </c>
      <c r="DG47" s="103" t="str">
        <f>IFERROR(IF(AND(K47,W47,AI47,AU47,BG47,BS47,CE47,CQ47,DC47)="","",SUM(K47,W47,AI47,AU47,LARGE((BG47,BS47,CE47,CQ47,DC47),{1,2}))),"")</f>
        <v/>
      </c>
      <c r="DH47" s="103" t="str">
        <f>IFERROR(IF(AND(M47,Y47,AK47,AW47,,BI47,BU47,CG47,CS47,DE47)="","",SUM(M47,Y47,AK47,AW47,SMALL((BI47,BU47,CG47,CS47,DE47),{1,2}))),"")</f>
        <v/>
      </c>
      <c r="DI47" s="109" t="str">
        <f>IFERROR(IF(ISBLANK($D47),"",pos&amp;IF(AND(MOD(ABS(pos),100)&gt;10,MOD(ABS(pos),100)&lt;14),"th",CHOOSE(MOD(ABS(pos),10)+1,"th","st","nd","rd","th","th","th","th","th","th"))),"")</f>
        <v/>
      </c>
      <c r="DJ47" s="62">
        <f>ROWS($B$12:$B47)</f>
        <v>36</v>
      </c>
      <c r="DK47" s="62" t="str">
        <f>IF($B47=REPORT_CARD!$M$12,$DJ47,"")</f>
        <v/>
      </c>
      <c r="DL47" s="62"/>
      <c r="DM47" s="186"/>
    </row>
    <row r="48" spans="1:117" ht="19.5" customHeight="1">
      <c r="A48" s="187" t="str">
        <f>IFERROR(IF(ISBLANK(DATA!$A48),"",DATA!$A48),"")</f>
        <v/>
      </c>
      <c r="B48" s="187" t="str">
        <f>IFERROR(IF(ISBLANK(DATA!$B48),"",DATA!$B48),"")</f>
        <v/>
      </c>
      <c r="C48" s="190" t="str">
        <f>IFERROR(IF(ISBLANK(DATA!C48),"",DATA!C48),"")</f>
        <v/>
      </c>
      <c r="D48" s="190" t="str">
        <f>IFERROR(IF(ISBLANK(DATA!D48),"",DATA!D48),"")</f>
        <v/>
      </c>
      <c r="E48" s="190" t="str">
        <f>IFERROR(IF(ISBLANK(DATA!E48),"",DATA!E48),"")</f>
        <v/>
      </c>
      <c r="F48" s="190" t="str">
        <f>IFERROR(IF(ISBLANK(DATA!F48),"",DATA!F48),"")</f>
        <v/>
      </c>
      <c r="G48" s="97" t="str">
        <f t="shared" si="37"/>
        <v/>
      </c>
      <c r="H48" s="106" t="str">
        <f>IFERROR(IF(G48=0,"",ROUND((G48/SUM(SETTINGS!$L$14:$L$17))*SETTINGS!$L$18,0)),"")</f>
        <v/>
      </c>
      <c r="I48" s="190" t="str">
        <f>IFERROR(IF(ISBLANK(DATA!G48),"",DATA!G48),"")</f>
        <v/>
      </c>
      <c r="J48" s="106" t="str">
        <f>IFERROR(IF(ISBLANK(I48),"",ROUND((I48/SETTINGS!$L$19)*SETTINGS!$L$20,0)),"")</f>
        <v/>
      </c>
      <c r="K48" s="106" t="str">
        <f t="shared" si="10"/>
        <v/>
      </c>
      <c r="L48" s="103" t="str">
        <f t="shared" si="0"/>
        <v/>
      </c>
      <c r="M48" s="107" t="str">
        <f t="shared" si="11"/>
        <v/>
      </c>
      <c r="N48" s="136"/>
      <c r="O48" s="190" t="str">
        <f>IFERROR(IF(ISBLANK(DATA!I48),"",DATA!I48),"")</f>
        <v/>
      </c>
      <c r="P48" s="190" t="str">
        <f>IFERROR(IF(ISBLANK(DATA!J48),"",DATA!J48),"")</f>
        <v/>
      </c>
      <c r="Q48" s="190" t="str">
        <f>IFERROR(IF(ISBLANK(DATA!K48),"",DATA!K48),"")</f>
        <v/>
      </c>
      <c r="R48" s="190" t="str">
        <f>IFERROR(IF(ISBLANK(DATA!L48),"",DATA!L48),"")</f>
        <v/>
      </c>
      <c r="S48" s="97" t="str">
        <f t="shared" si="38"/>
        <v/>
      </c>
      <c r="T48" s="106" t="str">
        <f>IFERROR(IF(S48=0,"",ROUND((S48/SUM(SETTINGS!$L$14:$L$17))*SETTINGS!$L$18,0)),"")</f>
        <v/>
      </c>
      <c r="U48" s="190" t="str">
        <f>IFERROR(IF(ISBLANK(DATA!M48),"",DATA!M48),"")</f>
        <v/>
      </c>
      <c r="V48" s="106" t="str">
        <f>IFERROR(IF(ISBLANK(U48),"",ROUND((U48/SETTINGS!$L$19)*SETTINGS!$L$20,0)),"")</f>
        <v/>
      </c>
      <c r="W48" s="106" t="str">
        <f t="shared" si="13"/>
        <v/>
      </c>
      <c r="X48" s="103" t="str">
        <f t="shared" si="14"/>
        <v/>
      </c>
      <c r="Y48" s="107" t="str">
        <f t="shared" si="15"/>
        <v/>
      </c>
      <c r="Z48" s="130"/>
      <c r="AA48" s="190" t="str">
        <f>IFERROR(IF(ISBLANK(DATA!O48),"",DATA!O48),"")</f>
        <v/>
      </c>
      <c r="AB48" s="190" t="str">
        <f>IFERROR(IF(ISBLANK(DATA!P48),"",DATA!P48),"")</f>
        <v/>
      </c>
      <c r="AC48" s="190" t="str">
        <f>IFERROR(IF(ISBLANK(DATA!Q48),"",DATA!Q48),"")</f>
        <v/>
      </c>
      <c r="AD48" s="190" t="str">
        <f>IFERROR(IF(ISBLANK(DATA!R48),"",DATA!R48),"")</f>
        <v/>
      </c>
      <c r="AE48" s="97" t="str">
        <f t="shared" si="39"/>
        <v/>
      </c>
      <c r="AF48" s="106" t="str">
        <f>IFERROR(IF(AE48=0,"",ROUND((AE48/SUM(SETTINGS!$L$14:$L$17))*SETTINGS!$L$18,0)),"")</f>
        <v/>
      </c>
      <c r="AG48" s="190" t="str">
        <f>IFERROR(IF(ISBLANK(DATA!S48),"",DATA!S48),"")</f>
        <v/>
      </c>
      <c r="AH48" s="106" t="str">
        <f>IFERROR(IF(ISBLANK(AG48),"",ROUND((AG48/SETTINGS!$L$19)*SETTINGS!$L$20,0)),"")</f>
        <v/>
      </c>
      <c r="AI48" s="106" t="str">
        <f t="shared" si="17"/>
        <v/>
      </c>
      <c r="AJ48" s="103" t="str">
        <f t="shared" si="2"/>
        <v/>
      </c>
      <c r="AK48" s="108" t="str">
        <f t="shared" si="18"/>
        <v/>
      </c>
      <c r="AL48" s="130"/>
      <c r="AM48" s="190" t="str">
        <f>IFERROR(IF(ISBLANK(DATA!U48),"",DATA!U48),"")</f>
        <v/>
      </c>
      <c r="AN48" s="190" t="str">
        <f>IFERROR(IF(ISBLANK(DATA!V48),"",DATA!V48),"")</f>
        <v/>
      </c>
      <c r="AO48" s="190" t="str">
        <f>IFERROR(IF(ISBLANK(DATA!W48),"",DATA!W48),"")</f>
        <v/>
      </c>
      <c r="AP48" s="190" t="str">
        <f>IFERROR(IF(ISBLANK(DATA!X48),"",DATA!X48),"")</f>
        <v/>
      </c>
      <c r="AQ48" s="97" t="str">
        <f t="shared" si="19"/>
        <v/>
      </c>
      <c r="AR48" s="106" t="str">
        <f>IFERROR(IF(AQ48=0,"",ROUND((AQ48/SUM(SETTINGS!$L$14:$L$17))*SETTINGS!$L$18,0)),"")</f>
        <v/>
      </c>
      <c r="AS48" s="190" t="str">
        <f>IFERROR(IF(ISBLANK(DATA!Y48),"",DATA!Y48),"")</f>
        <v/>
      </c>
      <c r="AT48" s="106" t="str">
        <f>IFERROR(IF(ISBLANK(AS48),"",ROUND((AS48/SETTINGS!$L$19)*SETTINGS!$L$20,0)),"")</f>
        <v/>
      </c>
      <c r="AU48" s="106" t="str">
        <f t="shared" si="20"/>
        <v/>
      </c>
      <c r="AV48" s="103" t="str">
        <f t="shared" si="3"/>
        <v/>
      </c>
      <c r="AW48" s="107" t="str">
        <f t="shared" si="21"/>
        <v/>
      </c>
      <c r="AX48" s="130"/>
      <c r="AY48" s="190" t="str">
        <f>IFERROR(IF(ISBLANK(DATA!AA48),"",DATA!AA48),"")</f>
        <v/>
      </c>
      <c r="AZ48" s="190" t="str">
        <f>IFERROR(IF(ISBLANK(DATA!AB48),"",DATA!AB48),"")</f>
        <v/>
      </c>
      <c r="BA48" s="190" t="str">
        <f>IFERROR(IF(ISBLANK(DATA!AC48),"",DATA!AC48),"")</f>
        <v/>
      </c>
      <c r="BB48" s="190" t="str">
        <f>IFERROR(IF(ISBLANK(DATA!AD48),"",DATA!AD48),"")</f>
        <v/>
      </c>
      <c r="BC48" s="97" t="str">
        <f t="shared" si="22"/>
        <v/>
      </c>
      <c r="BD48" s="106" t="str">
        <f>IFERROR(IF(BC48=0,"",ROUND((BC48/SUM(SETTINGS!$L$14:$L$17))*SETTINGS!$L$18,0)),"")</f>
        <v/>
      </c>
      <c r="BE48" s="190" t="str">
        <f>IFERROR(IF(ISBLANK(DATA!AE48),"",DATA!AE48),"")</f>
        <v/>
      </c>
      <c r="BF48" s="106" t="str">
        <f>IFERROR(IF(ISBLANK(BE48),"",ROUND((BE48/SETTINGS!$L$19)*SETTINGS!$L$20,0)),"")</f>
        <v/>
      </c>
      <c r="BG48" s="106" t="str">
        <f t="shared" si="23"/>
        <v/>
      </c>
      <c r="BH48" s="103" t="str">
        <f t="shared" si="4"/>
        <v/>
      </c>
      <c r="BI48" s="108" t="str">
        <f t="shared" si="24"/>
        <v/>
      </c>
      <c r="BJ48" s="130"/>
      <c r="BK48" s="190" t="str">
        <f>IFERROR(IF(ISBLANK(DATA!AG48),"",DATA!AG48),"")</f>
        <v/>
      </c>
      <c r="BL48" s="190" t="str">
        <f>IFERROR(IF(ISBLANK(DATA!AH48),"",DATA!AH48),"")</f>
        <v/>
      </c>
      <c r="BM48" s="190" t="str">
        <f>IFERROR(IF(ISBLANK(DATA!AI48),"",DATA!AI48),"")</f>
        <v/>
      </c>
      <c r="BN48" s="190" t="str">
        <f>IFERROR(IF(ISBLANK(DATA!AJ48),"",DATA!AJ48),"")</f>
        <v/>
      </c>
      <c r="BO48" s="97" t="str">
        <f t="shared" si="25"/>
        <v/>
      </c>
      <c r="BP48" s="106" t="str">
        <f>IFERROR(IF(BO48=0,"",ROUND((BO48/SUM(SETTINGS!$L$14:$L$17))*SETTINGS!$L$18,0)),"")</f>
        <v/>
      </c>
      <c r="BQ48" s="190" t="str">
        <f>IFERROR(IF(ISBLANK(DATA!AK48),"",DATA!AK48),"")</f>
        <v/>
      </c>
      <c r="BR48" s="106" t="str">
        <f>IFERROR(IF(ISBLANK(BQ48),"",ROUND((BQ48/SETTINGS!$L$19)*SETTINGS!$L$20,0)),"")</f>
        <v/>
      </c>
      <c r="BS48" s="106" t="str">
        <f t="shared" si="26"/>
        <v/>
      </c>
      <c r="BT48" s="103" t="str">
        <f t="shared" si="5"/>
        <v/>
      </c>
      <c r="BU48" s="107" t="str">
        <f t="shared" si="27"/>
        <v/>
      </c>
      <c r="BV48" s="130"/>
      <c r="BW48" s="190" t="str">
        <f>IFERROR(IF(ISBLANK(DATA!AM48),"",DATA!AM48),"")</f>
        <v/>
      </c>
      <c r="BX48" s="190" t="str">
        <f>IFERROR(IF(ISBLANK(DATA!AN48),"",DATA!AN48),"")</f>
        <v/>
      </c>
      <c r="BY48" s="190" t="str">
        <f>IFERROR(IF(ISBLANK(DATA!AO48),"",DATA!AO48),"")</f>
        <v/>
      </c>
      <c r="BZ48" s="190" t="str">
        <f>IFERROR(IF(ISBLANK(DATA!AP48),"",DATA!AP48),"")</f>
        <v/>
      </c>
      <c r="CA48" s="97" t="str">
        <f t="shared" si="28"/>
        <v/>
      </c>
      <c r="CB48" s="106" t="str">
        <f>IFERROR(IF(CA48=0,"",ROUND((CA48/SUM(SETTINGS!$L$14:$L$17))*SETTINGS!$L$18,0)),"")</f>
        <v/>
      </c>
      <c r="CC48" s="190" t="str">
        <f>IFERROR(IF(ISBLANK(DATA!AQ48),"",DATA!AQ48),"")</f>
        <v/>
      </c>
      <c r="CD48" s="106" t="str">
        <f>IFERROR(IF(ISBLANK(CC48),"",ROUND((CC48/SETTINGS!$L$19)*SETTINGS!$L$20,0)),"")</f>
        <v/>
      </c>
      <c r="CE48" s="106" t="str">
        <f t="shared" si="29"/>
        <v/>
      </c>
      <c r="CF48" s="103" t="str">
        <f t="shared" si="6"/>
        <v/>
      </c>
      <c r="CG48" s="107" t="str">
        <f t="shared" si="30"/>
        <v/>
      </c>
      <c r="CH48" s="130"/>
      <c r="CI48" s="190" t="str">
        <f>IFERROR(IF(ISBLANK(DATA!AS48),"",DATA!AS48),"")</f>
        <v/>
      </c>
      <c r="CJ48" s="190" t="str">
        <f>IFERROR(IF(ISBLANK(DATA!AT48),"",DATA!AT48),"")</f>
        <v/>
      </c>
      <c r="CK48" s="190" t="str">
        <f>IFERROR(IF(ISBLANK(DATA!AU48),"",DATA!AU48),"")</f>
        <v/>
      </c>
      <c r="CL48" s="190" t="str">
        <f>IFERROR(IF(ISBLANK(DATA!AV48),"",DATA!AV48),"")</f>
        <v/>
      </c>
      <c r="CM48" s="97" t="str">
        <f t="shared" si="31"/>
        <v/>
      </c>
      <c r="CN48" s="106" t="str">
        <f>IFERROR(IF(CM48=0,"",ROUND((CM48/SUM(SETTINGS!$L$14:$L$17))*SETTINGS!$L$18,0)),"")</f>
        <v/>
      </c>
      <c r="CO48" s="190" t="str">
        <f>IFERROR(IF(ISBLANK(DATA!AW48),"",DATA!AW48),"")</f>
        <v/>
      </c>
      <c r="CP48" s="106" t="str">
        <f>IFERROR(IF(ISBLANK(CO48),"",ROUND((CO48/SETTINGS!$L$19)*SETTINGS!$L$20,0)),"")</f>
        <v/>
      </c>
      <c r="CQ48" s="106" t="str">
        <f t="shared" si="32"/>
        <v/>
      </c>
      <c r="CR48" s="103" t="str">
        <f t="shared" si="7"/>
        <v/>
      </c>
      <c r="CS48" s="107" t="str">
        <f t="shared" si="33"/>
        <v/>
      </c>
      <c r="CT48" s="130"/>
      <c r="CU48" s="190" t="str">
        <f>IFERROR(IF(ISBLANK(DATA!AY48),"",DATA!AY48),"")</f>
        <v/>
      </c>
      <c r="CV48" s="190" t="str">
        <f>IFERROR(IF(ISBLANK(DATA!AZ48),"",DATA!AZ48),"")</f>
        <v/>
      </c>
      <c r="CW48" s="190" t="str">
        <f>IFERROR(IF(ISBLANK(DATA!BA48),"",DATA!BA48),"")</f>
        <v/>
      </c>
      <c r="CX48" s="190" t="str">
        <f>IFERROR(IF(ISBLANK(DATA!BB48),"",DATA!BB48),"")</f>
        <v/>
      </c>
      <c r="CY48" s="97" t="str">
        <f t="shared" si="34"/>
        <v/>
      </c>
      <c r="CZ48" s="106" t="str">
        <f>IFERROR(IF(CY48=0,"",ROUND((CY48/SUM(SETTINGS!$L$14:$L$17))*SETTINGS!$L$18,0)),"")</f>
        <v/>
      </c>
      <c r="DA48" s="190" t="str">
        <f>IFERROR(IF(ISBLANK(DATA!BC48),"",DATA!BC48),"")</f>
        <v/>
      </c>
      <c r="DB48" s="106" t="str">
        <f>IFERROR(IF(ISBLANK(DA48),"",ROUND((DA48/SETTINGS!$L$19)*SETTINGS!$L$20,0)),"")</f>
        <v/>
      </c>
      <c r="DC48" s="106" t="str">
        <f t="shared" si="35"/>
        <v/>
      </c>
      <c r="DD48" s="103" t="str">
        <f t="shared" si="8"/>
        <v/>
      </c>
      <c r="DE48" s="107" t="str">
        <f t="shared" si="36"/>
        <v/>
      </c>
      <c r="DF48" s="103" t="str">
        <f t="shared" si="9"/>
        <v/>
      </c>
      <c r="DG48" s="103" t="str">
        <f>IFERROR(IF(AND(K48,W48,AI48,AU48,BG48,BS48,CE48,CQ48,DC48)="","",SUM(K48,W48,AI48,AU48,LARGE((BG48,BS48,CE48,CQ48,DC48),{1,2}))),"")</f>
        <v/>
      </c>
      <c r="DH48" s="103" t="str">
        <f>IFERROR(IF(AND(M48,Y48,AK48,AW48,,BI48,BU48,CG48,CS48,DE48)="","",SUM(M48,Y48,AK48,AW48,SMALL((BI48,BU48,CG48,CS48,DE48),{1,2}))),"")</f>
        <v/>
      </c>
      <c r="DI48" s="109" t="str">
        <f>IFERROR(IF(ISBLANK($D48),"",pos&amp;IF(AND(MOD(ABS(pos),100)&gt;10,MOD(ABS(pos),100)&lt;14),"th",CHOOSE(MOD(ABS(pos),10)+1,"th","st","nd","rd","th","th","th","th","th","th"))),"")</f>
        <v/>
      </c>
      <c r="DJ48" s="62">
        <f>ROWS($B$12:$B48)</f>
        <v>37</v>
      </c>
      <c r="DK48" s="62" t="str">
        <f>IF($B48=REPORT_CARD!$M$12,$DJ48,"")</f>
        <v/>
      </c>
      <c r="DL48" s="62"/>
      <c r="DM48" s="186"/>
    </row>
    <row r="49" spans="1:117" ht="19.5" customHeight="1">
      <c r="A49" s="187" t="str">
        <f>IFERROR(IF(ISBLANK(DATA!$A49),"",DATA!$A49),"")</f>
        <v/>
      </c>
      <c r="B49" s="187" t="str">
        <f>IFERROR(IF(ISBLANK(DATA!$B49),"",DATA!$B49),"")</f>
        <v/>
      </c>
      <c r="C49" s="190" t="str">
        <f>IFERROR(IF(ISBLANK(DATA!C49),"",DATA!C49),"")</f>
        <v/>
      </c>
      <c r="D49" s="190" t="str">
        <f>IFERROR(IF(ISBLANK(DATA!D49),"",DATA!D49),"")</f>
        <v/>
      </c>
      <c r="E49" s="190" t="str">
        <f>IFERROR(IF(ISBLANK(DATA!E49),"",DATA!E49),"")</f>
        <v/>
      </c>
      <c r="F49" s="190" t="str">
        <f>IFERROR(IF(ISBLANK(DATA!F49),"",DATA!F49),"")</f>
        <v/>
      </c>
      <c r="G49" s="97" t="str">
        <f t="shared" si="37"/>
        <v/>
      </c>
      <c r="H49" s="106" t="str">
        <f>IFERROR(IF(G49=0,"",ROUND((G49/SUM(SETTINGS!$L$14:$L$17))*SETTINGS!$L$18,0)),"")</f>
        <v/>
      </c>
      <c r="I49" s="190" t="str">
        <f>IFERROR(IF(ISBLANK(DATA!G49),"",DATA!G49),"")</f>
        <v/>
      </c>
      <c r="J49" s="106" t="str">
        <f>IFERROR(IF(ISBLANK(I49),"",ROUND((I49/SETTINGS!$L$19)*SETTINGS!$L$20,0)),"")</f>
        <v/>
      </c>
      <c r="K49" s="106" t="str">
        <f t="shared" si="10"/>
        <v/>
      </c>
      <c r="L49" s="103" t="str">
        <f t="shared" si="0"/>
        <v/>
      </c>
      <c r="M49" s="107" t="str">
        <f t="shared" si="11"/>
        <v/>
      </c>
      <c r="N49" s="136"/>
      <c r="O49" s="190" t="str">
        <f>IFERROR(IF(ISBLANK(DATA!I49),"",DATA!I49),"")</f>
        <v/>
      </c>
      <c r="P49" s="190" t="str">
        <f>IFERROR(IF(ISBLANK(DATA!J49),"",DATA!J49),"")</f>
        <v/>
      </c>
      <c r="Q49" s="190" t="str">
        <f>IFERROR(IF(ISBLANK(DATA!K49),"",DATA!K49),"")</f>
        <v/>
      </c>
      <c r="R49" s="190" t="str">
        <f>IFERROR(IF(ISBLANK(DATA!L49),"",DATA!L49),"")</f>
        <v/>
      </c>
      <c r="S49" s="97" t="str">
        <f t="shared" si="38"/>
        <v/>
      </c>
      <c r="T49" s="106" t="str">
        <f>IFERROR(IF(S49=0,"",ROUND((S49/SUM(SETTINGS!$L$14:$L$17))*SETTINGS!$L$18,0)),"")</f>
        <v/>
      </c>
      <c r="U49" s="190" t="str">
        <f>IFERROR(IF(ISBLANK(DATA!M49),"",DATA!M49),"")</f>
        <v/>
      </c>
      <c r="V49" s="106" t="str">
        <f>IFERROR(IF(ISBLANK(U49),"",ROUND((U49/SETTINGS!$L$19)*SETTINGS!$L$20,0)),"")</f>
        <v/>
      </c>
      <c r="W49" s="106" t="str">
        <f t="shared" si="13"/>
        <v/>
      </c>
      <c r="X49" s="103" t="str">
        <f t="shared" si="14"/>
        <v/>
      </c>
      <c r="Y49" s="107" t="str">
        <f t="shared" si="15"/>
        <v/>
      </c>
      <c r="Z49" s="130"/>
      <c r="AA49" s="190" t="str">
        <f>IFERROR(IF(ISBLANK(DATA!O49),"",DATA!O49),"")</f>
        <v/>
      </c>
      <c r="AB49" s="190" t="str">
        <f>IFERROR(IF(ISBLANK(DATA!P49),"",DATA!P49),"")</f>
        <v/>
      </c>
      <c r="AC49" s="190" t="str">
        <f>IFERROR(IF(ISBLANK(DATA!Q49),"",DATA!Q49),"")</f>
        <v/>
      </c>
      <c r="AD49" s="190" t="str">
        <f>IFERROR(IF(ISBLANK(DATA!R49),"",DATA!R49),"")</f>
        <v/>
      </c>
      <c r="AE49" s="97" t="str">
        <f t="shared" si="39"/>
        <v/>
      </c>
      <c r="AF49" s="106" t="str">
        <f>IFERROR(IF(AE49=0,"",ROUND((AE49/SUM(SETTINGS!$L$14:$L$17))*SETTINGS!$L$18,0)),"")</f>
        <v/>
      </c>
      <c r="AG49" s="190" t="str">
        <f>IFERROR(IF(ISBLANK(DATA!S49),"",DATA!S49),"")</f>
        <v/>
      </c>
      <c r="AH49" s="106" t="str">
        <f>IFERROR(IF(ISBLANK(AG49),"",ROUND((AG49/SETTINGS!$L$19)*SETTINGS!$L$20,0)),"")</f>
        <v/>
      </c>
      <c r="AI49" s="106" t="str">
        <f t="shared" si="17"/>
        <v/>
      </c>
      <c r="AJ49" s="103" t="str">
        <f t="shared" si="2"/>
        <v/>
      </c>
      <c r="AK49" s="108" t="str">
        <f t="shared" si="18"/>
        <v/>
      </c>
      <c r="AL49" s="130"/>
      <c r="AM49" s="190" t="str">
        <f>IFERROR(IF(ISBLANK(DATA!U49),"",DATA!U49),"")</f>
        <v/>
      </c>
      <c r="AN49" s="190" t="str">
        <f>IFERROR(IF(ISBLANK(DATA!V49),"",DATA!V49),"")</f>
        <v/>
      </c>
      <c r="AO49" s="190" t="str">
        <f>IFERROR(IF(ISBLANK(DATA!W49),"",DATA!W49),"")</f>
        <v/>
      </c>
      <c r="AP49" s="190" t="str">
        <f>IFERROR(IF(ISBLANK(DATA!X49),"",DATA!X49),"")</f>
        <v/>
      </c>
      <c r="AQ49" s="97" t="str">
        <f t="shared" si="19"/>
        <v/>
      </c>
      <c r="AR49" s="106" t="str">
        <f>IFERROR(IF(AQ49=0,"",ROUND((AQ49/SUM(SETTINGS!$L$14:$L$17))*SETTINGS!$L$18,0)),"")</f>
        <v/>
      </c>
      <c r="AS49" s="190" t="str">
        <f>IFERROR(IF(ISBLANK(DATA!Y49),"",DATA!Y49),"")</f>
        <v/>
      </c>
      <c r="AT49" s="106" t="str">
        <f>IFERROR(IF(ISBLANK(AS49),"",ROUND((AS49/SETTINGS!$L$19)*SETTINGS!$L$20,0)),"")</f>
        <v/>
      </c>
      <c r="AU49" s="106" t="str">
        <f t="shared" si="20"/>
        <v/>
      </c>
      <c r="AV49" s="103" t="str">
        <f t="shared" si="3"/>
        <v/>
      </c>
      <c r="AW49" s="107" t="str">
        <f t="shared" si="21"/>
        <v/>
      </c>
      <c r="AX49" s="130"/>
      <c r="AY49" s="190" t="str">
        <f>IFERROR(IF(ISBLANK(DATA!AA49),"",DATA!AA49),"")</f>
        <v/>
      </c>
      <c r="AZ49" s="190" t="str">
        <f>IFERROR(IF(ISBLANK(DATA!AB49),"",DATA!AB49),"")</f>
        <v/>
      </c>
      <c r="BA49" s="190" t="str">
        <f>IFERROR(IF(ISBLANK(DATA!AC49),"",DATA!AC49),"")</f>
        <v/>
      </c>
      <c r="BB49" s="190" t="str">
        <f>IFERROR(IF(ISBLANK(DATA!AD49),"",DATA!AD49),"")</f>
        <v/>
      </c>
      <c r="BC49" s="97" t="str">
        <f t="shared" si="22"/>
        <v/>
      </c>
      <c r="BD49" s="106" t="str">
        <f>IFERROR(IF(BC49=0,"",ROUND((BC49/SUM(SETTINGS!$L$14:$L$17))*SETTINGS!$L$18,0)),"")</f>
        <v/>
      </c>
      <c r="BE49" s="190" t="str">
        <f>IFERROR(IF(ISBLANK(DATA!AE49),"",DATA!AE49),"")</f>
        <v/>
      </c>
      <c r="BF49" s="106" t="str">
        <f>IFERROR(IF(ISBLANK(BE49),"",ROUND((BE49/SETTINGS!$L$19)*SETTINGS!$L$20,0)),"")</f>
        <v/>
      </c>
      <c r="BG49" s="106" t="str">
        <f t="shared" si="23"/>
        <v/>
      </c>
      <c r="BH49" s="103" t="str">
        <f t="shared" si="4"/>
        <v/>
      </c>
      <c r="BI49" s="108" t="str">
        <f t="shared" si="24"/>
        <v/>
      </c>
      <c r="BJ49" s="130"/>
      <c r="BK49" s="190" t="str">
        <f>IFERROR(IF(ISBLANK(DATA!AG49),"",DATA!AG49),"")</f>
        <v/>
      </c>
      <c r="BL49" s="190" t="str">
        <f>IFERROR(IF(ISBLANK(DATA!AH49),"",DATA!AH49),"")</f>
        <v/>
      </c>
      <c r="BM49" s="190" t="str">
        <f>IFERROR(IF(ISBLANK(DATA!AI49),"",DATA!AI49),"")</f>
        <v/>
      </c>
      <c r="BN49" s="190" t="str">
        <f>IFERROR(IF(ISBLANK(DATA!AJ49),"",DATA!AJ49),"")</f>
        <v/>
      </c>
      <c r="BO49" s="97" t="str">
        <f t="shared" si="25"/>
        <v/>
      </c>
      <c r="BP49" s="106" t="str">
        <f>IFERROR(IF(BO49=0,"",ROUND((BO49/SUM(SETTINGS!$L$14:$L$17))*SETTINGS!$L$18,0)),"")</f>
        <v/>
      </c>
      <c r="BQ49" s="190" t="str">
        <f>IFERROR(IF(ISBLANK(DATA!AK49),"",DATA!AK49),"")</f>
        <v/>
      </c>
      <c r="BR49" s="106" t="str">
        <f>IFERROR(IF(ISBLANK(BQ49),"",ROUND((BQ49/SETTINGS!$L$19)*SETTINGS!$L$20,0)),"")</f>
        <v/>
      </c>
      <c r="BS49" s="106" t="str">
        <f t="shared" si="26"/>
        <v/>
      </c>
      <c r="BT49" s="103" t="str">
        <f t="shared" si="5"/>
        <v/>
      </c>
      <c r="BU49" s="107" t="str">
        <f t="shared" si="27"/>
        <v/>
      </c>
      <c r="BV49" s="130"/>
      <c r="BW49" s="190" t="str">
        <f>IFERROR(IF(ISBLANK(DATA!AM49),"",DATA!AM49),"")</f>
        <v/>
      </c>
      <c r="BX49" s="190" t="str">
        <f>IFERROR(IF(ISBLANK(DATA!AN49),"",DATA!AN49),"")</f>
        <v/>
      </c>
      <c r="BY49" s="190" t="str">
        <f>IFERROR(IF(ISBLANK(DATA!AO49),"",DATA!AO49),"")</f>
        <v/>
      </c>
      <c r="BZ49" s="190" t="str">
        <f>IFERROR(IF(ISBLANK(DATA!AP49),"",DATA!AP49),"")</f>
        <v/>
      </c>
      <c r="CA49" s="97" t="str">
        <f t="shared" si="28"/>
        <v/>
      </c>
      <c r="CB49" s="106" t="str">
        <f>IFERROR(IF(CA49=0,"",ROUND((CA49/SUM(SETTINGS!$L$14:$L$17))*SETTINGS!$L$18,0)),"")</f>
        <v/>
      </c>
      <c r="CC49" s="190" t="str">
        <f>IFERROR(IF(ISBLANK(DATA!AQ49),"",DATA!AQ49),"")</f>
        <v/>
      </c>
      <c r="CD49" s="106" t="str">
        <f>IFERROR(IF(ISBLANK(CC49),"",ROUND((CC49/SETTINGS!$L$19)*SETTINGS!$L$20,0)),"")</f>
        <v/>
      </c>
      <c r="CE49" s="106" t="str">
        <f t="shared" si="29"/>
        <v/>
      </c>
      <c r="CF49" s="103" t="str">
        <f t="shared" si="6"/>
        <v/>
      </c>
      <c r="CG49" s="107" t="str">
        <f t="shared" si="30"/>
        <v/>
      </c>
      <c r="CH49" s="130"/>
      <c r="CI49" s="190" t="str">
        <f>IFERROR(IF(ISBLANK(DATA!AS49),"",DATA!AS49),"")</f>
        <v/>
      </c>
      <c r="CJ49" s="190" t="str">
        <f>IFERROR(IF(ISBLANK(DATA!AT49),"",DATA!AT49),"")</f>
        <v/>
      </c>
      <c r="CK49" s="190" t="str">
        <f>IFERROR(IF(ISBLANK(DATA!AU49),"",DATA!AU49),"")</f>
        <v/>
      </c>
      <c r="CL49" s="190" t="str">
        <f>IFERROR(IF(ISBLANK(DATA!AV49),"",DATA!AV49),"")</f>
        <v/>
      </c>
      <c r="CM49" s="97" t="str">
        <f t="shared" si="31"/>
        <v/>
      </c>
      <c r="CN49" s="106" t="str">
        <f>IFERROR(IF(CM49=0,"",ROUND((CM49/SUM(SETTINGS!$L$14:$L$17))*SETTINGS!$L$18,0)),"")</f>
        <v/>
      </c>
      <c r="CO49" s="190" t="str">
        <f>IFERROR(IF(ISBLANK(DATA!AW49),"",DATA!AW49),"")</f>
        <v/>
      </c>
      <c r="CP49" s="106" t="str">
        <f>IFERROR(IF(ISBLANK(CO49),"",ROUND((CO49/SETTINGS!$L$19)*SETTINGS!$L$20,0)),"")</f>
        <v/>
      </c>
      <c r="CQ49" s="106" t="str">
        <f t="shared" si="32"/>
        <v/>
      </c>
      <c r="CR49" s="103" t="str">
        <f t="shared" si="7"/>
        <v/>
      </c>
      <c r="CS49" s="107" t="str">
        <f t="shared" si="33"/>
        <v/>
      </c>
      <c r="CT49" s="130"/>
      <c r="CU49" s="190" t="str">
        <f>IFERROR(IF(ISBLANK(DATA!AY49),"",DATA!AY49),"")</f>
        <v/>
      </c>
      <c r="CV49" s="190" t="str">
        <f>IFERROR(IF(ISBLANK(DATA!AZ49),"",DATA!AZ49),"")</f>
        <v/>
      </c>
      <c r="CW49" s="190" t="str">
        <f>IFERROR(IF(ISBLANK(DATA!BA49),"",DATA!BA49),"")</f>
        <v/>
      </c>
      <c r="CX49" s="190" t="str">
        <f>IFERROR(IF(ISBLANK(DATA!BB49),"",DATA!BB49),"")</f>
        <v/>
      </c>
      <c r="CY49" s="97" t="str">
        <f t="shared" si="34"/>
        <v/>
      </c>
      <c r="CZ49" s="106" t="str">
        <f>IFERROR(IF(CY49=0,"",ROUND((CY49/SUM(SETTINGS!$L$14:$L$17))*SETTINGS!$L$18,0)),"")</f>
        <v/>
      </c>
      <c r="DA49" s="190" t="str">
        <f>IFERROR(IF(ISBLANK(DATA!BC49),"",DATA!BC49),"")</f>
        <v/>
      </c>
      <c r="DB49" s="106" t="str">
        <f>IFERROR(IF(ISBLANK(DA49),"",ROUND((DA49/SETTINGS!$L$19)*SETTINGS!$L$20,0)),"")</f>
        <v/>
      </c>
      <c r="DC49" s="106" t="str">
        <f t="shared" si="35"/>
        <v/>
      </c>
      <c r="DD49" s="103" t="str">
        <f t="shared" si="8"/>
        <v/>
      </c>
      <c r="DE49" s="107" t="str">
        <f t="shared" si="36"/>
        <v/>
      </c>
      <c r="DF49" s="103" t="str">
        <f t="shared" si="9"/>
        <v/>
      </c>
      <c r="DG49" s="103" t="str">
        <f>IFERROR(IF(AND(K49,W49,AI49,AU49,BG49,BS49,CE49,CQ49,DC49)="","",SUM(K49,W49,AI49,AU49,LARGE((BG49,BS49,CE49,CQ49,DC49),{1,2}))),"")</f>
        <v/>
      </c>
      <c r="DH49" s="103" t="str">
        <f>IFERROR(IF(AND(M49,Y49,AK49,AW49,,BI49,BU49,CG49,CS49,DE49)="","",SUM(M49,Y49,AK49,AW49,SMALL((BI49,BU49,CG49,CS49,DE49),{1,2}))),"")</f>
        <v/>
      </c>
      <c r="DI49" s="109" t="str">
        <f>IFERROR(IF(ISBLANK($D49),"",pos&amp;IF(AND(MOD(ABS(pos),100)&gt;10,MOD(ABS(pos),100)&lt;14),"th",CHOOSE(MOD(ABS(pos),10)+1,"th","st","nd","rd","th","th","th","th","th","th"))),"")</f>
        <v/>
      </c>
      <c r="DJ49" s="62">
        <f>ROWS($B$12:$B49)</f>
        <v>38</v>
      </c>
      <c r="DK49" s="62" t="str">
        <f>IF($B49=REPORT_CARD!$M$12,$DJ49,"")</f>
        <v/>
      </c>
      <c r="DL49" s="62"/>
      <c r="DM49" s="186"/>
    </row>
    <row r="50" spans="1:117" ht="19.5" customHeight="1">
      <c r="A50" s="187" t="str">
        <f>IFERROR(IF(ISBLANK(DATA!$A50),"",DATA!$A50),"")</f>
        <v/>
      </c>
      <c r="B50" s="187" t="str">
        <f>IFERROR(IF(ISBLANK(DATA!$B50),"",DATA!$B50),"")</f>
        <v/>
      </c>
      <c r="C50" s="190" t="str">
        <f>IFERROR(IF(ISBLANK(DATA!C50),"",DATA!C50),"")</f>
        <v/>
      </c>
      <c r="D50" s="190" t="str">
        <f>IFERROR(IF(ISBLANK(DATA!D50),"",DATA!D50),"")</f>
        <v/>
      </c>
      <c r="E50" s="190" t="str">
        <f>IFERROR(IF(ISBLANK(DATA!E50),"",DATA!E50),"")</f>
        <v/>
      </c>
      <c r="F50" s="190" t="str">
        <f>IFERROR(IF(ISBLANK(DATA!F50),"",DATA!F50),"")</f>
        <v/>
      </c>
      <c r="G50" s="97" t="str">
        <f t="shared" si="37"/>
        <v/>
      </c>
      <c r="H50" s="106" t="str">
        <f>IFERROR(IF(G50=0,"",ROUND((G50/SUM(SETTINGS!$L$14:$L$17))*SETTINGS!$L$18,0)),"")</f>
        <v/>
      </c>
      <c r="I50" s="190" t="str">
        <f>IFERROR(IF(ISBLANK(DATA!G50),"",DATA!G50),"")</f>
        <v/>
      </c>
      <c r="J50" s="106" t="str">
        <f>IFERROR(IF(ISBLANK(I50),"",ROUND((I50/SETTINGS!$L$19)*SETTINGS!$L$20,0)),"")</f>
        <v/>
      </c>
      <c r="K50" s="106" t="str">
        <f t="shared" si="10"/>
        <v/>
      </c>
      <c r="L50" s="103" t="str">
        <f t="shared" si="0"/>
        <v/>
      </c>
      <c r="M50" s="107" t="str">
        <f t="shared" si="11"/>
        <v/>
      </c>
      <c r="N50" s="136"/>
      <c r="O50" s="190" t="str">
        <f>IFERROR(IF(ISBLANK(DATA!I50),"",DATA!I50),"")</f>
        <v/>
      </c>
      <c r="P50" s="190" t="str">
        <f>IFERROR(IF(ISBLANK(DATA!J50),"",DATA!J50),"")</f>
        <v/>
      </c>
      <c r="Q50" s="190" t="str">
        <f>IFERROR(IF(ISBLANK(DATA!K50),"",DATA!K50),"")</f>
        <v/>
      </c>
      <c r="R50" s="190" t="str">
        <f>IFERROR(IF(ISBLANK(DATA!L50),"",DATA!L50),"")</f>
        <v/>
      </c>
      <c r="S50" s="97" t="str">
        <f t="shared" si="38"/>
        <v/>
      </c>
      <c r="T50" s="106" t="str">
        <f>IFERROR(IF(S50=0,"",ROUND((S50/SUM(SETTINGS!$L$14:$L$17))*SETTINGS!$L$18,0)),"")</f>
        <v/>
      </c>
      <c r="U50" s="190" t="str">
        <f>IFERROR(IF(ISBLANK(DATA!M50),"",DATA!M50),"")</f>
        <v/>
      </c>
      <c r="V50" s="106" t="str">
        <f>IFERROR(IF(ISBLANK(U50),"",ROUND((U50/SETTINGS!$L$19)*SETTINGS!$L$20,0)),"")</f>
        <v/>
      </c>
      <c r="W50" s="106" t="str">
        <f t="shared" si="13"/>
        <v/>
      </c>
      <c r="X50" s="103" t="str">
        <f t="shared" si="14"/>
        <v/>
      </c>
      <c r="Y50" s="107" t="str">
        <f t="shared" si="15"/>
        <v/>
      </c>
      <c r="Z50" s="130"/>
      <c r="AA50" s="190" t="str">
        <f>IFERROR(IF(ISBLANK(DATA!O50),"",DATA!O50),"")</f>
        <v/>
      </c>
      <c r="AB50" s="190" t="str">
        <f>IFERROR(IF(ISBLANK(DATA!P50),"",DATA!P50),"")</f>
        <v/>
      </c>
      <c r="AC50" s="190" t="str">
        <f>IFERROR(IF(ISBLANK(DATA!Q50),"",DATA!Q50),"")</f>
        <v/>
      </c>
      <c r="AD50" s="190" t="str">
        <f>IFERROR(IF(ISBLANK(DATA!R50),"",DATA!R50),"")</f>
        <v/>
      </c>
      <c r="AE50" s="97" t="str">
        <f t="shared" si="39"/>
        <v/>
      </c>
      <c r="AF50" s="106" t="str">
        <f>IFERROR(IF(AE50=0,"",ROUND((AE50/SUM(SETTINGS!$L$14:$L$17))*SETTINGS!$L$18,0)),"")</f>
        <v/>
      </c>
      <c r="AG50" s="190" t="str">
        <f>IFERROR(IF(ISBLANK(DATA!S50),"",DATA!S50),"")</f>
        <v/>
      </c>
      <c r="AH50" s="106" t="str">
        <f>IFERROR(IF(ISBLANK(AG50),"",ROUND((AG50/SETTINGS!$L$19)*SETTINGS!$L$20,0)),"")</f>
        <v/>
      </c>
      <c r="AI50" s="106" t="str">
        <f t="shared" si="17"/>
        <v/>
      </c>
      <c r="AJ50" s="103" t="str">
        <f t="shared" si="2"/>
        <v/>
      </c>
      <c r="AK50" s="108" t="str">
        <f t="shared" si="18"/>
        <v/>
      </c>
      <c r="AL50" s="130"/>
      <c r="AM50" s="190" t="str">
        <f>IFERROR(IF(ISBLANK(DATA!U50),"",DATA!U50),"")</f>
        <v/>
      </c>
      <c r="AN50" s="190" t="str">
        <f>IFERROR(IF(ISBLANK(DATA!V50),"",DATA!V50),"")</f>
        <v/>
      </c>
      <c r="AO50" s="190" t="str">
        <f>IFERROR(IF(ISBLANK(DATA!W50),"",DATA!W50),"")</f>
        <v/>
      </c>
      <c r="AP50" s="190" t="str">
        <f>IFERROR(IF(ISBLANK(DATA!X50),"",DATA!X50),"")</f>
        <v/>
      </c>
      <c r="AQ50" s="97" t="str">
        <f t="shared" si="19"/>
        <v/>
      </c>
      <c r="AR50" s="106" t="str">
        <f>IFERROR(IF(AQ50=0,"",ROUND((AQ50/SUM(SETTINGS!$L$14:$L$17))*SETTINGS!$L$18,0)),"")</f>
        <v/>
      </c>
      <c r="AS50" s="190" t="str">
        <f>IFERROR(IF(ISBLANK(DATA!Y50),"",DATA!Y50),"")</f>
        <v/>
      </c>
      <c r="AT50" s="106" t="str">
        <f>IFERROR(IF(ISBLANK(AS50),"",ROUND((AS50/SETTINGS!$L$19)*SETTINGS!$L$20,0)),"")</f>
        <v/>
      </c>
      <c r="AU50" s="106" t="str">
        <f t="shared" si="20"/>
        <v/>
      </c>
      <c r="AV50" s="103" t="str">
        <f t="shared" si="3"/>
        <v/>
      </c>
      <c r="AW50" s="107" t="str">
        <f t="shared" si="21"/>
        <v/>
      </c>
      <c r="AX50" s="130"/>
      <c r="AY50" s="190" t="str">
        <f>IFERROR(IF(ISBLANK(DATA!AA50),"",DATA!AA50),"")</f>
        <v/>
      </c>
      <c r="AZ50" s="190" t="str">
        <f>IFERROR(IF(ISBLANK(DATA!AB50),"",DATA!AB50),"")</f>
        <v/>
      </c>
      <c r="BA50" s="190" t="str">
        <f>IFERROR(IF(ISBLANK(DATA!AC50),"",DATA!AC50),"")</f>
        <v/>
      </c>
      <c r="BB50" s="190" t="str">
        <f>IFERROR(IF(ISBLANK(DATA!AD50),"",DATA!AD50),"")</f>
        <v/>
      </c>
      <c r="BC50" s="97" t="str">
        <f t="shared" si="22"/>
        <v/>
      </c>
      <c r="BD50" s="106" t="str">
        <f>IFERROR(IF(BC50=0,"",ROUND((BC50/SUM(SETTINGS!$L$14:$L$17))*SETTINGS!$L$18,0)),"")</f>
        <v/>
      </c>
      <c r="BE50" s="190" t="str">
        <f>IFERROR(IF(ISBLANK(DATA!AE50),"",DATA!AE50),"")</f>
        <v/>
      </c>
      <c r="BF50" s="106" t="str">
        <f>IFERROR(IF(ISBLANK(BE50),"",ROUND((BE50/SETTINGS!$L$19)*SETTINGS!$L$20,0)),"")</f>
        <v/>
      </c>
      <c r="BG50" s="106" t="str">
        <f t="shared" si="23"/>
        <v/>
      </c>
      <c r="BH50" s="103" t="str">
        <f t="shared" si="4"/>
        <v/>
      </c>
      <c r="BI50" s="108" t="str">
        <f t="shared" si="24"/>
        <v/>
      </c>
      <c r="BJ50" s="130"/>
      <c r="BK50" s="190" t="str">
        <f>IFERROR(IF(ISBLANK(DATA!AG50),"",DATA!AG50),"")</f>
        <v/>
      </c>
      <c r="BL50" s="190" t="str">
        <f>IFERROR(IF(ISBLANK(DATA!AH50),"",DATA!AH50),"")</f>
        <v/>
      </c>
      <c r="BM50" s="190" t="str">
        <f>IFERROR(IF(ISBLANK(DATA!AI50),"",DATA!AI50),"")</f>
        <v/>
      </c>
      <c r="BN50" s="190" t="str">
        <f>IFERROR(IF(ISBLANK(DATA!AJ50),"",DATA!AJ50),"")</f>
        <v/>
      </c>
      <c r="BO50" s="97" t="str">
        <f t="shared" si="25"/>
        <v/>
      </c>
      <c r="BP50" s="106" t="str">
        <f>IFERROR(IF(BO50=0,"",ROUND((BO50/SUM(SETTINGS!$L$14:$L$17))*SETTINGS!$L$18,0)),"")</f>
        <v/>
      </c>
      <c r="BQ50" s="190" t="str">
        <f>IFERROR(IF(ISBLANK(DATA!AK50),"",DATA!AK50),"")</f>
        <v/>
      </c>
      <c r="BR50" s="106" t="str">
        <f>IFERROR(IF(ISBLANK(BQ50),"",ROUND((BQ50/SETTINGS!$L$19)*SETTINGS!$L$20,0)),"")</f>
        <v/>
      </c>
      <c r="BS50" s="106" t="str">
        <f t="shared" si="26"/>
        <v/>
      </c>
      <c r="BT50" s="103" t="str">
        <f t="shared" si="5"/>
        <v/>
      </c>
      <c r="BU50" s="107" t="str">
        <f t="shared" si="27"/>
        <v/>
      </c>
      <c r="BV50" s="130"/>
      <c r="BW50" s="190" t="str">
        <f>IFERROR(IF(ISBLANK(DATA!AM50),"",DATA!AM50),"")</f>
        <v/>
      </c>
      <c r="BX50" s="190" t="str">
        <f>IFERROR(IF(ISBLANK(DATA!AN50),"",DATA!AN50),"")</f>
        <v/>
      </c>
      <c r="BY50" s="190" t="str">
        <f>IFERROR(IF(ISBLANK(DATA!AO50),"",DATA!AO50),"")</f>
        <v/>
      </c>
      <c r="BZ50" s="190" t="str">
        <f>IFERROR(IF(ISBLANK(DATA!AP50),"",DATA!AP50),"")</f>
        <v/>
      </c>
      <c r="CA50" s="97" t="str">
        <f t="shared" si="28"/>
        <v/>
      </c>
      <c r="CB50" s="106" t="str">
        <f>IFERROR(IF(CA50=0,"",ROUND((CA50/SUM(SETTINGS!$L$14:$L$17))*SETTINGS!$L$18,0)),"")</f>
        <v/>
      </c>
      <c r="CC50" s="190" t="str">
        <f>IFERROR(IF(ISBLANK(DATA!AQ50),"",DATA!AQ50),"")</f>
        <v/>
      </c>
      <c r="CD50" s="106" t="str">
        <f>IFERROR(IF(ISBLANK(CC50),"",ROUND((CC50/SETTINGS!$L$19)*SETTINGS!$L$20,0)),"")</f>
        <v/>
      </c>
      <c r="CE50" s="106" t="str">
        <f t="shared" si="29"/>
        <v/>
      </c>
      <c r="CF50" s="103" t="str">
        <f t="shared" si="6"/>
        <v/>
      </c>
      <c r="CG50" s="107" t="str">
        <f t="shared" si="30"/>
        <v/>
      </c>
      <c r="CH50" s="130"/>
      <c r="CI50" s="190" t="str">
        <f>IFERROR(IF(ISBLANK(DATA!AS50),"",DATA!AS50),"")</f>
        <v/>
      </c>
      <c r="CJ50" s="190" t="str">
        <f>IFERROR(IF(ISBLANK(DATA!AT50),"",DATA!AT50),"")</f>
        <v/>
      </c>
      <c r="CK50" s="190" t="str">
        <f>IFERROR(IF(ISBLANK(DATA!AU50),"",DATA!AU50),"")</f>
        <v/>
      </c>
      <c r="CL50" s="190" t="str">
        <f>IFERROR(IF(ISBLANK(DATA!AV50),"",DATA!AV50),"")</f>
        <v/>
      </c>
      <c r="CM50" s="97" t="str">
        <f t="shared" si="31"/>
        <v/>
      </c>
      <c r="CN50" s="106" t="str">
        <f>IFERROR(IF(CM50=0,"",ROUND((CM50/SUM(SETTINGS!$L$14:$L$17))*SETTINGS!$L$18,0)),"")</f>
        <v/>
      </c>
      <c r="CO50" s="190" t="str">
        <f>IFERROR(IF(ISBLANK(DATA!AW50),"",DATA!AW50),"")</f>
        <v/>
      </c>
      <c r="CP50" s="106" t="str">
        <f>IFERROR(IF(ISBLANK(CO50),"",ROUND((CO50/SETTINGS!$L$19)*SETTINGS!$L$20,0)),"")</f>
        <v/>
      </c>
      <c r="CQ50" s="106" t="str">
        <f t="shared" si="32"/>
        <v/>
      </c>
      <c r="CR50" s="103" t="str">
        <f t="shared" si="7"/>
        <v/>
      </c>
      <c r="CS50" s="107" t="str">
        <f t="shared" si="33"/>
        <v/>
      </c>
      <c r="CT50" s="130"/>
      <c r="CU50" s="190" t="str">
        <f>IFERROR(IF(ISBLANK(DATA!AY50),"",DATA!AY50),"")</f>
        <v/>
      </c>
      <c r="CV50" s="190" t="str">
        <f>IFERROR(IF(ISBLANK(DATA!AZ50),"",DATA!AZ50),"")</f>
        <v/>
      </c>
      <c r="CW50" s="190" t="str">
        <f>IFERROR(IF(ISBLANK(DATA!BA50),"",DATA!BA50),"")</f>
        <v/>
      </c>
      <c r="CX50" s="190" t="str">
        <f>IFERROR(IF(ISBLANK(DATA!BB50),"",DATA!BB50),"")</f>
        <v/>
      </c>
      <c r="CY50" s="97" t="str">
        <f t="shared" si="34"/>
        <v/>
      </c>
      <c r="CZ50" s="106" t="str">
        <f>IFERROR(IF(CY50=0,"",ROUND((CY50/SUM(SETTINGS!$L$14:$L$17))*SETTINGS!$L$18,0)),"")</f>
        <v/>
      </c>
      <c r="DA50" s="190" t="str">
        <f>IFERROR(IF(ISBLANK(DATA!BC50),"",DATA!BC50),"")</f>
        <v/>
      </c>
      <c r="DB50" s="106" t="str">
        <f>IFERROR(IF(ISBLANK(DA50),"",ROUND((DA50/SETTINGS!$L$19)*SETTINGS!$L$20,0)),"")</f>
        <v/>
      </c>
      <c r="DC50" s="106" t="str">
        <f t="shared" si="35"/>
        <v/>
      </c>
      <c r="DD50" s="103" t="str">
        <f t="shared" si="8"/>
        <v/>
      </c>
      <c r="DE50" s="107" t="str">
        <f t="shared" si="36"/>
        <v/>
      </c>
      <c r="DF50" s="103" t="str">
        <f t="shared" si="9"/>
        <v/>
      </c>
      <c r="DG50" s="103" t="str">
        <f>IFERROR(IF(AND(K50,W50,AI50,AU50,BG50,BS50,CE50,CQ50,DC50)="","",SUM(K50,W50,AI50,AU50,LARGE((BG50,BS50,CE50,CQ50,DC50),{1,2}))),"")</f>
        <v/>
      </c>
      <c r="DH50" s="103" t="str">
        <f>IFERROR(IF(AND(M50,Y50,AK50,AW50,,BI50,BU50,CG50,CS50,DE50)="","",SUM(M50,Y50,AK50,AW50,SMALL((BI50,BU50,CG50,CS50,DE50),{1,2}))),"")</f>
        <v/>
      </c>
      <c r="DI50" s="109" t="str">
        <f>IFERROR(IF(ISBLANK($D50),"",pos&amp;IF(AND(MOD(ABS(pos),100)&gt;10,MOD(ABS(pos),100)&lt;14),"th",CHOOSE(MOD(ABS(pos),10)+1,"th","st","nd","rd","th","th","th","th","th","th"))),"")</f>
        <v/>
      </c>
      <c r="DJ50" s="62">
        <f>ROWS($B$12:$B50)</f>
        <v>39</v>
      </c>
      <c r="DK50" s="62" t="str">
        <f>IF($B50=REPORT_CARD!$M$12,$DJ50,"")</f>
        <v/>
      </c>
      <c r="DL50" s="62"/>
      <c r="DM50" s="186"/>
    </row>
    <row r="51" spans="1:117" ht="19.5" customHeight="1">
      <c r="A51" s="187" t="str">
        <f>IFERROR(IF(ISBLANK(DATA!$A51),"",DATA!$A51),"")</f>
        <v/>
      </c>
      <c r="B51" s="187" t="str">
        <f>IFERROR(IF(ISBLANK(DATA!$B51),"",DATA!$B51),"")</f>
        <v/>
      </c>
      <c r="C51" s="190" t="str">
        <f>IFERROR(IF(ISBLANK(DATA!C51),"",DATA!C51),"")</f>
        <v/>
      </c>
      <c r="D51" s="190" t="str">
        <f>IFERROR(IF(ISBLANK(DATA!D51),"",DATA!D51),"")</f>
        <v/>
      </c>
      <c r="E51" s="190" t="str">
        <f>IFERROR(IF(ISBLANK(DATA!E51),"",DATA!E51),"")</f>
        <v/>
      </c>
      <c r="F51" s="190" t="str">
        <f>IFERROR(IF(ISBLANK(DATA!F51),"",DATA!F51),"")</f>
        <v/>
      </c>
      <c r="G51" s="97" t="str">
        <f t="shared" si="37"/>
        <v/>
      </c>
      <c r="H51" s="106" t="str">
        <f>IFERROR(IF(G51=0,"",ROUND((G51/SUM(SETTINGS!$L$14:$L$17))*SETTINGS!$L$18,0)),"")</f>
        <v/>
      </c>
      <c r="I51" s="190" t="str">
        <f>IFERROR(IF(ISBLANK(DATA!G51),"",DATA!G51),"")</f>
        <v/>
      </c>
      <c r="J51" s="106" t="str">
        <f>IFERROR(IF(ISBLANK(I51),"",ROUND((I51/SETTINGS!$L$19)*SETTINGS!$L$20,0)),"")</f>
        <v/>
      </c>
      <c r="K51" s="106" t="str">
        <f t="shared" si="10"/>
        <v/>
      </c>
      <c r="L51" s="103" t="str">
        <f t="shared" si="0"/>
        <v/>
      </c>
      <c r="M51" s="107" t="str">
        <f t="shared" si="11"/>
        <v/>
      </c>
      <c r="N51" s="136"/>
      <c r="O51" s="190" t="str">
        <f>IFERROR(IF(ISBLANK(DATA!I51),"",DATA!I51),"")</f>
        <v/>
      </c>
      <c r="P51" s="190" t="str">
        <f>IFERROR(IF(ISBLANK(DATA!J51),"",DATA!J51),"")</f>
        <v/>
      </c>
      <c r="Q51" s="190" t="str">
        <f>IFERROR(IF(ISBLANK(DATA!K51),"",DATA!K51),"")</f>
        <v/>
      </c>
      <c r="R51" s="190" t="str">
        <f>IFERROR(IF(ISBLANK(DATA!L51),"",DATA!L51),"")</f>
        <v/>
      </c>
      <c r="S51" s="97" t="str">
        <f t="shared" si="38"/>
        <v/>
      </c>
      <c r="T51" s="106" t="str">
        <f>IFERROR(IF(S51=0,"",ROUND((S51/SUM(SETTINGS!$L$14:$L$17))*SETTINGS!$L$18,0)),"")</f>
        <v/>
      </c>
      <c r="U51" s="190" t="str">
        <f>IFERROR(IF(ISBLANK(DATA!M51),"",DATA!M51),"")</f>
        <v/>
      </c>
      <c r="V51" s="106" t="str">
        <f>IFERROR(IF(ISBLANK(U51),"",ROUND((U51/SETTINGS!$L$19)*SETTINGS!$L$20,0)),"")</f>
        <v/>
      </c>
      <c r="W51" s="106" t="str">
        <f t="shared" si="13"/>
        <v/>
      </c>
      <c r="X51" s="103" t="str">
        <f t="shared" si="14"/>
        <v/>
      </c>
      <c r="Y51" s="107" t="str">
        <f t="shared" si="15"/>
        <v/>
      </c>
      <c r="Z51" s="130"/>
      <c r="AA51" s="190" t="str">
        <f>IFERROR(IF(ISBLANK(DATA!O51),"",DATA!O51),"")</f>
        <v/>
      </c>
      <c r="AB51" s="190" t="str">
        <f>IFERROR(IF(ISBLANK(DATA!P51),"",DATA!P51),"")</f>
        <v/>
      </c>
      <c r="AC51" s="190" t="str">
        <f>IFERROR(IF(ISBLANK(DATA!Q51),"",DATA!Q51),"")</f>
        <v/>
      </c>
      <c r="AD51" s="190" t="str">
        <f>IFERROR(IF(ISBLANK(DATA!R51),"",DATA!R51),"")</f>
        <v/>
      </c>
      <c r="AE51" s="97" t="str">
        <f t="shared" si="39"/>
        <v/>
      </c>
      <c r="AF51" s="106" t="str">
        <f>IFERROR(IF(AE51=0,"",ROUND((AE51/SUM(SETTINGS!$L$14:$L$17))*SETTINGS!$L$18,0)),"")</f>
        <v/>
      </c>
      <c r="AG51" s="190" t="str">
        <f>IFERROR(IF(ISBLANK(DATA!S51),"",DATA!S51),"")</f>
        <v/>
      </c>
      <c r="AH51" s="106" t="str">
        <f>IFERROR(IF(ISBLANK(AG51),"",ROUND((AG51/SETTINGS!$L$19)*SETTINGS!$L$20,0)),"")</f>
        <v/>
      </c>
      <c r="AI51" s="106" t="str">
        <f t="shared" si="17"/>
        <v/>
      </c>
      <c r="AJ51" s="103" t="str">
        <f t="shared" si="2"/>
        <v/>
      </c>
      <c r="AK51" s="108" t="str">
        <f t="shared" si="18"/>
        <v/>
      </c>
      <c r="AL51" s="130"/>
      <c r="AM51" s="190" t="str">
        <f>IFERROR(IF(ISBLANK(DATA!U51),"",DATA!U51),"")</f>
        <v/>
      </c>
      <c r="AN51" s="190" t="str">
        <f>IFERROR(IF(ISBLANK(DATA!V51),"",DATA!V51),"")</f>
        <v/>
      </c>
      <c r="AO51" s="190" t="str">
        <f>IFERROR(IF(ISBLANK(DATA!W51),"",DATA!W51),"")</f>
        <v/>
      </c>
      <c r="AP51" s="190" t="str">
        <f>IFERROR(IF(ISBLANK(DATA!X51),"",DATA!X51),"")</f>
        <v/>
      </c>
      <c r="AQ51" s="97" t="str">
        <f t="shared" si="19"/>
        <v/>
      </c>
      <c r="AR51" s="106" t="str">
        <f>IFERROR(IF(AQ51=0,"",ROUND((AQ51/SUM(SETTINGS!$L$14:$L$17))*SETTINGS!$L$18,0)),"")</f>
        <v/>
      </c>
      <c r="AS51" s="190" t="str">
        <f>IFERROR(IF(ISBLANK(DATA!Y51),"",DATA!Y51),"")</f>
        <v/>
      </c>
      <c r="AT51" s="106" t="str">
        <f>IFERROR(IF(ISBLANK(AS51),"",ROUND((AS51/SETTINGS!$L$19)*SETTINGS!$L$20,0)),"")</f>
        <v/>
      </c>
      <c r="AU51" s="106" t="str">
        <f t="shared" si="20"/>
        <v/>
      </c>
      <c r="AV51" s="103" t="str">
        <f t="shared" si="3"/>
        <v/>
      </c>
      <c r="AW51" s="107" t="str">
        <f t="shared" si="21"/>
        <v/>
      </c>
      <c r="AX51" s="130"/>
      <c r="AY51" s="190" t="str">
        <f>IFERROR(IF(ISBLANK(DATA!AA51),"",DATA!AA51),"")</f>
        <v/>
      </c>
      <c r="AZ51" s="190" t="str">
        <f>IFERROR(IF(ISBLANK(DATA!AB51),"",DATA!AB51),"")</f>
        <v/>
      </c>
      <c r="BA51" s="190" t="str">
        <f>IFERROR(IF(ISBLANK(DATA!AC51),"",DATA!AC51),"")</f>
        <v/>
      </c>
      <c r="BB51" s="190" t="str">
        <f>IFERROR(IF(ISBLANK(DATA!AD51),"",DATA!AD51),"")</f>
        <v/>
      </c>
      <c r="BC51" s="97" t="str">
        <f t="shared" si="22"/>
        <v/>
      </c>
      <c r="BD51" s="106" t="str">
        <f>IFERROR(IF(BC51=0,"",ROUND((BC51/SUM(SETTINGS!$L$14:$L$17))*SETTINGS!$L$18,0)),"")</f>
        <v/>
      </c>
      <c r="BE51" s="190" t="str">
        <f>IFERROR(IF(ISBLANK(DATA!AE51),"",DATA!AE51),"")</f>
        <v/>
      </c>
      <c r="BF51" s="106" t="str">
        <f>IFERROR(IF(ISBLANK(BE51),"",ROUND((BE51/SETTINGS!$L$19)*SETTINGS!$L$20,0)),"")</f>
        <v/>
      </c>
      <c r="BG51" s="106" t="str">
        <f t="shared" si="23"/>
        <v/>
      </c>
      <c r="BH51" s="103" t="str">
        <f t="shared" si="4"/>
        <v/>
      </c>
      <c r="BI51" s="108" t="str">
        <f t="shared" si="24"/>
        <v/>
      </c>
      <c r="BJ51" s="130"/>
      <c r="BK51" s="190" t="str">
        <f>IFERROR(IF(ISBLANK(DATA!AG51),"",DATA!AG51),"")</f>
        <v/>
      </c>
      <c r="BL51" s="190" t="str">
        <f>IFERROR(IF(ISBLANK(DATA!AH51),"",DATA!AH51),"")</f>
        <v/>
      </c>
      <c r="BM51" s="190" t="str">
        <f>IFERROR(IF(ISBLANK(DATA!AI51),"",DATA!AI51),"")</f>
        <v/>
      </c>
      <c r="BN51" s="190" t="str">
        <f>IFERROR(IF(ISBLANK(DATA!AJ51),"",DATA!AJ51),"")</f>
        <v/>
      </c>
      <c r="BO51" s="97" t="str">
        <f t="shared" si="25"/>
        <v/>
      </c>
      <c r="BP51" s="106" t="str">
        <f>IFERROR(IF(BO51=0,"",ROUND((BO51/SUM(SETTINGS!$L$14:$L$17))*SETTINGS!$L$18,0)),"")</f>
        <v/>
      </c>
      <c r="BQ51" s="190" t="str">
        <f>IFERROR(IF(ISBLANK(DATA!AK51),"",DATA!AK51),"")</f>
        <v/>
      </c>
      <c r="BR51" s="106" t="str">
        <f>IFERROR(IF(ISBLANK(BQ51),"",ROUND((BQ51/SETTINGS!$L$19)*SETTINGS!$L$20,0)),"")</f>
        <v/>
      </c>
      <c r="BS51" s="106" t="str">
        <f t="shared" si="26"/>
        <v/>
      </c>
      <c r="BT51" s="103" t="str">
        <f t="shared" si="5"/>
        <v/>
      </c>
      <c r="BU51" s="107" t="str">
        <f t="shared" si="27"/>
        <v/>
      </c>
      <c r="BV51" s="130"/>
      <c r="BW51" s="190" t="str">
        <f>IFERROR(IF(ISBLANK(DATA!AM51),"",DATA!AM51),"")</f>
        <v/>
      </c>
      <c r="BX51" s="190" t="str">
        <f>IFERROR(IF(ISBLANK(DATA!AN51),"",DATA!AN51),"")</f>
        <v/>
      </c>
      <c r="BY51" s="190" t="str">
        <f>IFERROR(IF(ISBLANK(DATA!AO51),"",DATA!AO51),"")</f>
        <v/>
      </c>
      <c r="BZ51" s="190" t="str">
        <f>IFERROR(IF(ISBLANK(DATA!AP51),"",DATA!AP51),"")</f>
        <v/>
      </c>
      <c r="CA51" s="97" t="str">
        <f t="shared" si="28"/>
        <v/>
      </c>
      <c r="CB51" s="106" t="str">
        <f>IFERROR(IF(CA51=0,"",ROUND((CA51/SUM(SETTINGS!$L$14:$L$17))*SETTINGS!$L$18,0)),"")</f>
        <v/>
      </c>
      <c r="CC51" s="190" t="str">
        <f>IFERROR(IF(ISBLANK(DATA!AQ51),"",DATA!AQ51),"")</f>
        <v/>
      </c>
      <c r="CD51" s="106" t="str">
        <f>IFERROR(IF(ISBLANK(CC51),"",ROUND((CC51/SETTINGS!$L$19)*SETTINGS!$L$20,0)),"")</f>
        <v/>
      </c>
      <c r="CE51" s="106" t="str">
        <f t="shared" si="29"/>
        <v/>
      </c>
      <c r="CF51" s="103" t="str">
        <f t="shared" si="6"/>
        <v/>
      </c>
      <c r="CG51" s="107" t="str">
        <f t="shared" si="30"/>
        <v/>
      </c>
      <c r="CH51" s="130"/>
      <c r="CI51" s="190" t="str">
        <f>IFERROR(IF(ISBLANK(DATA!AS51),"",DATA!AS51),"")</f>
        <v/>
      </c>
      <c r="CJ51" s="190" t="str">
        <f>IFERROR(IF(ISBLANK(DATA!AT51),"",DATA!AT51),"")</f>
        <v/>
      </c>
      <c r="CK51" s="190" t="str">
        <f>IFERROR(IF(ISBLANK(DATA!AU51),"",DATA!AU51),"")</f>
        <v/>
      </c>
      <c r="CL51" s="190" t="str">
        <f>IFERROR(IF(ISBLANK(DATA!AV51),"",DATA!AV51),"")</f>
        <v/>
      </c>
      <c r="CM51" s="97" t="str">
        <f t="shared" si="31"/>
        <v/>
      </c>
      <c r="CN51" s="106" t="str">
        <f>IFERROR(IF(CM51=0,"",ROUND((CM51/SUM(SETTINGS!$L$14:$L$17))*SETTINGS!$L$18,0)),"")</f>
        <v/>
      </c>
      <c r="CO51" s="190" t="str">
        <f>IFERROR(IF(ISBLANK(DATA!AW51),"",DATA!AW51),"")</f>
        <v/>
      </c>
      <c r="CP51" s="106" t="str">
        <f>IFERROR(IF(ISBLANK(CO51),"",ROUND((CO51/SETTINGS!$L$19)*SETTINGS!$L$20,0)),"")</f>
        <v/>
      </c>
      <c r="CQ51" s="106" t="str">
        <f t="shared" si="32"/>
        <v/>
      </c>
      <c r="CR51" s="103" t="str">
        <f t="shared" si="7"/>
        <v/>
      </c>
      <c r="CS51" s="107" t="str">
        <f t="shared" si="33"/>
        <v/>
      </c>
      <c r="CT51" s="130"/>
      <c r="CU51" s="190" t="str">
        <f>IFERROR(IF(ISBLANK(DATA!AY51),"",DATA!AY51),"")</f>
        <v/>
      </c>
      <c r="CV51" s="190" t="str">
        <f>IFERROR(IF(ISBLANK(DATA!AZ51),"",DATA!AZ51),"")</f>
        <v/>
      </c>
      <c r="CW51" s="190" t="str">
        <f>IFERROR(IF(ISBLANK(DATA!BA51),"",DATA!BA51),"")</f>
        <v/>
      </c>
      <c r="CX51" s="190" t="str">
        <f>IFERROR(IF(ISBLANK(DATA!BB51),"",DATA!BB51),"")</f>
        <v/>
      </c>
      <c r="CY51" s="97" t="str">
        <f t="shared" si="34"/>
        <v/>
      </c>
      <c r="CZ51" s="106" t="str">
        <f>IFERROR(IF(CY51=0,"",ROUND((CY51/SUM(SETTINGS!$L$14:$L$17))*SETTINGS!$L$18,0)),"")</f>
        <v/>
      </c>
      <c r="DA51" s="190" t="str">
        <f>IFERROR(IF(ISBLANK(DATA!BC51),"",DATA!BC51),"")</f>
        <v/>
      </c>
      <c r="DB51" s="106" t="str">
        <f>IFERROR(IF(ISBLANK(DA51),"",ROUND((DA51/SETTINGS!$L$19)*SETTINGS!$L$20,0)),"")</f>
        <v/>
      </c>
      <c r="DC51" s="106" t="str">
        <f t="shared" si="35"/>
        <v/>
      </c>
      <c r="DD51" s="103" t="str">
        <f t="shared" si="8"/>
        <v/>
      </c>
      <c r="DE51" s="107" t="str">
        <f t="shared" si="36"/>
        <v/>
      </c>
      <c r="DF51" s="103" t="str">
        <f t="shared" si="9"/>
        <v/>
      </c>
      <c r="DG51" s="103" t="str">
        <f>IFERROR(IF(AND(K51,W51,AI51,AU51,BG51,BS51,CE51,CQ51,DC51)="","",SUM(K51,W51,AI51,AU51,LARGE((BG51,BS51,CE51,CQ51,DC51),{1,2}))),"")</f>
        <v/>
      </c>
      <c r="DH51" s="103" t="str">
        <f>IFERROR(IF(AND(M51,Y51,AK51,AW51,,BI51,BU51,CG51,CS51,DE51)="","",SUM(M51,Y51,AK51,AW51,SMALL((BI51,BU51,CG51,CS51,DE51),{1,2}))),"")</f>
        <v/>
      </c>
      <c r="DI51" s="109" t="str">
        <f>IFERROR(IF(ISBLANK($D51),"",pos&amp;IF(AND(MOD(ABS(pos),100)&gt;10,MOD(ABS(pos),100)&lt;14),"th",CHOOSE(MOD(ABS(pos),10)+1,"th","st","nd","rd","th","th","th","th","th","th"))),"")</f>
        <v/>
      </c>
      <c r="DJ51" s="62">
        <f>ROWS($B$12:$B51)</f>
        <v>40</v>
      </c>
      <c r="DK51" s="62" t="str">
        <f>IF($B51=REPORT_CARD!$M$12,$DJ51,"")</f>
        <v/>
      </c>
      <c r="DL51" s="62"/>
      <c r="DM51" s="186"/>
    </row>
    <row r="52" spans="1:117" ht="19.5" customHeight="1">
      <c r="A52" s="187" t="str">
        <f>IFERROR(IF(ISBLANK(DATA!$A52),"",DATA!$A52),"")</f>
        <v/>
      </c>
      <c r="B52" s="187" t="str">
        <f>IFERROR(IF(ISBLANK(DATA!$B52),"",DATA!$B52),"")</f>
        <v/>
      </c>
      <c r="C52" s="190" t="str">
        <f>IFERROR(IF(ISBLANK(DATA!C52),"",DATA!C52),"")</f>
        <v/>
      </c>
      <c r="D52" s="190" t="str">
        <f>IFERROR(IF(ISBLANK(DATA!D52),"",DATA!D52),"")</f>
        <v/>
      </c>
      <c r="E52" s="190" t="str">
        <f>IFERROR(IF(ISBLANK(DATA!E52),"",DATA!E52),"")</f>
        <v/>
      </c>
      <c r="F52" s="190" t="str">
        <f>IFERROR(IF(ISBLANK(DATA!F52),"",DATA!F52),"")</f>
        <v/>
      </c>
      <c r="G52" s="97" t="str">
        <f t="shared" si="37"/>
        <v/>
      </c>
      <c r="H52" s="106" t="str">
        <f>IFERROR(IF(G52=0,"",ROUND((G52/SUM(SETTINGS!$L$14:$L$17))*SETTINGS!$L$18,0)),"")</f>
        <v/>
      </c>
      <c r="I52" s="190" t="str">
        <f>IFERROR(IF(ISBLANK(DATA!G52),"",DATA!G52),"")</f>
        <v/>
      </c>
      <c r="J52" s="106" t="str">
        <f>IFERROR(IF(ISBLANK(I52),"",ROUND((I52/SETTINGS!$L$19)*SETTINGS!$L$20,0)),"")</f>
        <v/>
      </c>
      <c r="K52" s="106" t="str">
        <f t="shared" si="10"/>
        <v/>
      </c>
      <c r="L52" s="103" t="str">
        <f t="shared" si="0"/>
        <v/>
      </c>
      <c r="M52" s="107" t="str">
        <f t="shared" si="11"/>
        <v/>
      </c>
      <c r="N52" s="136"/>
      <c r="O52" s="190" t="str">
        <f>IFERROR(IF(ISBLANK(DATA!I52),"",DATA!I52),"")</f>
        <v/>
      </c>
      <c r="P52" s="190" t="str">
        <f>IFERROR(IF(ISBLANK(DATA!J52),"",DATA!J52),"")</f>
        <v/>
      </c>
      <c r="Q52" s="190" t="str">
        <f>IFERROR(IF(ISBLANK(DATA!K52),"",DATA!K52),"")</f>
        <v/>
      </c>
      <c r="R52" s="190" t="str">
        <f>IFERROR(IF(ISBLANK(DATA!L52),"",DATA!L52),"")</f>
        <v/>
      </c>
      <c r="S52" s="97" t="str">
        <f t="shared" si="38"/>
        <v/>
      </c>
      <c r="T52" s="106" t="str">
        <f>IFERROR(IF(S52=0,"",ROUND((S52/SUM(SETTINGS!$L$14:$L$17))*SETTINGS!$L$18,0)),"")</f>
        <v/>
      </c>
      <c r="U52" s="190" t="str">
        <f>IFERROR(IF(ISBLANK(DATA!M52),"",DATA!M52),"")</f>
        <v/>
      </c>
      <c r="V52" s="106" t="str">
        <f>IFERROR(IF(ISBLANK(U52),"",ROUND((U52/SETTINGS!$L$19)*SETTINGS!$L$20,0)),"")</f>
        <v/>
      </c>
      <c r="W52" s="106" t="str">
        <f t="shared" si="13"/>
        <v/>
      </c>
      <c r="X52" s="103" t="str">
        <f t="shared" si="14"/>
        <v/>
      </c>
      <c r="Y52" s="107" t="str">
        <f t="shared" si="15"/>
        <v/>
      </c>
      <c r="Z52" s="130"/>
      <c r="AA52" s="190" t="str">
        <f>IFERROR(IF(ISBLANK(DATA!O52),"",DATA!O52),"")</f>
        <v/>
      </c>
      <c r="AB52" s="190" t="str">
        <f>IFERROR(IF(ISBLANK(DATA!P52),"",DATA!P52),"")</f>
        <v/>
      </c>
      <c r="AC52" s="190" t="str">
        <f>IFERROR(IF(ISBLANK(DATA!Q52),"",DATA!Q52),"")</f>
        <v/>
      </c>
      <c r="AD52" s="190" t="str">
        <f>IFERROR(IF(ISBLANK(DATA!R52),"",DATA!R52),"")</f>
        <v/>
      </c>
      <c r="AE52" s="97" t="str">
        <f t="shared" si="39"/>
        <v/>
      </c>
      <c r="AF52" s="106" t="str">
        <f>IFERROR(IF(AE52=0,"",ROUND((AE52/SUM(SETTINGS!$L$14:$L$17))*SETTINGS!$L$18,0)),"")</f>
        <v/>
      </c>
      <c r="AG52" s="190" t="str">
        <f>IFERROR(IF(ISBLANK(DATA!S52),"",DATA!S52),"")</f>
        <v/>
      </c>
      <c r="AH52" s="106" t="str">
        <f>IFERROR(IF(ISBLANK(AG52),"",ROUND((AG52/SETTINGS!$L$19)*SETTINGS!$L$20,0)),"")</f>
        <v/>
      </c>
      <c r="AI52" s="106" t="str">
        <f t="shared" si="17"/>
        <v/>
      </c>
      <c r="AJ52" s="103" t="str">
        <f t="shared" si="2"/>
        <v/>
      </c>
      <c r="AK52" s="108" t="str">
        <f t="shared" si="18"/>
        <v/>
      </c>
      <c r="AL52" s="130"/>
      <c r="AM52" s="190" t="str">
        <f>IFERROR(IF(ISBLANK(DATA!U52),"",DATA!U52),"")</f>
        <v/>
      </c>
      <c r="AN52" s="190" t="str">
        <f>IFERROR(IF(ISBLANK(DATA!V52),"",DATA!V52),"")</f>
        <v/>
      </c>
      <c r="AO52" s="190" t="str">
        <f>IFERROR(IF(ISBLANK(DATA!W52),"",DATA!W52),"")</f>
        <v/>
      </c>
      <c r="AP52" s="190" t="str">
        <f>IFERROR(IF(ISBLANK(DATA!X52),"",DATA!X52),"")</f>
        <v/>
      </c>
      <c r="AQ52" s="97" t="str">
        <f t="shared" si="19"/>
        <v/>
      </c>
      <c r="AR52" s="106" t="str">
        <f>IFERROR(IF(AQ52=0,"",ROUND((AQ52/SUM(SETTINGS!$L$14:$L$17))*SETTINGS!$L$18,0)),"")</f>
        <v/>
      </c>
      <c r="AS52" s="190" t="str">
        <f>IFERROR(IF(ISBLANK(DATA!Y52),"",DATA!Y52),"")</f>
        <v/>
      </c>
      <c r="AT52" s="106" t="str">
        <f>IFERROR(IF(ISBLANK(AS52),"",ROUND((AS52/SETTINGS!$L$19)*SETTINGS!$L$20,0)),"")</f>
        <v/>
      </c>
      <c r="AU52" s="106" t="str">
        <f t="shared" si="20"/>
        <v/>
      </c>
      <c r="AV52" s="103" t="str">
        <f t="shared" si="3"/>
        <v/>
      </c>
      <c r="AW52" s="107" t="str">
        <f t="shared" si="21"/>
        <v/>
      </c>
      <c r="AX52" s="130"/>
      <c r="AY52" s="190" t="str">
        <f>IFERROR(IF(ISBLANK(DATA!AA52),"",DATA!AA52),"")</f>
        <v/>
      </c>
      <c r="AZ52" s="190" t="str">
        <f>IFERROR(IF(ISBLANK(DATA!AB52),"",DATA!AB52),"")</f>
        <v/>
      </c>
      <c r="BA52" s="190" t="str">
        <f>IFERROR(IF(ISBLANK(DATA!AC52),"",DATA!AC52),"")</f>
        <v/>
      </c>
      <c r="BB52" s="190" t="str">
        <f>IFERROR(IF(ISBLANK(DATA!AD52),"",DATA!AD52),"")</f>
        <v/>
      </c>
      <c r="BC52" s="97" t="str">
        <f t="shared" si="22"/>
        <v/>
      </c>
      <c r="BD52" s="106" t="str">
        <f>IFERROR(IF(BC52=0,"",ROUND((BC52/SUM(SETTINGS!$L$14:$L$17))*SETTINGS!$L$18,0)),"")</f>
        <v/>
      </c>
      <c r="BE52" s="190" t="str">
        <f>IFERROR(IF(ISBLANK(DATA!AE52),"",DATA!AE52),"")</f>
        <v/>
      </c>
      <c r="BF52" s="106" t="str">
        <f>IFERROR(IF(ISBLANK(BE52),"",ROUND((BE52/SETTINGS!$L$19)*SETTINGS!$L$20,0)),"")</f>
        <v/>
      </c>
      <c r="BG52" s="106" t="str">
        <f t="shared" si="23"/>
        <v/>
      </c>
      <c r="BH52" s="103" t="str">
        <f t="shared" si="4"/>
        <v/>
      </c>
      <c r="BI52" s="108" t="str">
        <f t="shared" si="24"/>
        <v/>
      </c>
      <c r="BJ52" s="130"/>
      <c r="BK52" s="190" t="str">
        <f>IFERROR(IF(ISBLANK(DATA!AG52),"",DATA!AG52),"")</f>
        <v/>
      </c>
      <c r="BL52" s="190" t="str">
        <f>IFERROR(IF(ISBLANK(DATA!AH52),"",DATA!AH52),"")</f>
        <v/>
      </c>
      <c r="BM52" s="190" t="str">
        <f>IFERROR(IF(ISBLANK(DATA!AI52),"",DATA!AI52),"")</f>
        <v/>
      </c>
      <c r="BN52" s="190" t="str">
        <f>IFERROR(IF(ISBLANK(DATA!AJ52),"",DATA!AJ52),"")</f>
        <v/>
      </c>
      <c r="BO52" s="97" t="str">
        <f t="shared" si="25"/>
        <v/>
      </c>
      <c r="BP52" s="106" t="str">
        <f>IFERROR(IF(BO52=0,"",ROUND((BO52/SUM(SETTINGS!$L$14:$L$17))*SETTINGS!$L$18,0)),"")</f>
        <v/>
      </c>
      <c r="BQ52" s="190" t="str">
        <f>IFERROR(IF(ISBLANK(DATA!AK52),"",DATA!AK52),"")</f>
        <v/>
      </c>
      <c r="BR52" s="106" t="str">
        <f>IFERROR(IF(ISBLANK(BQ52),"",ROUND((BQ52/SETTINGS!$L$19)*SETTINGS!$L$20,0)),"")</f>
        <v/>
      </c>
      <c r="BS52" s="106" t="str">
        <f t="shared" si="26"/>
        <v/>
      </c>
      <c r="BT52" s="103" t="str">
        <f t="shared" si="5"/>
        <v/>
      </c>
      <c r="BU52" s="107" t="str">
        <f t="shared" si="27"/>
        <v/>
      </c>
      <c r="BV52" s="130"/>
      <c r="BW52" s="190" t="str">
        <f>IFERROR(IF(ISBLANK(DATA!AM52),"",DATA!AM52),"")</f>
        <v/>
      </c>
      <c r="BX52" s="190" t="str">
        <f>IFERROR(IF(ISBLANK(DATA!AN52),"",DATA!AN52),"")</f>
        <v/>
      </c>
      <c r="BY52" s="190" t="str">
        <f>IFERROR(IF(ISBLANK(DATA!AO52),"",DATA!AO52),"")</f>
        <v/>
      </c>
      <c r="BZ52" s="190" t="str">
        <f>IFERROR(IF(ISBLANK(DATA!AP52),"",DATA!AP52),"")</f>
        <v/>
      </c>
      <c r="CA52" s="97" t="str">
        <f t="shared" si="28"/>
        <v/>
      </c>
      <c r="CB52" s="106" t="str">
        <f>IFERROR(IF(CA52=0,"",ROUND((CA52/SUM(SETTINGS!$L$14:$L$17))*SETTINGS!$L$18,0)),"")</f>
        <v/>
      </c>
      <c r="CC52" s="190" t="str">
        <f>IFERROR(IF(ISBLANK(DATA!AQ52),"",DATA!AQ52),"")</f>
        <v/>
      </c>
      <c r="CD52" s="106" t="str">
        <f>IFERROR(IF(ISBLANK(CC52),"",ROUND((CC52/SETTINGS!$L$19)*SETTINGS!$L$20,0)),"")</f>
        <v/>
      </c>
      <c r="CE52" s="106" t="str">
        <f t="shared" si="29"/>
        <v/>
      </c>
      <c r="CF52" s="103" t="str">
        <f t="shared" si="6"/>
        <v/>
      </c>
      <c r="CG52" s="107" t="str">
        <f t="shared" si="30"/>
        <v/>
      </c>
      <c r="CH52" s="130"/>
      <c r="CI52" s="190" t="str">
        <f>IFERROR(IF(ISBLANK(DATA!AS52),"",DATA!AS52),"")</f>
        <v/>
      </c>
      <c r="CJ52" s="190" t="str">
        <f>IFERROR(IF(ISBLANK(DATA!AT52),"",DATA!AT52),"")</f>
        <v/>
      </c>
      <c r="CK52" s="190" t="str">
        <f>IFERROR(IF(ISBLANK(DATA!AU52),"",DATA!AU52),"")</f>
        <v/>
      </c>
      <c r="CL52" s="190" t="str">
        <f>IFERROR(IF(ISBLANK(DATA!AV52),"",DATA!AV52),"")</f>
        <v/>
      </c>
      <c r="CM52" s="97" t="str">
        <f t="shared" si="31"/>
        <v/>
      </c>
      <c r="CN52" s="106" t="str">
        <f>IFERROR(IF(CM52=0,"",ROUND((CM52/SUM(SETTINGS!$L$14:$L$17))*SETTINGS!$L$18,0)),"")</f>
        <v/>
      </c>
      <c r="CO52" s="190" t="str">
        <f>IFERROR(IF(ISBLANK(DATA!AW52),"",DATA!AW52),"")</f>
        <v/>
      </c>
      <c r="CP52" s="106" t="str">
        <f>IFERROR(IF(ISBLANK(CO52),"",ROUND((CO52/SETTINGS!$L$19)*SETTINGS!$L$20,0)),"")</f>
        <v/>
      </c>
      <c r="CQ52" s="106" t="str">
        <f t="shared" si="32"/>
        <v/>
      </c>
      <c r="CR52" s="103" t="str">
        <f t="shared" si="7"/>
        <v/>
      </c>
      <c r="CS52" s="107" t="str">
        <f t="shared" si="33"/>
        <v/>
      </c>
      <c r="CT52" s="130"/>
      <c r="CU52" s="190" t="str">
        <f>IFERROR(IF(ISBLANK(DATA!AY52),"",DATA!AY52),"")</f>
        <v/>
      </c>
      <c r="CV52" s="190" t="str">
        <f>IFERROR(IF(ISBLANK(DATA!AZ52),"",DATA!AZ52),"")</f>
        <v/>
      </c>
      <c r="CW52" s="190" t="str">
        <f>IFERROR(IF(ISBLANK(DATA!BA52),"",DATA!BA52),"")</f>
        <v/>
      </c>
      <c r="CX52" s="190" t="str">
        <f>IFERROR(IF(ISBLANK(DATA!BB52),"",DATA!BB52),"")</f>
        <v/>
      </c>
      <c r="CY52" s="97" t="str">
        <f t="shared" si="34"/>
        <v/>
      </c>
      <c r="CZ52" s="106" t="str">
        <f>IFERROR(IF(CY52=0,"",ROUND((CY52/SUM(SETTINGS!$L$14:$L$17))*SETTINGS!$L$18,0)),"")</f>
        <v/>
      </c>
      <c r="DA52" s="190" t="str">
        <f>IFERROR(IF(ISBLANK(DATA!BC52),"",DATA!BC52),"")</f>
        <v/>
      </c>
      <c r="DB52" s="106" t="str">
        <f>IFERROR(IF(ISBLANK(DA52),"",ROUND((DA52/SETTINGS!$L$19)*SETTINGS!$L$20,0)),"")</f>
        <v/>
      </c>
      <c r="DC52" s="106" t="str">
        <f t="shared" si="35"/>
        <v/>
      </c>
      <c r="DD52" s="103" t="str">
        <f t="shared" si="8"/>
        <v/>
      </c>
      <c r="DE52" s="107" t="str">
        <f t="shared" si="36"/>
        <v/>
      </c>
      <c r="DF52" s="103" t="str">
        <f t="shared" si="9"/>
        <v/>
      </c>
      <c r="DG52" s="103" t="str">
        <f>IFERROR(IF(AND(K52,W52,AI52,AU52,BG52,BS52,CE52,CQ52,DC52)="","",SUM(K52,W52,AI52,AU52,LARGE((BG52,BS52,CE52,CQ52,DC52),{1,2}))),"")</f>
        <v/>
      </c>
      <c r="DH52" s="103" t="str">
        <f>IFERROR(IF(AND(M52,Y52,AK52,AW52,,BI52,BU52,CG52,CS52,DE52)="","",SUM(M52,Y52,AK52,AW52,SMALL((BI52,BU52,CG52,CS52,DE52),{1,2}))),"")</f>
        <v/>
      </c>
      <c r="DI52" s="109" t="str">
        <f>IFERROR(IF(ISBLANK($D52),"",pos&amp;IF(AND(MOD(ABS(pos),100)&gt;10,MOD(ABS(pos),100)&lt;14),"th",CHOOSE(MOD(ABS(pos),10)+1,"th","st","nd","rd","th","th","th","th","th","th"))),"")</f>
        <v/>
      </c>
      <c r="DJ52" s="62">
        <f>ROWS($B$12:$B52)</f>
        <v>41</v>
      </c>
      <c r="DK52" s="62" t="str">
        <f>IF($B52=REPORT_CARD!$M$12,$DJ52,"")</f>
        <v/>
      </c>
      <c r="DL52" s="62"/>
      <c r="DM52" s="186"/>
    </row>
    <row r="53" spans="1:117" ht="19.5" customHeight="1">
      <c r="A53" s="187" t="str">
        <f>IFERROR(IF(ISBLANK(DATA!$A53),"",DATA!$A53),"")</f>
        <v/>
      </c>
      <c r="B53" s="187" t="str">
        <f>IFERROR(IF(ISBLANK(DATA!$B53),"",DATA!$B53),"")</f>
        <v/>
      </c>
      <c r="C53" s="190" t="str">
        <f>IFERROR(IF(ISBLANK(DATA!C53),"",DATA!C53),"")</f>
        <v/>
      </c>
      <c r="D53" s="190" t="str">
        <f>IFERROR(IF(ISBLANK(DATA!D53),"",DATA!D53),"")</f>
        <v/>
      </c>
      <c r="E53" s="190" t="str">
        <f>IFERROR(IF(ISBLANK(DATA!E53),"",DATA!E53),"")</f>
        <v/>
      </c>
      <c r="F53" s="190" t="str">
        <f>IFERROR(IF(ISBLANK(DATA!F53),"",DATA!F53),"")</f>
        <v/>
      </c>
      <c r="G53" s="97" t="str">
        <f t="shared" si="37"/>
        <v/>
      </c>
      <c r="H53" s="106" t="str">
        <f>IFERROR(IF(G53=0,"",ROUND((G53/SUM(SETTINGS!$L$14:$L$17))*SETTINGS!$L$18,0)),"")</f>
        <v/>
      </c>
      <c r="I53" s="190" t="str">
        <f>IFERROR(IF(ISBLANK(DATA!G53),"",DATA!G53),"")</f>
        <v/>
      </c>
      <c r="J53" s="106" t="str">
        <f>IFERROR(IF(ISBLANK(I53),"",ROUND((I53/SETTINGS!$L$19)*SETTINGS!$L$20,0)),"")</f>
        <v/>
      </c>
      <c r="K53" s="106" t="str">
        <f t="shared" si="10"/>
        <v/>
      </c>
      <c r="L53" s="103" t="str">
        <f t="shared" si="0"/>
        <v/>
      </c>
      <c r="M53" s="107" t="str">
        <f t="shared" si="11"/>
        <v/>
      </c>
      <c r="N53" s="136"/>
      <c r="O53" s="190" t="str">
        <f>IFERROR(IF(ISBLANK(DATA!I53),"",DATA!I53),"")</f>
        <v/>
      </c>
      <c r="P53" s="190" t="str">
        <f>IFERROR(IF(ISBLANK(DATA!J53),"",DATA!J53),"")</f>
        <v/>
      </c>
      <c r="Q53" s="190" t="str">
        <f>IFERROR(IF(ISBLANK(DATA!K53),"",DATA!K53),"")</f>
        <v/>
      </c>
      <c r="R53" s="190" t="str">
        <f>IFERROR(IF(ISBLANK(DATA!L53),"",DATA!L53),"")</f>
        <v/>
      </c>
      <c r="S53" s="97" t="str">
        <f t="shared" si="38"/>
        <v/>
      </c>
      <c r="T53" s="106" t="str">
        <f>IFERROR(IF(S53=0,"",ROUND((S53/SUM(SETTINGS!$L$14:$L$17))*SETTINGS!$L$18,0)),"")</f>
        <v/>
      </c>
      <c r="U53" s="190" t="str">
        <f>IFERROR(IF(ISBLANK(DATA!M53),"",DATA!M53),"")</f>
        <v/>
      </c>
      <c r="V53" s="106" t="str">
        <f>IFERROR(IF(ISBLANK(U53),"",ROUND((U53/SETTINGS!$L$19)*SETTINGS!$L$20,0)),"")</f>
        <v/>
      </c>
      <c r="W53" s="106" t="str">
        <f t="shared" si="13"/>
        <v/>
      </c>
      <c r="X53" s="103" t="str">
        <f t="shared" si="14"/>
        <v/>
      </c>
      <c r="Y53" s="107" t="str">
        <f t="shared" si="15"/>
        <v/>
      </c>
      <c r="Z53" s="130"/>
      <c r="AA53" s="190" t="str">
        <f>IFERROR(IF(ISBLANK(DATA!O53),"",DATA!O53),"")</f>
        <v/>
      </c>
      <c r="AB53" s="190" t="str">
        <f>IFERROR(IF(ISBLANK(DATA!P53),"",DATA!P53),"")</f>
        <v/>
      </c>
      <c r="AC53" s="190" t="str">
        <f>IFERROR(IF(ISBLANK(DATA!Q53),"",DATA!Q53),"")</f>
        <v/>
      </c>
      <c r="AD53" s="190" t="str">
        <f>IFERROR(IF(ISBLANK(DATA!R53),"",DATA!R53),"")</f>
        <v/>
      </c>
      <c r="AE53" s="97" t="str">
        <f t="shared" si="39"/>
        <v/>
      </c>
      <c r="AF53" s="106" t="str">
        <f>IFERROR(IF(AE53=0,"",ROUND((AE53/SUM(SETTINGS!$L$14:$L$17))*SETTINGS!$L$18,0)),"")</f>
        <v/>
      </c>
      <c r="AG53" s="190" t="str">
        <f>IFERROR(IF(ISBLANK(DATA!S53),"",DATA!S53),"")</f>
        <v/>
      </c>
      <c r="AH53" s="106" t="str">
        <f>IFERROR(IF(ISBLANK(AG53),"",ROUND((AG53/SETTINGS!$L$19)*SETTINGS!$L$20,0)),"")</f>
        <v/>
      </c>
      <c r="AI53" s="106" t="str">
        <f t="shared" si="17"/>
        <v/>
      </c>
      <c r="AJ53" s="103" t="str">
        <f t="shared" si="2"/>
        <v/>
      </c>
      <c r="AK53" s="108" t="str">
        <f t="shared" si="18"/>
        <v/>
      </c>
      <c r="AL53" s="130"/>
      <c r="AM53" s="190" t="str">
        <f>IFERROR(IF(ISBLANK(DATA!U53),"",DATA!U53),"")</f>
        <v/>
      </c>
      <c r="AN53" s="190" t="str">
        <f>IFERROR(IF(ISBLANK(DATA!V53),"",DATA!V53),"")</f>
        <v/>
      </c>
      <c r="AO53" s="190" t="str">
        <f>IFERROR(IF(ISBLANK(DATA!W53),"",DATA!W53),"")</f>
        <v/>
      </c>
      <c r="AP53" s="190" t="str">
        <f>IFERROR(IF(ISBLANK(DATA!X53),"",DATA!X53),"")</f>
        <v/>
      </c>
      <c r="AQ53" s="97" t="str">
        <f t="shared" si="19"/>
        <v/>
      </c>
      <c r="AR53" s="106" t="str">
        <f>IFERROR(IF(AQ53=0,"",ROUND((AQ53/SUM(SETTINGS!$L$14:$L$17))*SETTINGS!$L$18,0)),"")</f>
        <v/>
      </c>
      <c r="AS53" s="190" t="str">
        <f>IFERROR(IF(ISBLANK(DATA!Y53),"",DATA!Y53),"")</f>
        <v/>
      </c>
      <c r="AT53" s="106" t="str">
        <f>IFERROR(IF(ISBLANK(AS53),"",ROUND((AS53/SETTINGS!$L$19)*SETTINGS!$L$20,0)),"")</f>
        <v/>
      </c>
      <c r="AU53" s="106" t="str">
        <f t="shared" si="20"/>
        <v/>
      </c>
      <c r="AV53" s="103" t="str">
        <f t="shared" si="3"/>
        <v/>
      </c>
      <c r="AW53" s="107" t="str">
        <f t="shared" si="21"/>
        <v/>
      </c>
      <c r="AX53" s="130"/>
      <c r="AY53" s="190" t="str">
        <f>IFERROR(IF(ISBLANK(DATA!AA53),"",DATA!AA53),"")</f>
        <v/>
      </c>
      <c r="AZ53" s="190" t="str">
        <f>IFERROR(IF(ISBLANK(DATA!AB53),"",DATA!AB53),"")</f>
        <v/>
      </c>
      <c r="BA53" s="190" t="str">
        <f>IFERROR(IF(ISBLANK(DATA!AC53),"",DATA!AC53),"")</f>
        <v/>
      </c>
      <c r="BB53" s="190" t="str">
        <f>IFERROR(IF(ISBLANK(DATA!AD53),"",DATA!AD53),"")</f>
        <v/>
      </c>
      <c r="BC53" s="97" t="str">
        <f t="shared" si="22"/>
        <v/>
      </c>
      <c r="BD53" s="106" t="str">
        <f>IFERROR(IF(BC53=0,"",ROUND((BC53/SUM(SETTINGS!$L$14:$L$17))*SETTINGS!$L$18,0)),"")</f>
        <v/>
      </c>
      <c r="BE53" s="190" t="str">
        <f>IFERROR(IF(ISBLANK(DATA!AE53),"",DATA!AE53),"")</f>
        <v/>
      </c>
      <c r="BF53" s="106" t="str">
        <f>IFERROR(IF(ISBLANK(BE53),"",ROUND((BE53/SETTINGS!$L$19)*SETTINGS!$L$20,0)),"")</f>
        <v/>
      </c>
      <c r="BG53" s="106" t="str">
        <f t="shared" si="23"/>
        <v/>
      </c>
      <c r="BH53" s="103" t="str">
        <f t="shared" si="4"/>
        <v/>
      </c>
      <c r="BI53" s="108" t="str">
        <f t="shared" si="24"/>
        <v/>
      </c>
      <c r="BJ53" s="130"/>
      <c r="BK53" s="190" t="str">
        <f>IFERROR(IF(ISBLANK(DATA!AG53),"",DATA!AG53),"")</f>
        <v/>
      </c>
      <c r="BL53" s="190" t="str">
        <f>IFERROR(IF(ISBLANK(DATA!AH53),"",DATA!AH53),"")</f>
        <v/>
      </c>
      <c r="BM53" s="190" t="str">
        <f>IFERROR(IF(ISBLANK(DATA!AI53),"",DATA!AI53),"")</f>
        <v/>
      </c>
      <c r="BN53" s="190" t="str">
        <f>IFERROR(IF(ISBLANK(DATA!AJ53),"",DATA!AJ53),"")</f>
        <v/>
      </c>
      <c r="BO53" s="97" t="str">
        <f t="shared" si="25"/>
        <v/>
      </c>
      <c r="BP53" s="106" t="str">
        <f>IFERROR(IF(BO53=0,"",ROUND((BO53/SUM(SETTINGS!$L$14:$L$17))*SETTINGS!$L$18,0)),"")</f>
        <v/>
      </c>
      <c r="BQ53" s="190" t="str">
        <f>IFERROR(IF(ISBLANK(DATA!AK53),"",DATA!AK53),"")</f>
        <v/>
      </c>
      <c r="BR53" s="106" t="str">
        <f>IFERROR(IF(ISBLANK(BQ53),"",ROUND((BQ53/SETTINGS!$L$19)*SETTINGS!$L$20,0)),"")</f>
        <v/>
      </c>
      <c r="BS53" s="106" t="str">
        <f t="shared" si="26"/>
        <v/>
      </c>
      <c r="BT53" s="103" t="str">
        <f t="shared" si="5"/>
        <v/>
      </c>
      <c r="BU53" s="107" t="str">
        <f t="shared" si="27"/>
        <v/>
      </c>
      <c r="BV53" s="130"/>
      <c r="BW53" s="190" t="str">
        <f>IFERROR(IF(ISBLANK(DATA!AM53),"",DATA!AM53),"")</f>
        <v/>
      </c>
      <c r="BX53" s="190" t="str">
        <f>IFERROR(IF(ISBLANK(DATA!AN53),"",DATA!AN53),"")</f>
        <v/>
      </c>
      <c r="BY53" s="190" t="str">
        <f>IFERROR(IF(ISBLANK(DATA!AO53),"",DATA!AO53),"")</f>
        <v/>
      </c>
      <c r="BZ53" s="190" t="str">
        <f>IFERROR(IF(ISBLANK(DATA!AP53),"",DATA!AP53),"")</f>
        <v/>
      </c>
      <c r="CA53" s="97" t="str">
        <f t="shared" si="28"/>
        <v/>
      </c>
      <c r="CB53" s="106" t="str">
        <f>IFERROR(IF(CA53=0,"",ROUND((CA53/SUM(SETTINGS!$L$14:$L$17))*SETTINGS!$L$18,0)),"")</f>
        <v/>
      </c>
      <c r="CC53" s="190" t="str">
        <f>IFERROR(IF(ISBLANK(DATA!AQ53),"",DATA!AQ53),"")</f>
        <v/>
      </c>
      <c r="CD53" s="106" t="str">
        <f>IFERROR(IF(ISBLANK(CC53),"",ROUND((CC53/SETTINGS!$L$19)*SETTINGS!$L$20,0)),"")</f>
        <v/>
      </c>
      <c r="CE53" s="106" t="str">
        <f t="shared" si="29"/>
        <v/>
      </c>
      <c r="CF53" s="103" t="str">
        <f t="shared" si="6"/>
        <v/>
      </c>
      <c r="CG53" s="107" t="str">
        <f t="shared" si="30"/>
        <v/>
      </c>
      <c r="CH53" s="130"/>
      <c r="CI53" s="190" t="str">
        <f>IFERROR(IF(ISBLANK(DATA!AS53),"",DATA!AS53),"")</f>
        <v/>
      </c>
      <c r="CJ53" s="190" t="str">
        <f>IFERROR(IF(ISBLANK(DATA!AT53),"",DATA!AT53),"")</f>
        <v/>
      </c>
      <c r="CK53" s="190" t="str">
        <f>IFERROR(IF(ISBLANK(DATA!AU53),"",DATA!AU53),"")</f>
        <v/>
      </c>
      <c r="CL53" s="190" t="str">
        <f>IFERROR(IF(ISBLANK(DATA!AV53),"",DATA!AV53),"")</f>
        <v/>
      </c>
      <c r="CM53" s="97" t="str">
        <f t="shared" si="31"/>
        <v/>
      </c>
      <c r="CN53" s="106" t="str">
        <f>IFERROR(IF(CM53=0,"",ROUND((CM53/SUM(SETTINGS!$L$14:$L$17))*SETTINGS!$L$18,0)),"")</f>
        <v/>
      </c>
      <c r="CO53" s="190" t="str">
        <f>IFERROR(IF(ISBLANK(DATA!AW53),"",DATA!AW53),"")</f>
        <v/>
      </c>
      <c r="CP53" s="106" t="str">
        <f>IFERROR(IF(ISBLANK(CO53),"",ROUND((CO53/SETTINGS!$L$19)*SETTINGS!$L$20,0)),"")</f>
        <v/>
      </c>
      <c r="CQ53" s="106" t="str">
        <f t="shared" si="32"/>
        <v/>
      </c>
      <c r="CR53" s="103" t="str">
        <f t="shared" si="7"/>
        <v/>
      </c>
      <c r="CS53" s="107" t="str">
        <f t="shared" si="33"/>
        <v/>
      </c>
      <c r="CT53" s="130"/>
      <c r="CU53" s="190" t="str">
        <f>IFERROR(IF(ISBLANK(DATA!AY53),"",DATA!AY53),"")</f>
        <v/>
      </c>
      <c r="CV53" s="190" t="str">
        <f>IFERROR(IF(ISBLANK(DATA!AZ53),"",DATA!AZ53),"")</f>
        <v/>
      </c>
      <c r="CW53" s="190" t="str">
        <f>IFERROR(IF(ISBLANK(DATA!BA53),"",DATA!BA53),"")</f>
        <v/>
      </c>
      <c r="CX53" s="190" t="str">
        <f>IFERROR(IF(ISBLANK(DATA!BB53),"",DATA!BB53),"")</f>
        <v/>
      </c>
      <c r="CY53" s="97" t="str">
        <f t="shared" si="34"/>
        <v/>
      </c>
      <c r="CZ53" s="106" t="str">
        <f>IFERROR(IF(CY53=0,"",ROUND((CY53/SUM(SETTINGS!$L$14:$L$17))*SETTINGS!$L$18,0)),"")</f>
        <v/>
      </c>
      <c r="DA53" s="190" t="str">
        <f>IFERROR(IF(ISBLANK(DATA!BC53),"",DATA!BC53),"")</f>
        <v/>
      </c>
      <c r="DB53" s="106" t="str">
        <f>IFERROR(IF(ISBLANK(DA53),"",ROUND((DA53/SETTINGS!$L$19)*SETTINGS!$L$20,0)),"")</f>
        <v/>
      </c>
      <c r="DC53" s="106" t="str">
        <f t="shared" si="35"/>
        <v/>
      </c>
      <c r="DD53" s="103" t="str">
        <f t="shared" si="8"/>
        <v/>
      </c>
      <c r="DE53" s="107" t="str">
        <f t="shared" si="36"/>
        <v/>
      </c>
      <c r="DF53" s="103" t="str">
        <f t="shared" si="9"/>
        <v/>
      </c>
      <c r="DG53" s="103" t="str">
        <f>IFERROR(IF(AND(K53,W53,AI53,AU53,BG53,BS53,CE53,CQ53,DC53)="","",SUM(K53,W53,AI53,AU53,LARGE((BG53,BS53,CE53,CQ53,DC53),{1,2}))),"")</f>
        <v/>
      </c>
      <c r="DH53" s="103" t="str">
        <f>IFERROR(IF(AND(M53,Y53,AK53,AW53,,BI53,BU53,CG53,CS53,DE53)="","",SUM(M53,Y53,AK53,AW53,SMALL((BI53,BU53,CG53,CS53,DE53),{1,2}))),"")</f>
        <v/>
      </c>
      <c r="DI53" s="109" t="str">
        <f>IFERROR(IF(ISBLANK($D53),"",pos&amp;IF(AND(MOD(ABS(pos),100)&gt;10,MOD(ABS(pos),100)&lt;14),"th",CHOOSE(MOD(ABS(pos),10)+1,"th","st","nd","rd","th","th","th","th","th","th"))),"")</f>
        <v/>
      </c>
      <c r="DJ53" s="62">
        <f>ROWS($B$12:$B53)</f>
        <v>42</v>
      </c>
      <c r="DK53" s="62" t="str">
        <f>IF($B53=REPORT_CARD!$M$12,$DJ53,"")</f>
        <v/>
      </c>
      <c r="DL53" s="62"/>
      <c r="DM53" s="186"/>
    </row>
    <row r="54" spans="1:117" ht="19.5" customHeight="1">
      <c r="A54" s="187" t="str">
        <f>IFERROR(IF(ISBLANK(DATA!$A54),"",DATA!$A54),"")</f>
        <v/>
      </c>
      <c r="B54" s="187" t="str">
        <f>IFERROR(IF(ISBLANK(DATA!$B54),"",DATA!$B54),"")</f>
        <v/>
      </c>
      <c r="C54" s="190" t="str">
        <f>IFERROR(IF(ISBLANK(DATA!C54),"",DATA!C54),"")</f>
        <v/>
      </c>
      <c r="D54" s="190" t="str">
        <f>IFERROR(IF(ISBLANK(DATA!D54),"",DATA!D54),"")</f>
        <v/>
      </c>
      <c r="E54" s="190" t="str">
        <f>IFERROR(IF(ISBLANK(DATA!E54),"",DATA!E54),"")</f>
        <v/>
      </c>
      <c r="F54" s="190" t="str">
        <f>IFERROR(IF(ISBLANK(DATA!F54),"",DATA!F54),"")</f>
        <v/>
      </c>
      <c r="G54" s="97" t="str">
        <f t="shared" si="37"/>
        <v/>
      </c>
      <c r="H54" s="106" t="str">
        <f>IFERROR(IF(G54=0,"",ROUND((G54/SUM(SETTINGS!$L$14:$L$17))*SETTINGS!$L$18,0)),"")</f>
        <v/>
      </c>
      <c r="I54" s="190" t="str">
        <f>IFERROR(IF(ISBLANK(DATA!G54),"",DATA!G54),"")</f>
        <v/>
      </c>
      <c r="J54" s="106" t="str">
        <f>IFERROR(IF(ISBLANK(I54),"",ROUND((I54/SETTINGS!$L$19)*SETTINGS!$L$20,0)),"")</f>
        <v/>
      </c>
      <c r="K54" s="106" t="str">
        <f t="shared" si="10"/>
        <v/>
      </c>
      <c r="L54" s="103" t="str">
        <f t="shared" si="0"/>
        <v/>
      </c>
      <c r="M54" s="107" t="str">
        <f t="shared" si="11"/>
        <v/>
      </c>
      <c r="N54" s="136"/>
      <c r="O54" s="190" t="str">
        <f>IFERROR(IF(ISBLANK(DATA!I54),"",DATA!I54),"")</f>
        <v/>
      </c>
      <c r="P54" s="190" t="str">
        <f>IFERROR(IF(ISBLANK(DATA!J54),"",DATA!J54),"")</f>
        <v/>
      </c>
      <c r="Q54" s="190" t="str">
        <f>IFERROR(IF(ISBLANK(DATA!K54),"",DATA!K54),"")</f>
        <v/>
      </c>
      <c r="R54" s="190" t="str">
        <f>IFERROR(IF(ISBLANK(DATA!L54),"",DATA!L54),"")</f>
        <v/>
      </c>
      <c r="S54" s="97" t="str">
        <f t="shared" si="38"/>
        <v/>
      </c>
      <c r="T54" s="106" t="str">
        <f>IFERROR(IF(S54=0,"",ROUND((S54/SUM(SETTINGS!$L$14:$L$17))*SETTINGS!$L$18,0)),"")</f>
        <v/>
      </c>
      <c r="U54" s="190" t="str">
        <f>IFERROR(IF(ISBLANK(DATA!M54),"",DATA!M54),"")</f>
        <v/>
      </c>
      <c r="V54" s="106" t="str">
        <f>IFERROR(IF(ISBLANK(U54),"",ROUND((U54/SETTINGS!$L$19)*SETTINGS!$L$20,0)),"")</f>
        <v/>
      </c>
      <c r="W54" s="106" t="str">
        <f t="shared" si="13"/>
        <v/>
      </c>
      <c r="X54" s="103" t="str">
        <f t="shared" si="14"/>
        <v/>
      </c>
      <c r="Y54" s="107" t="str">
        <f t="shared" si="15"/>
        <v/>
      </c>
      <c r="Z54" s="130"/>
      <c r="AA54" s="190" t="str">
        <f>IFERROR(IF(ISBLANK(DATA!O54),"",DATA!O54),"")</f>
        <v/>
      </c>
      <c r="AB54" s="190" t="str">
        <f>IFERROR(IF(ISBLANK(DATA!P54),"",DATA!P54),"")</f>
        <v/>
      </c>
      <c r="AC54" s="190" t="str">
        <f>IFERROR(IF(ISBLANK(DATA!Q54),"",DATA!Q54),"")</f>
        <v/>
      </c>
      <c r="AD54" s="190" t="str">
        <f>IFERROR(IF(ISBLANK(DATA!R54),"",DATA!R54),"")</f>
        <v/>
      </c>
      <c r="AE54" s="97" t="str">
        <f t="shared" si="39"/>
        <v/>
      </c>
      <c r="AF54" s="106" t="str">
        <f>IFERROR(IF(AE54=0,"",ROUND((AE54/SUM(SETTINGS!$L$14:$L$17))*SETTINGS!$L$18,0)),"")</f>
        <v/>
      </c>
      <c r="AG54" s="190" t="str">
        <f>IFERROR(IF(ISBLANK(DATA!S54),"",DATA!S54),"")</f>
        <v/>
      </c>
      <c r="AH54" s="106" t="str">
        <f>IFERROR(IF(ISBLANK(AG54),"",ROUND((AG54/SETTINGS!$L$19)*SETTINGS!$L$20,0)),"")</f>
        <v/>
      </c>
      <c r="AI54" s="106" t="str">
        <f t="shared" si="17"/>
        <v/>
      </c>
      <c r="AJ54" s="103" t="str">
        <f t="shared" si="2"/>
        <v/>
      </c>
      <c r="AK54" s="108" t="str">
        <f t="shared" si="18"/>
        <v/>
      </c>
      <c r="AL54" s="130"/>
      <c r="AM54" s="190" t="str">
        <f>IFERROR(IF(ISBLANK(DATA!U54),"",DATA!U54),"")</f>
        <v/>
      </c>
      <c r="AN54" s="190" t="str">
        <f>IFERROR(IF(ISBLANK(DATA!V54),"",DATA!V54),"")</f>
        <v/>
      </c>
      <c r="AO54" s="190" t="str">
        <f>IFERROR(IF(ISBLANK(DATA!W54),"",DATA!W54),"")</f>
        <v/>
      </c>
      <c r="AP54" s="190" t="str">
        <f>IFERROR(IF(ISBLANK(DATA!X54),"",DATA!X54),"")</f>
        <v/>
      </c>
      <c r="AQ54" s="97" t="str">
        <f t="shared" si="19"/>
        <v/>
      </c>
      <c r="AR54" s="106" t="str">
        <f>IFERROR(IF(AQ54=0,"",ROUND((AQ54/SUM(SETTINGS!$L$14:$L$17))*SETTINGS!$L$18,0)),"")</f>
        <v/>
      </c>
      <c r="AS54" s="190" t="str">
        <f>IFERROR(IF(ISBLANK(DATA!Y54),"",DATA!Y54),"")</f>
        <v/>
      </c>
      <c r="AT54" s="106" t="str">
        <f>IFERROR(IF(ISBLANK(AS54),"",ROUND((AS54/SETTINGS!$L$19)*SETTINGS!$L$20,0)),"")</f>
        <v/>
      </c>
      <c r="AU54" s="106" t="str">
        <f t="shared" si="20"/>
        <v/>
      </c>
      <c r="AV54" s="103" t="str">
        <f t="shared" si="3"/>
        <v/>
      </c>
      <c r="AW54" s="107" t="str">
        <f t="shared" si="21"/>
        <v/>
      </c>
      <c r="AX54" s="130"/>
      <c r="AY54" s="190" t="str">
        <f>IFERROR(IF(ISBLANK(DATA!AA54),"",DATA!AA54),"")</f>
        <v/>
      </c>
      <c r="AZ54" s="190" t="str">
        <f>IFERROR(IF(ISBLANK(DATA!AB54),"",DATA!AB54),"")</f>
        <v/>
      </c>
      <c r="BA54" s="190" t="str">
        <f>IFERROR(IF(ISBLANK(DATA!AC54),"",DATA!AC54),"")</f>
        <v/>
      </c>
      <c r="BB54" s="190" t="str">
        <f>IFERROR(IF(ISBLANK(DATA!AD54),"",DATA!AD54),"")</f>
        <v/>
      </c>
      <c r="BC54" s="97" t="str">
        <f t="shared" si="22"/>
        <v/>
      </c>
      <c r="BD54" s="106" t="str">
        <f>IFERROR(IF(BC54=0,"",ROUND((BC54/SUM(SETTINGS!$L$14:$L$17))*SETTINGS!$L$18,0)),"")</f>
        <v/>
      </c>
      <c r="BE54" s="190" t="str">
        <f>IFERROR(IF(ISBLANK(DATA!AE54),"",DATA!AE54),"")</f>
        <v/>
      </c>
      <c r="BF54" s="106" t="str">
        <f>IFERROR(IF(ISBLANK(BE54),"",ROUND((BE54/SETTINGS!$L$19)*SETTINGS!$L$20,0)),"")</f>
        <v/>
      </c>
      <c r="BG54" s="106" t="str">
        <f t="shared" si="23"/>
        <v/>
      </c>
      <c r="BH54" s="103" t="str">
        <f t="shared" si="4"/>
        <v/>
      </c>
      <c r="BI54" s="108" t="str">
        <f t="shared" si="24"/>
        <v/>
      </c>
      <c r="BJ54" s="130"/>
      <c r="BK54" s="190" t="str">
        <f>IFERROR(IF(ISBLANK(DATA!AG54),"",DATA!AG54),"")</f>
        <v/>
      </c>
      <c r="BL54" s="190" t="str">
        <f>IFERROR(IF(ISBLANK(DATA!AH54),"",DATA!AH54),"")</f>
        <v/>
      </c>
      <c r="BM54" s="190" t="str">
        <f>IFERROR(IF(ISBLANK(DATA!AI54),"",DATA!AI54),"")</f>
        <v/>
      </c>
      <c r="BN54" s="190" t="str">
        <f>IFERROR(IF(ISBLANK(DATA!AJ54),"",DATA!AJ54),"")</f>
        <v/>
      </c>
      <c r="BO54" s="97" t="str">
        <f t="shared" si="25"/>
        <v/>
      </c>
      <c r="BP54" s="106" t="str">
        <f>IFERROR(IF(BO54=0,"",ROUND((BO54/SUM(SETTINGS!$L$14:$L$17))*SETTINGS!$L$18,0)),"")</f>
        <v/>
      </c>
      <c r="BQ54" s="190" t="str">
        <f>IFERROR(IF(ISBLANK(DATA!AK54),"",DATA!AK54),"")</f>
        <v/>
      </c>
      <c r="BR54" s="106" t="str">
        <f>IFERROR(IF(ISBLANK(BQ54),"",ROUND((BQ54/SETTINGS!$L$19)*SETTINGS!$L$20,0)),"")</f>
        <v/>
      </c>
      <c r="BS54" s="106" t="str">
        <f t="shared" si="26"/>
        <v/>
      </c>
      <c r="BT54" s="103" t="str">
        <f t="shared" si="5"/>
        <v/>
      </c>
      <c r="BU54" s="107" t="str">
        <f t="shared" si="27"/>
        <v/>
      </c>
      <c r="BV54" s="130"/>
      <c r="BW54" s="190" t="str">
        <f>IFERROR(IF(ISBLANK(DATA!AM54),"",DATA!AM54),"")</f>
        <v/>
      </c>
      <c r="BX54" s="190" t="str">
        <f>IFERROR(IF(ISBLANK(DATA!AN54),"",DATA!AN54),"")</f>
        <v/>
      </c>
      <c r="BY54" s="190" t="str">
        <f>IFERROR(IF(ISBLANK(DATA!AO54),"",DATA!AO54),"")</f>
        <v/>
      </c>
      <c r="BZ54" s="190" t="str">
        <f>IFERROR(IF(ISBLANK(DATA!AP54),"",DATA!AP54),"")</f>
        <v/>
      </c>
      <c r="CA54" s="97" t="str">
        <f t="shared" si="28"/>
        <v/>
      </c>
      <c r="CB54" s="106" t="str">
        <f>IFERROR(IF(CA54=0,"",ROUND((CA54/SUM(SETTINGS!$L$14:$L$17))*SETTINGS!$L$18,0)),"")</f>
        <v/>
      </c>
      <c r="CC54" s="190" t="str">
        <f>IFERROR(IF(ISBLANK(DATA!AQ54),"",DATA!AQ54),"")</f>
        <v/>
      </c>
      <c r="CD54" s="106" t="str">
        <f>IFERROR(IF(ISBLANK(CC54),"",ROUND((CC54/SETTINGS!$L$19)*SETTINGS!$L$20,0)),"")</f>
        <v/>
      </c>
      <c r="CE54" s="106" t="str">
        <f t="shared" si="29"/>
        <v/>
      </c>
      <c r="CF54" s="103" t="str">
        <f t="shared" si="6"/>
        <v/>
      </c>
      <c r="CG54" s="107" t="str">
        <f t="shared" si="30"/>
        <v/>
      </c>
      <c r="CH54" s="130"/>
      <c r="CI54" s="190" t="str">
        <f>IFERROR(IF(ISBLANK(DATA!AS54),"",DATA!AS54),"")</f>
        <v/>
      </c>
      <c r="CJ54" s="190" t="str">
        <f>IFERROR(IF(ISBLANK(DATA!AT54),"",DATA!AT54),"")</f>
        <v/>
      </c>
      <c r="CK54" s="190" t="str">
        <f>IFERROR(IF(ISBLANK(DATA!AU54),"",DATA!AU54),"")</f>
        <v/>
      </c>
      <c r="CL54" s="190" t="str">
        <f>IFERROR(IF(ISBLANK(DATA!AV54),"",DATA!AV54),"")</f>
        <v/>
      </c>
      <c r="CM54" s="97" t="str">
        <f t="shared" si="31"/>
        <v/>
      </c>
      <c r="CN54" s="106" t="str">
        <f>IFERROR(IF(CM54=0,"",ROUND((CM54/SUM(SETTINGS!$L$14:$L$17))*SETTINGS!$L$18,0)),"")</f>
        <v/>
      </c>
      <c r="CO54" s="190" t="str">
        <f>IFERROR(IF(ISBLANK(DATA!AW54),"",DATA!AW54),"")</f>
        <v/>
      </c>
      <c r="CP54" s="106" t="str">
        <f>IFERROR(IF(ISBLANK(CO54),"",ROUND((CO54/SETTINGS!$L$19)*SETTINGS!$L$20,0)),"")</f>
        <v/>
      </c>
      <c r="CQ54" s="106" t="str">
        <f t="shared" si="32"/>
        <v/>
      </c>
      <c r="CR54" s="103" t="str">
        <f t="shared" si="7"/>
        <v/>
      </c>
      <c r="CS54" s="107" t="str">
        <f t="shared" si="33"/>
        <v/>
      </c>
      <c r="CT54" s="130"/>
      <c r="CU54" s="190" t="str">
        <f>IFERROR(IF(ISBLANK(DATA!AY54),"",DATA!AY54),"")</f>
        <v/>
      </c>
      <c r="CV54" s="190" t="str">
        <f>IFERROR(IF(ISBLANK(DATA!AZ54),"",DATA!AZ54),"")</f>
        <v/>
      </c>
      <c r="CW54" s="190" t="str">
        <f>IFERROR(IF(ISBLANK(DATA!BA54),"",DATA!BA54),"")</f>
        <v/>
      </c>
      <c r="CX54" s="190" t="str">
        <f>IFERROR(IF(ISBLANK(DATA!BB54),"",DATA!BB54),"")</f>
        <v/>
      </c>
      <c r="CY54" s="97" t="str">
        <f t="shared" si="34"/>
        <v/>
      </c>
      <c r="CZ54" s="106" t="str">
        <f>IFERROR(IF(CY54=0,"",ROUND((CY54/SUM(SETTINGS!$L$14:$L$17))*SETTINGS!$L$18,0)),"")</f>
        <v/>
      </c>
      <c r="DA54" s="190" t="str">
        <f>IFERROR(IF(ISBLANK(DATA!BC54),"",DATA!BC54),"")</f>
        <v/>
      </c>
      <c r="DB54" s="106" t="str">
        <f>IFERROR(IF(ISBLANK(DA54),"",ROUND((DA54/SETTINGS!$L$19)*SETTINGS!$L$20,0)),"")</f>
        <v/>
      </c>
      <c r="DC54" s="106" t="str">
        <f t="shared" si="35"/>
        <v/>
      </c>
      <c r="DD54" s="103" t="str">
        <f t="shared" si="8"/>
        <v/>
      </c>
      <c r="DE54" s="107" t="str">
        <f t="shared" si="36"/>
        <v/>
      </c>
      <c r="DF54" s="103" t="str">
        <f t="shared" si="9"/>
        <v/>
      </c>
      <c r="DG54" s="103" t="str">
        <f>IFERROR(IF(AND(K54,W54,AI54,AU54,BG54,BS54,CE54,CQ54,DC54)="","",SUM(K54,W54,AI54,AU54,LARGE((BG54,BS54,CE54,CQ54,DC54),{1,2}))),"")</f>
        <v/>
      </c>
      <c r="DH54" s="103" t="str">
        <f>IFERROR(IF(AND(M54,Y54,AK54,AW54,,BI54,BU54,CG54,CS54,DE54)="","",SUM(M54,Y54,AK54,AW54,SMALL((BI54,BU54,CG54,CS54,DE54),{1,2}))),"")</f>
        <v/>
      </c>
      <c r="DI54" s="109" t="str">
        <f>IFERROR(IF(ISBLANK($D54),"",pos&amp;IF(AND(MOD(ABS(pos),100)&gt;10,MOD(ABS(pos),100)&lt;14),"th",CHOOSE(MOD(ABS(pos),10)+1,"th","st","nd","rd","th","th","th","th","th","th"))),"")</f>
        <v/>
      </c>
      <c r="DJ54" s="62">
        <f>ROWS($B$12:$B54)</f>
        <v>43</v>
      </c>
      <c r="DK54" s="62" t="str">
        <f>IF($B54=REPORT_CARD!$M$12,$DJ54,"")</f>
        <v/>
      </c>
      <c r="DL54" s="62"/>
      <c r="DM54" s="186"/>
    </row>
    <row r="55" spans="1:117" ht="19.5" customHeight="1">
      <c r="A55" s="187" t="str">
        <f>IFERROR(IF(ISBLANK(DATA!$A55),"",DATA!$A55),"")</f>
        <v/>
      </c>
      <c r="B55" s="187" t="str">
        <f>IFERROR(IF(ISBLANK(DATA!$B55),"",DATA!$B55),"")</f>
        <v/>
      </c>
      <c r="C55" s="190" t="str">
        <f>IFERROR(IF(ISBLANK(DATA!C55),"",DATA!C55),"")</f>
        <v/>
      </c>
      <c r="D55" s="190" t="str">
        <f>IFERROR(IF(ISBLANK(DATA!D55),"",DATA!D55),"")</f>
        <v/>
      </c>
      <c r="E55" s="190" t="str">
        <f>IFERROR(IF(ISBLANK(DATA!E55),"",DATA!E55),"")</f>
        <v/>
      </c>
      <c r="F55" s="190" t="str">
        <f>IFERROR(IF(ISBLANK(DATA!F55),"",DATA!F55),"")</f>
        <v/>
      </c>
      <c r="G55" s="97" t="str">
        <f t="shared" si="37"/>
        <v/>
      </c>
      <c r="H55" s="106" t="str">
        <f>IFERROR(IF(G55=0,"",ROUND((G55/SUM(SETTINGS!$L$14:$L$17))*SETTINGS!$L$18,0)),"")</f>
        <v/>
      </c>
      <c r="I55" s="190" t="str">
        <f>IFERROR(IF(ISBLANK(DATA!G55),"",DATA!G55),"")</f>
        <v/>
      </c>
      <c r="J55" s="106" t="str">
        <f>IFERROR(IF(ISBLANK(I55),"",ROUND((I55/SETTINGS!$L$19)*SETTINGS!$L$20,0)),"")</f>
        <v/>
      </c>
      <c r="K55" s="106" t="str">
        <f t="shared" si="10"/>
        <v/>
      </c>
      <c r="L55" s="103" t="str">
        <f t="shared" si="0"/>
        <v/>
      </c>
      <c r="M55" s="107" t="str">
        <f t="shared" si="11"/>
        <v/>
      </c>
      <c r="N55" s="136"/>
      <c r="O55" s="190" t="str">
        <f>IFERROR(IF(ISBLANK(DATA!I55),"",DATA!I55),"")</f>
        <v/>
      </c>
      <c r="P55" s="190" t="str">
        <f>IFERROR(IF(ISBLANK(DATA!J55),"",DATA!J55),"")</f>
        <v/>
      </c>
      <c r="Q55" s="190" t="str">
        <f>IFERROR(IF(ISBLANK(DATA!K55),"",DATA!K55),"")</f>
        <v/>
      </c>
      <c r="R55" s="190" t="str">
        <f>IFERROR(IF(ISBLANK(DATA!L55),"",DATA!L55),"")</f>
        <v/>
      </c>
      <c r="S55" s="97" t="str">
        <f t="shared" si="38"/>
        <v/>
      </c>
      <c r="T55" s="106" t="str">
        <f>IFERROR(IF(S55=0,"",ROUND((S55/SUM(SETTINGS!$L$14:$L$17))*SETTINGS!$L$18,0)),"")</f>
        <v/>
      </c>
      <c r="U55" s="190" t="str">
        <f>IFERROR(IF(ISBLANK(DATA!M55),"",DATA!M55),"")</f>
        <v/>
      </c>
      <c r="V55" s="106" t="str">
        <f>IFERROR(IF(ISBLANK(U55),"",ROUND((U55/SETTINGS!$L$19)*SETTINGS!$L$20,0)),"")</f>
        <v/>
      </c>
      <c r="W55" s="106" t="str">
        <f t="shared" si="13"/>
        <v/>
      </c>
      <c r="X55" s="103" t="str">
        <f t="shared" si="14"/>
        <v/>
      </c>
      <c r="Y55" s="107" t="str">
        <f t="shared" si="15"/>
        <v/>
      </c>
      <c r="Z55" s="130"/>
      <c r="AA55" s="190" t="str">
        <f>IFERROR(IF(ISBLANK(DATA!O55),"",DATA!O55),"")</f>
        <v/>
      </c>
      <c r="AB55" s="190" t="str">
        <f>IFERROR(IF(ISBLANK(DATA!P55),"",DATA!P55),"")</f>
        <v/>
      </c>
      <c r="AC55" s="190" t="str">
        <f>IFERROR(IF(ISBLANK(DATA!Q55),"",DATA!Q55),"")</f>
        <v/>
      </c>
      <c r="AD55" s="190" t="str">
        <f>IFERROR(IF(ISBLANK(DATA!R55),"",DATA!R55),"")</f>
        <v/>
      </c>
      <c r="AE55" s="97" t="str">
        <f t="shared" si="39"/>
        <v/>
      </c>
      <c r="AF55" s="106" t="str">
        <f>IFERROR(IF(AE55=0,"",ROUND((AE55/SUM(SETTINGS!$L$14:$L$17))*SETTINGS!$L$18,0)),"")</f>
        <v/>
      </c>
      <c r="AG55" s="190" t="str">
        <f>IFERROR(IF(ISBLANK(DATA!S55),"",DATA!S55),"")</f>
        <v/>
      </c>
      <c r="AH55" s="106" t="str">
        <f>IFERROR(IF(ISBLANK(AG55),"",ROUND((AG55/SETTINGS!$L$19)*SETTINGS!$L$20,0)),"")</f>
        <v/>
      </c>
      <c r="AI55" s="106" t="str">
        <f t="shared" si="17"/>
        <v/>
      </c>
      <c r="AJ55" s="103" t="str">
        <f t="shared" si="2"/>
        <v/>
      </c>
      <c r="AK55" s="108" t="str">
        <f t="shared" si="18"/>
        <v/>
      </c>
      <c r="AL55" s="130"/>
      <c r="AM55" s="190" t="str">
        <f>IFERROR(IF(ISBLANK(DATA!U55),"",DATA!U55),"")</f>
        <v/>
      </c>
      <c r="AN55" s="190" t="str">
        <f>IFERROR(IF(ISBLANK(DATA!V55),"",DATA!V55),"")</f>
        <v/>
      </c>
      <c r="AO55" s="190" t="str">
        <f>IFERROR(IF(ISBLANK(DATA!W55),"",DATA!W55),"")</f>
        <v/>
      </c>
      <c r="AP55" s="190" t="str">
        <f>IFERROR(IF(ISBLANK(DATA!X55),"",DATA!X55),"")</f>
        <v/>
      </c>
      <c r="AQ55" s="97" t="str">
        <f t="shared" si="19"/>
        <v/>
      </c>
      <c r="AR55" s="106" t="str">
        <f>IFERROR(IF(AQ55=0,"",ROUND((AQ55/SUM(SETTINGS!$L$14:$L$17))*SETTINGS!$L$18,0)),"")</f>
        <v/>
      </c>
      <c r="AS55" s="190" t="str">
        <f>IFERROR(IF(ISBLANK(DATA!Y55),"",DATA!Y55),"")</f>
        <v/>
      </c>
      <c r="AT55" s="106" t="str">
        <f>IFERROR(IF(ISBLANK(AS55),"",ROUND((AS55/SETTINGS!$L$19)*SETTINGS!$L$20,0)),"")</f>
        <v/>
      </c>
      <c r="AU55" s="106" t="str">
        <f t="shared" si="20"/>
        <v/>
      </c>
      <c r="AV55" s="103" t="str">
        <f t="shared" si="3"/>
        <v/>
      </c>
      <c r="AW55" s="107" t="str">
        <f t="shared" si="21"/>
        <v/>
      </c>
      <c r="AX55" s="130"/>
      <c r="AY55" s="190" t="str">
        <f>IFERROR(IF(ISBLANK(DATA!AA55),"",DATA!AA55),"")</f>
        <v/>
      </c>
      <c r="AZ55" s="190" t="str">
        <f>IFERROR(IF(ISBLANK(DATA!AB55),"",DATA!AB55),"")</f>
        <v/>
      </c>
      <c r="BA55" s="190" t="str">
        <f>IFERROR(IF(ISBLANK(DATA!AC55),"",DATA!AC55),"")</f>
        <v/>
      </c>
      <c r="BB55" s="190" t="str">
        <f>IFERROR(IF(ISBLANK(DATA!AD55),"",DATA!AD55),"")</f>
        <v/>
      </c>
      <c r="BC55" s="97" t="str">
        <f t="shared" si="22"/>
        <v/>
      </c>
      <c r="BD55" s="106" t="str">
        <f>IFERROR(IF(BC55=0,"",ROUND((BC55/SUM(SETTINGS!$L$14:$L$17))*SETTINGS!$L$18,0)),"")</f>
        <v/>
      </c>
      <c r="BE55" s="190" t="str">
        <f>IFERROR(IF(ISBLANK(DATA!AE55),"",DATA!AE55),"")</f>
        <v/>
      </c>
      <c r="BF55" s="106" t="str">
        <f>IFERROR(IF(ISBLANK(BE55),"",ROUND((BE55/SETTINGS!$L$19)*SETTINGS!$L$20,0)),"")</f>
        <v/>
      </c>
      <c r="BG55" s="106" t="str">
        <f t="shared" si="23"/>
        <v/>
      </c>
      <c r="BH55" s="103" t="str">
        <f t="shared" si="4"/>
        <v/>
      </c>
      <c r="BI55" s="108" t="str">
        <f t="shared" si="24"/>
        <v/>
      </c>
      <c r="BJ55" s="130"/>
      <c r="BK55" s="190" t="str">
        <f>IFERROR(IF(ISBLANK(DATA!AG55),"",DATA!AG55),"")</f>
        <v/>
      </c>
      <c r="BL55" s="190" t="str">
        <f>IFERROR(IF(ISBLANK(DATA!AH55),"",DATA!AH55),"")</f>
        <v/>
      </c>
      <c r="BM55" s="190" t="str">
        <f>IFERROR(IF(ISBLANK(DATA!AI55),"",DATA!AI55),"")</f>
        <v/>
      </c>
      <c r="BN55" s="190" t="str">
        <f>IFERROR(IF(ISBLANK(DATA!AJ55),"",DATA!AJ55),"")</f>
        <v/>
      </c>
      <c r="BO55" s="97" t="str">
        <f t="shared" si="25"/>
        <v/>
      </c>
      <c r="BP55" s="106" t="str">
        <f>IFERROR(IF(BO55=0,"",ROUND((BO55/SUM(SETTINGS!$L$14:$L$17))*SETTINGS!$L$18,0)),"")</f>
        <v/>
      </c>
      <c r="BQ55" s="190" t="str">
        <f>IFERROR(IF(ISBLANK(DATA!AK55),"",DATA!AK55),"")</f>
        <v/>
      </c>
      <c r="BR55" s="106" t="str">
        <f>IFERROR(IF(ISBLANK(BQ55),"",ROUND((BQ55/SETTINGS!$L$19)*SETTINGS!$L$20,0)),"")</f>
        <v/>
      </c>
      <c r="BS55" s="106" t="str">
        <f t="shared" si="26"/>
        <v/>
      </c>
      <c r="BT55" s="103" t="str">
        <f t="shared" si="5"/>
        <v/>
      </c>
      <c r="BU55" s="107" t="str">
        <f t="shared" si="27"/>
        <v/>
      </c>
      <c r="BV55" s="130"/>
      <c r="BW55" s="190" t="str">
        <f>IFERROR(IF(ISBLANK(DATA!AM55),"",DATA!AM55),"")</f>
        <v/>
      </c>
      <c r="BX55" s="190" t="str">
        <f>IFERROR(IF(ISBLANK(DATA!AN55),"",DATA!AN55),"")</f>
        <v/>
      </c>
      <c r="BY55" s="190" t="str">
        <f>IFERROR(IF(ISBLANK(DATA!AO55),"",DATA!AO55),"")</f>
        <v/>
      </c>
      <c r="BZ55" s="190" t="str">
        <f>IFERROR(IF(ISBLANK(DATA!AP55),"",DATA!AP55),"")</f>
        <v/>
      </c>
      <c r="CA55" s="97" t="str">
        <f t="shared" si="28"/>
        <v/>
      </c>
      <c r="CB55" s="106" t="str">
        <f>IFERROR(IF(CA55=0,"",ROUND((CA55/SUM(SETTINGS!$L$14:$L$17))*SETTINGS!$L$18,0)),"")</f>
        <v/>
      </c>
      <c r="CC55" s="190" t="str">
        <f>IFERROR(IF(ISBLANK(DATA!AQ55),"",DATA!AQ55),"")</f>
        <v/>
      </c>
      <c r="CD55" s="106" t="str">
        <f>IFERROR(IF(ISBLANK(CC55),"",ROUND((CC55/SETTINGS!$L$19)*SETTINGS!$L$20,0)),"")</f>
        <v/>
      </c>
      <c r="CE55" s="106" t="str">
        <f t="shared" si="29"/>
        <v/>
      </c>
      <c r="CF55" s="103" t="str">
        <f t="shared" si="6"/>
        <v/>
      </c>
      <c r="CG55" s="107" t="str">
        <f t="shared" si="30"/>
        <v/>
      </c>
      <c r="CH55" s="130"/>
      <c r="CI55" s="190" t="str">
        <f>IFERROR(IF(ISBLANK(DATA!AS55),"",DATA!AS55),"")</f>
        <v/>
      </c>
      <c r="CJ55" s="190" t="str">
        <f>IFERROR(IF(ISBLANK(DATA!AT55),"",DATA!AT55),"")</f>
        <v/>
      </c>
      <c r="CK55" s="190" t="str">
        <f>IFERROR(IF(ISBLANK(DATA!AU55),"",DATA!AU55),"")</f>
        <v/>
      </c>
      <c r="CL55" s="190" t="str">
        <f>IFERROR(IF(ISBLANK(DATA!AV55),"",DATA!AV55),"")</f>
        <v/>
      </c>
      <c r="CM55" s="97" t="str">
        <f t="shared" si="31"/>
        <v/>
      </c>
      <c r="CN55" s="106" t="str">
        <f>IFERROR(IF(CM55=0,"",ROUND((CM55/SUM(SETTINGS!$L$14:$L$17))*SETTINGS!$L$18,0)),"")</f>
        <v/>
      </c>
      <c r="CO55" s="190" t="str">
        <f>IFERROR(IF(ISBLANK(DATA!AW55),"",DATA!AW55),"")</f>
        <v/>
      </c>
      <c r="CP55" s="106" t="str">
        <f>IFERROR(IF(ISBLANK(CO55),"",ROUND((CO55/SETTINGS!$L$19)*SETTINGS!$L$20,0)),"")</f>
        <v/>
      </c>
      <c r="CQ55" s="106" t="str">
        <f t="shared" si="32"/>
        <v/>
      </c>
      <c r="CR55" s="103" t="str">
        <f t="shared" si="7"/>
        <v/>
      </c>
      <c r="CS55" s="107" t="str">
        <f t="shared" si="33"/>
        <v/>
      </c>
      <c r="CT55" s="130"/>
      <c r="CU55" s="190" t="str">
        <f>IFERROR(IF(ISBLANK(DATA!AY55),"",DATA!AY55),"")</f>
        <v/>
      </c>
      <c r="CV55" s="190" t="str">
        <f>IFERROR(IF(ISBLANK(DATA!AZ55),"",DATA!AZ55),"")</f>
        <v/>
      </c>
      <c r="CW55" s="190" t="str">
        <f>IFERROR(IF(ISBLANK(DATA!BA55),"",DATA!BA55),"")</f>
        <v/>
      </c>
      <c r="CX55" s="190" t="str">
        <f>IFERROR(IF(ISBLANK(DATA!BB55),"",DATA!BB55),"")</f>
        <v/>
      </c>
      <c r="CY55" s="97" t="str">
        <f t="shared" si="34"/>
        <v/>
      </c>
      <c r="CZ55" s="106" t="str">
        <f>IFERROR(IF(CY55=0,"",ROUND((CY55/SUM(SETTINGS!$L$14:$L$17))*SETTINGS!$L$18,0)),"")</f>
        <v/>
      </c>
      <c r="DA55" s="190" t="str">
        <f>IFERROR(IF(ISBLANK(DATA!BC55),"",DATA!BC55),"")</f>
        <v/>
      </c>
      <c r="DB55" s="106" t="str">
        <f>IFERROR(IF(ISBLANK(DA55),"",ROUND((DA55/SETTINGS!$L$19)*SETTINGS!$L$20,0)),"")</f>
        <v/>
      </c>
      <c r="DC55" s="106" t="str">
        <f t="shared" si="35"/>
        <v/>
      </c>
      <c r="DD55" s="103" t="str">
        <f t="shared" si="8"/>
        <v/>
      </c>
      <c r="DE55" s="107" t="str">
        <f t="shared" si="36"/>
        <v/>
      </c>
      <c r="DF55" s="103" t="str">
        <f t="shared" si="9"/>
        <v/>
      </c>
      <c r="DG55" s="103" t="str">
        <f>IFERROR(IF(AND(K55,W55,AI55,AU55,BG55,BS55,CE55,CQ55,DC55)="","",SUM(K55,W55,AI55,AU55,LARGE((BG55,BS55,CE55,CQ55,DC55),{1,2}))),"")</f>
        <v/>
      </c>
      <c r="DH55" s="103" t="str">
        <f>IFERROR(IF(AND(M55,Y55,AK55,AW55,,BI55,BU55,CG55,CS55,DE55)="","",SUM(M55,Y55,AK55,AW55,SMALL((BI55,BU55,CG55,CS55,DE55),{1,2}))),"")</f>
        <v/>
      </c>
      <c r="DI55" s="109" t="str">
        <f>IFERROR(IF(ISBLANK($D55),"",pos&amp;IF(AND(MOD(ABS(pos),100)&gt;10,MOD(ABS(pos),100)&lt;14),"th",CHOOSE(MOD(ABS(pos),10)+1,"th","st","nd","rd","th","th","th","th","th","th"))),"")</f>
        <v/>
      </c>
      <c r="DJ55" s="62">
        <f>ROWS($B$12:$B55)</f>
        <v>44</v>
      </c>
      <c r="DK55" s="62" t="str">
        <f>IF($B55=REPORT_CARD!$M$12,$DJ55,"")</f>
        <v/>
      </c>
      <c r="DL55" s="62"/>
      <c r="DM55" s="186"/>
    </row>
    <row r="56" spans="1:117" ht="19.5" customHeight="1">
      <c r="A56" s="187" t="str">
        <f>IFERROR(IF(ISBLANK(DATA!$A56),"",DATA!$A56),"")</f>
        <v/>
      </c>
      <c r="B56" s="187" t="str">
        <f>IFERROR(IF(ISBLANK(DATA!$B56),"",DATA!$B56),"")</f>
        <v/>
      </c>
      <c r="C56" s="190" t="str">
        <f>IFERROR(IF(ISBLANK(DATA!C56),"",DATA!C56),"")</f>
        <v/>
      </c>
      <c r="D56" s="190" t="str">
        <f>IFERROR(IF(ISBLANK(DATA!D56),"",DATA!D56),"")</f>
        <v/>
      </c>
      <c r="E56" s="190" t="str">
        <f>IFERROR(IF(ISBLANK(DATA!E56),"",DATA!E56),"")</f>
        <v/>
      </c>
      <c r="F56" s="190" t="str">
        <f>IFERROR(IF(ISBLANK(DATA!F56),"",DATA!F56),"")</f>
        <v/>
      </c>
      <c r="G56" s="97" t="str">
        <f t="shared" si="37"/>
        <v/>
      </c>
      <c r="H56" s="106" t="str">
        <f>IFERROR(IF(G56=0,"",ROUND((G56/SUM(SETTINGS!$L$14:$L$17))*SETTINGS!$L$18,0)),"")</f>
        <v/>
      </c>
      <c r="I56" s="190" t="str">
        <f>IFERROR(IF(ISBLANK(DATA!G56),"",DATA!G56),"")</f>
        <v/>
      </c>
      <c r="J56" s="106" t="str">
        <f>IFERROR(IF(ISBLANK(I56),"",ROUND((I56/SETTINGS!$L$19)*SETTINGS!$L$20,0)),"")</f>
        <v/>
      </c>
      <c r="K56" s="106" t="str">
        <f t="shared" si="10"/>
        <v/>
      </c>
      <c r="L56" s="103" t="str">
        <f t="shared" si="0"/>
        <v/>
      </c>
      <c r="M56" s="107" t="str">
        <f t="shared" si="11"/>
        <v/>
      </c>
      <c r="N56" s="136"/>
      <c r="O56" s="190" t="str">
        <f>IFERROR(IF(ISBLANK(DATA!I56),"",DATA!I56),"")</f>
        <v/>
      </c>
      <c r="P56" s="190" t="str">
        <f>IFERROR(IF(ISBLANK(DATA!J56),"",DATA!J56),"")</f>
        <v/>
      </c>
      <c r="Q56" s="190" t="str">
        <f>IFERROR(IF(ISBLANK(DATA!K56),"",DATA!K56),"")</f>
        <v/>
      </c>
      <c r="R56" s="190" t="str">
        <f>IFERROR(IF(ISBLANK(DATA!L56),"",DATA!L56),"")</f>
        <v/>
      </c>
      <c r="S56" s="97" t="str">
        <f t="shared" si="38"/>
        <v/>
      </c>
      <c r="T56" s="106" t="str">
        <f>IFERROR(IF(S56=0,"",ROUND((S56/SUM(SETTINGS!$L$14:$L$17))*SETTINGS!$L$18,0)),"")</f>
        <v/>
      </c>
      <c r="U56" s="190" t="str">
        <f>IFERROR(IF(ISBLANK(DATA!M56),"",DATA!M56),"")</f>
        <v/>
      </c>
      <c r="V56" s="106" t="str">
        <f>IFERROR(IF(ISBLANK(U56),"",ROUND((U56/SETTINGS!$L$19)*SETTINGS!$L$20,0)),"")</f>
        <v/>
      </c>
      <c r="W56" s="106" t="str">
        <f t="shared" si="13"/>
        <v/>
      </c>
      <c r="X56" s="103" t="str">
        <f t="shared" si="14"/>
        <v/>
      </c>
      <c r="Y56" s="107" t="str">
        <f t="shared" si="15"/>
        <v/>
      </c>
      <c r="Z56" s="130"/>
      <c r="AA56" s="190" t="str">
        <f>IFERROR(IF(ISBLANK(DATA!O56),"",DATA!O56),"")</f>
        <v/>
      </c>
      <c r="AB56" s="190" t="str">
        <f>IFERROR(IF(ISBLANK(DATA!P56),"",DATA!P56),"")</f>
        <v/>
      </c>
      <c r="AC56" s="190" t="str">
        <f>IFERROR(IF(ISBLANK(DATA!Q56),"",DATA!Q56),"")</f>
        <v/>
      </c>
      <c r="AD56" s="190" t="str">
        <f>IFERROR(IF(ISBLANK(DATA!R56),"",DATA!R56),"")</f>
        <v/>
      </c>
      <c r="AE56" s="97" t="str">
        <f t="shared" si="39"/>
        <v/>
      </c>
      <c r="AF56" s="106" t="str">
        <f>IFERROR(IF(AE56=0,"",ROUND((AE56/SUM(SETTINGS!$L$14:$L$17))*SETTINGS!$L$18,0)),"")</f>
        <v/>
      </c>
      <c r="AG56" s="190" t="str">
        <f>IFERROR(IF(ISBLANK(DATA!S56),"",DATA!S56),"")</f>
        <v/>
      </c>
      <c r="AH56" s="106" t="str">
        <f>IFERROR(IF(ISBLANK(AG56),"",ROUND((AG56/SETTINGS!$L$19)*SETTINGS!$L$20,0)),"")</f>
        <v/>
      </c>
      <c r="AI56" s="106" t="str">
        <f t="shared" si="17"/>
        <v/>
      </c>
      <c r="AJ56" s="103" t="str">
        <f t="shared" si="2"/>
        <v/>
      </c>
      <c r="AK56" s="108" t="str">
        <f t="shared" si="18"/>
        <v/>
      </c>
      <c r="AL56" s="130"/>
      <c r="AM56" s="190" t="str">
        <f>IFERROR(IF(ISBLANK(DATA!U56),"",DATA!U56),"")</f>
        <v/>
      </c>
      <c r="AN56" s="190" t="str">
        <f>IFERROR(IF(ISBLANK(DATA!V56),"",DATA!V56),"")</f>
        <v/>
      </c>
      <c r="AO56" s="190" t="str">
        <f>IFERROR(IF(ISBLANK(DATA!W56),"",DATA!W56),"")</f>
        <v/>
      </c>
      <c r="AP56" s="190" t="str">
        <f>IFERROR(IF(ISBLANK(DATA!X56),"",DATA!X56),"")</f>
        <v/>
      </c>
      <c r="AQ56" s="97" t="str">
        <f t="shared" si="19"/>
        <v/>
      </c>
      <c r="AR56" s="106" t="str">
        <f>IFERROR(IF(AQ56=0,"",ROUND((AQ56/SUM(SETTINGS!$L$14:$L$17))*SETTINGS!$L$18,0)),"")</f>
        <v/>
      </c>
      <c r="AS56" s="190" t="str">
        <f>IFERROR(IF(ISBLANK(DATA!Y56),"",DATA!Y56),"")</f>
        <v/>
      </c>
      <c r="AT56" s="106" t="str">
        <f>IFERROR(IF(ISBLANK(AS56),"",ROUND((AS56/SETTINGS!$L$19)*SETTINGS!$L$20,0)),"")</f>
        <v/>
      </c>
      <c r="AU56" s="106" t="str">
        <f t="shared" si="20"/>
        <v/>
      </c>
      <c r="AV56" s="103" t="str">
        <f t="shared" si="3"/>
        <v/>
      </c>
      <c r="AW56" s="107" t="str">
        <f t="shared" si="21"/>
        <v/>
      </c>
      <c r="AX56" s="130"/>
      <c r="AY56" s="190" t="str">
        <f>IFERROR(IF(ISBLANK(DATA!AA56),"",DATA!AA56),"")</f>
        <v/>
      </c>
      <c r="AZ56" s="190" t="str">
        <f>IFERROR(IF(ISBLANK(DATA!AB56),"",DATA!AB56),"")</f>
        <v/>
      </c>
      <c r="BA56" s="190" t="str">
        <f>IFERROR(IF(ISBLANK(DATA!AC56),"",DATA!AC56),"")</f>
        <v/>
      </c>
      <c r="BB56" s="190" t="str">
        <f>IFERROR(IF(ISBLANK(DATA!AD56),"",DATA!AD56),"")</f>
        <v/>
      </c>
      <c r="BC56" s="97" t="str">
        <f t="shared" si="22"/>
        <v/>
      </c>
      <c r="BD56" s="106" t="str">
        <f>IFERROR(IF(BC56=0,"",ROUND((BC56/SUM(SETTINGS!$L$14:$L$17))*SETTINGS!$L$18,0)),"")</f>
        <v/>
      </c>
      <c r="BE56" s="190" t="str">
        <f>IFERROR(IF(ISBLANK(DATA!AE56),"",DATA!AE56),"")</f>
        <v/>
      </c>
      <c r="BF56" s="106" t="str">
        <f>IFERROR(IF(ISBLANK(BE56),"",ROUND((BE56/SETTINGS!$L$19)*SETTINGS!$L$20,0)),"")</f>
        <v/>
      </c>
      <c r="BG56" s="106" t="str">
        <f t="shared" si="23"/>
        <v/>
      </c>
      <c r="BH56" s="103" t="str">
        <f t="shared" si="4"/>
        <v/>
      </c>
      <c r="BI56" s="108" t="str">
        <f t="shared" si="24"/>
        <v/>
      </c>
      <c r="BJ56" s="130"/>
      <c r="BK56" s="190" t="str">
        <f>IFERROR(IF(ISBLANK(DATA!AG56),"",DATA!AG56),"")</f>
        <v/>
      </c>
      <c r="BL56" s="190" t="str">
        <f>IFERROR(IF(ISBLANK(DATA!AH56),"",DATA!AH56),"")</f>
        <v/>
      </c>
      <c r="BM56" s="190" t="str">
        <f>IFERROR(IF(ISBLANK(DATA!AI56),"",DATA!AI56),"")</f>
        <v/>
      </c>
      <c r="BN56" s="190" t="str">
        <f>IFERROR(IF(ISBLANK(DATA!AJ56),"",DATA!AJ56),"")</f>
        <v/>
      </c>
      <c r="BO56" s="97" t="str">
        <f t="shared" si="25"/>
        <v/>
      </c>
      <c r="BP56" s="106" t="str">
        <f>IFERROR(IF(BO56=0,"",ROUND((BO56/SUM(SETTINGS!$L$14:$L$17))*SETTINGS!$L$18,0)),"")</f>
        <v/>
      </c>
      <c r="BQ56" s="190" t="str">
        <f>IFERROR(IF(ISBLANK(DATA!AK56),"",DATA!AK56),"")</f>
        <v/>
      </c>
      <c r="BR56" s="106" t="str">
        <f>IFERROR(IF(ISBLANK(BQ56),"",ROUND((BQ56/SETTINGS!$L$19)*SETTINGS!$L$20,0)),"")</f>
        <v/>
      </c>
      <c r="BS56" s="106" t="str">
        <f t="shared" si="26"/>
        <v/>
      </c>
      <c r="BT56" s="103" t="str">
        <f t="shared" si="5"/>
        <v/>
      </c>
      <c r="BU56" s="107" t="str">
        <f t="shared" si="27"/>
        <v/>
      </c>
      <c r="BV56" s="130"/>
      <c r="BW56" s="190" t="str">
        <f>IFERROR(IF(ISBLANK(DATA!AM56),"",DATA!AM56),"")</f>
        <v/>
      </c>
      <c r="BX56" s="190" t="str">
        <f>IFERROR(IF(ISBLANK(DATA!AN56),"",DATA!AN56),"")</f>
        <v/>
      </c>
      <c r="BY56" s="190" t="str">
        <f>IFERROR(IF(ISBLANK(DATA!AO56),"",DATA!AO56),"")</f>
        <v/>
      </c>
      <c r="BZ56" s="190" t="str">
        <f>IFERROR(IF(ISBLANK(DATA!AP56),"",DATA!AP56),"")</f>
        <v/>
      </c>
      <c r="CA56" s="97" t="str">
        <f t="shared" si="28"/>
        <v/>
      </c>
      <c r="CB56" s="106" t="str">
        <f>IFERROR(IF(CA56=0,"",ROUND((CA56/SUM(SETTINGS!$L$14:$L$17))*SETTINGS!$L$18,0)),"")</f>
        <v/>
      </c>
      <c r="CC56" s="190" t="str">
        <f>IFERROR(IF(ISBLANK(DATA!AQ56),"",DATA!AQ56),"")</f>
        <v/>
      </c>
      <c r="CD56" s="106" t="str">
        <f>IFERROR(IF(ISBLANK(CC56),"",ROUND((CC56/SETTINGS!$L$19)*SETTINGS!$L$20,0)),"")</f>
        <v/>
      </c>
      <c r="CE56" s="106" t="str">
        <f t="shared" si="29"/>
        <v/>
      </c>
      <c r="CF56" s="103" t="str">
        <f t="shared" si="6"/>
        <v/>
      </c>
      <c r="CG56" s="107" t="str">
        <f t="shared" si="30"/>
        <v/>
      </c>
      <c r="CH56" s="130"/>
      <c r="CI56" s="190" t="str">
        <f>IFERROR(IF(ISBLANK(DATA!AS56),"",DATA!AS56),"")</f>
        <v/>
      </c>
      <c r="CJ56" s="190" t="str">
        <f>IFERROR(IF(ISBLANK(DATA!AT56),"",DATA!AT56),"")</f>
        <v/>
      </c>
      <c r="CK56" s="190" t="str">
        <f>IFERROR(IF(ISBLANK(DATA!AU56),"",DATA!AU56),"")</f>
        <v/>
      </c>
      <c r="CL56" s="190" t="str">
        <f>IFERROR(IF(ISBLANK(DATA!AV56),"",DATA!AV56),"")</f>
        <v/>
      </c>
      <c r="CM56" s="97" t="str">
        <f t="shared" si="31"/>
        <v/>
      </c>
      <c r="CN56" s="106" t="str">
        <f>IFERROR(IF(CM56=0,"",ROUND((CM56/SUM(SETTINGS!$L$14:$L$17))*SETTINGS!$L$18,0)),"")</f>
        <v/>
      </c>
      <c r="CO56" s="190" t="str">
        <f>IFERROR(IF(ISBLANK(DATA!AW56),"",DATA!AW56),"")</f>
        <v/>
      </c>
      <c r="CP56" s="106" t="str">
        <f>IFERROR(IF(ISBLANK(CO56),"",ROUND((CO56/SETTINGS!$L$19)*SETTINGS!$L$20,0)),"")</f>
        <v/>
      </c>
      <c r="CQ56" s="106" t="str">
        <f t="shared" si="32"/>
        <v/>
      </c>
      <c r="CR56" s="103" t="str">
        <f t="shared" si="7"/>
        <v/>
      </c>
      <c r="CS56" s="107" t="str">
        <f t="shared" si="33"/>
        <v/>
      </c>
      <c r="CT56" s="130"/>
      <c r="CU56" s="190" t="str">
        <f>IFERROR(IF(ISBLANK(DATA!AY56),"",DATA!AY56),"")</f>
        <v/>
      </c>
      <c r="CV56" s="190" t="str">
        <f>IFERROR(IF(ISBLANK(DATA!AZ56),"",DATA!AZ56),"")</f>
        <v/>
      </c>
      <c r="CW56" s="190" t="str">
        <f>IFERROR(IF(ISBLANK(DATA!BA56),"",DATA!BA56),"")</f>
        <v/>
      </c>
      <c r="CX56" s="190" t="str">
        <f>IFERROR(IF(ISBLANK(DATA!BB56),"",DATA!BB56),"")</f>
        <v/>
      </c>
      <c r="CY56" s="97" t="str">
        <f t="shared" si="34"/>
        <v/>
      </c>
      <c r="CZ56" s="106" t="str">
        <f>IFERROR(IF(CY56=0,"",ROUND((CY56/SUM(SETTINGS!$L$14:$L$17))*SETTINGS!$L$18,0)),"")</f>
        <v/>
      </c>
      <c r="DA56" s="190" t="str">
        <f>IFERROR(IF(ISBLANK(DATA!BC56),"",DATA!BC56),"")</f>
        <v/>
      </c>
      <c r="DB56" s="106" t="str">
        <f>IFERROR(IF(ISBLANK(DA56),"",ROUND((DA56/SETTINGS!$L$19)*SETTINGS!$L$20,0)),"")</f>
        <v/>
      </c>
      <c r="DC56" s="106" t="str">
        <f t="shared" si="35"/>
        <v/>
      </c>
      <c r="DD56" s="103" t="str">
        <f t="shared" si="8"/>
        <v/>
      </c>
      <c r="DE56" s="107" t="str">
        <f t="shared" si="36"/>
        <v/>
      </c>
      <c r="DF56" s="103" t="str">
        <f t="shared" si="9"/>
        <v/>
      </c>
      <c r="DG56" s="103" t="str">
        <f>IFERROR(IF(AND(K56,W56,AI56,AU56,BG56,BS56,CE56,CQ56,DC56)="","",SUM(K56,W56,AI56,AU56,LARGE((BG56,BS56,CE56,CQ56,DC56),{1,2}))),"")</f>
        <v/>
      </c>
      <c r="DH56" s="103" t="str">
        <f>IFERROR(IF(AND(M56,Y56,AK56,AW56,,BI56,BU56,CG56,CS56,DE56)="","",SUM(M56,Y56,AK56,AW56,SMALL((BI56,BU56,CG56,CS56,DE56),{1,2}))),"")</f>
        <v/>
      </c>
      <c r="DI56" s="109" t="str">
        <f>IFERROR(IF(ISBLANK($D56),"",pos&amp;IF(AND(MOD(ABS(pos),100)&gt;10,MOD(ABS(pos),100)&lt;14),"th",CHOOSE(MOD(ABS(pos),10)+1,"th","st","nd","rd","th","th","th","th","th","th"))),"")</f>
        <v/>
      </c>
      <c r="DJ56" s="62">
        <f>ROWS($B$12:$B56)</f>
        <v>45</v>
      </c>
      <c r="DK56" s="62" t="str">
        <f>IF($B56=REPORT_CARD!$M$12,$DJ56,"")</f>
        <v/>
      </c>
      <c r="DL56" s="62"/>
      <c r="DM56" s="186"/>
    </row>
    <row r="57" spans="1:117" ht="19.5" customHeight="1">
      <c r="A57" s="187" t="str">
        <f>IFERROR(IF(ISBLANK(DATA!$A57),"",DATA!$A57),"")</f>
        <v/>
      </c>
      <c r="B57" s="187" t="str">
        <f>IFERROR(IF(ISBLANK(DATA!$B57),"",DATA!$B57),"")</f>
        <v/>
      </c>
      <c r="C57" s="190" t="str">
        <f>IFERROR(IF(ISBLANK(DATA!C57),"",DATA!C57),"")</f>
        <v/>
      </c>
      <c r="D57" s="190" t="str">
        <f>IFERROR(IF(ISBLANK(DATA!D57),"",DATA!D57),"")</f>
        <v/>
      </c>
      <c r="E57" s="190" t="str">
        <f>IFERROR(IF(ISBLANK(DATA!E57),"",DATA!E57),"")</f>
        <v/>
      </c>
      <c r="F57" s="190" t="str">
        <f>IFERROR(IF(ISBLANK(DATA!F57),"",DATA!F57),"")</f>
        <v/>
      </c>
      <c r="G57" s="97" t="str">
        <f t="shared" si="37"/>
        <v/>
      </c>
      <c r="H57" s="106" t="str">
        <f>IFERROR(IF(G57=0,"",ROUND((G57/SUM(SETTINGS!$L$14:$L$17))*SETTINGS!$L$18,0)),"")</f>
        <v/>
      </c>
      <c r="I57" s="190" t="str">
        <f>IFERROR(IF(ISBLANK(DATA!G57),"",DATA!G57),"")</f>
        <v/>
      </c>
      <c r="J57" s="106" t="str">
        <f>IFERROR(IF(ISBLANK(I57),"",ROUND((I57/SETTINGS!$L$19)*SETTINGS!$L$20,0)),"")</f>
        <v/>
      </c>
      <c r="K57" s="106" t="str">
        <f t="shared" si="10"/>
        <v/>
      </c>
      <c r="L57" s="103" t="str">
        <f t="shared" si="0"/>
        <v/>
      </c>
      <c r="M57" s="107" t="str">
        <f t="shared" si="11"/>
        <v/>
      </c>
      <c r="N57" s="136"/>
      <c r="O57" s="190" t="str">
        <f>IFERROR(IF(ISBLANK(DATA!I57),"",DATA!I57),"")</f>
        <v/>
      </c>
      <c r="P57" s="190" t="str">
        <f>IFERROR(IF(ISBLANK(DATA!J57),"",DATA!J57),"")</f>
        <v/>
      </c>
      <c r="Q57" s="190" t="str">
        <f>IFERROR(IF(ISBLANK(DATA!K57),"",DATA!K57),"")</f>
        <v/>
      </c>
      <c r="R57" s="190" t="str">
        <f>IFERROR(IF(ISBLANK(DATA!L57),"",DATA!L57),"")</f>
        <v/>
      </c>
      <c r="S57" s="97" t="str">
        <f t="shared" si="38"/>
        <v/>
      </c>
      <c r="T57" s="106" t="str">
        <f>IFERROR(IF(S57=0,"",ROUND((S57/SUM(SETTINGS!$L$14:$L$17))*SETTINGS!$L$18,0)),"")</f>
        <v/>
      </c>
      <c r="U57" s="190" t="str">
        <f>IFERROR(IF(ISBLANK(DATA!M57),"",DATA!M57),"")</f>
        <v/>
      </c>
      <c r="V57" s="106" t="str">
        <f>IFERROR(IF(ISBLANK(U57),"",ROUND((U57/SETTINGS!$L$19)*SETTINGS!$L$20,0)),"")</f>
        <v/>
      </c>
      <c r="W57" s="106" t="str">
        <f t="shared" si="13"/>
        <v/>
      </c>
      <c r="X57" s="103" t="str">
        <f t="shared" si="14"/>
        <v/>
      </c>
      <c r="Y57" s="107" t="str">
        <f t="shared" si="15"/>
        <v/>
      </c>
      <c r="Z57" s="130"/>
      <c r="AA57" s="190" t="str">
        <f>IFERROR(IF(ISBLANK(DATA!O57),"",DATA!O57),"")</f>
        <v/>
      </c>
      <c r="AB57" s="190" t="str">
        <f>IFERROR(IF(ISBLANK(DATA!P57),"",DATA!P57),"")</f>
        <v/>
      </c>
      <c r="AC57" s="190" t="str">
        <f>IFERROR(IF(ISBLANK(DATA!Q57),"",DATA!Q57),"")</f>
        <v/>
      </c>
      <c r="AD57" s="190" t="str">
        <f>IFERROR(IF(ISBLANK(DATA!R57),"",DATA!R57),"")</f>
        <v/>
      </c>
      <c r="AE57" s="97" t="str">
        <f t="shared" si="39"/>
        <v/>
      </c>
      <c r="AF57" s="106" t="str">
        <f>IFERROR(IF(AE57=0,"",ROUND((AE57/SUM(SETTINGS!$L$14:$L$17))*SETTINGS!$L$18,0)),"")</f>
        <v/>
      </c>
      <c r="AG57" s="190" t="str">
        <f>IFERROR(IF(ISBLANK(DATA!S57),"",DATA!S57),"")</f>
        <v/>
      </c>
      <c r="AH57" s="106" t="str">
        <f>IFERROR(IF(ISBLANK(AG57),"",ROUND((AG57/SETTINGS!$L$19)*SETTINGS!$L$20,0)),"")</f>
        <v/>
      </c>
      <c r="AI57" s="106" t="str">
        <f t="shared" si="17"/>
        <v/>
      </c>
      <c r="AJ57" s="103" t="str">
        <f t="shared" si="2"/>
        <v/>
      </c>
      <c r="AK57" s="108" t="str">
        <f t="shared" si="18"/>
        <v/>
      </c>
      <c r="AL57" s="130"/>
      <c r="AM57" s="190" t="str">
        <f>IFERROR(IF(ISBLANK(DATA!U57),"",DATA!U57),"")</f>
        <v/>
      </c>
      <c r="AN57" s="190" t="str">
        <f>IFERROR(IF(ISBLANK(DATA!V57),"",DATA!V57),"")</f>
        <v/>
      </c>
      <c r="AO57" s="190" t="str">
        <f>IFERROR(IF(ISBLANK(DATA!W57),"",DATA!W57),"")</f>
        <v/>
      </c>
      <c r="AP57" s="190" t="str">
        <f>IFERROR(IF(ISBLANK(DATA!X57),"",DATA!X57),"")</f>
        <v/>
      </c>
      <c r="AQ57" s="97" t="str">
        <f t="shared" si="19"/>
        <v/>
      </c>
      <c r="AR57" s="106" t="str">
        <f>IFERROR(IF(AQ57=0,"",ROUND((AQ57/SUM(SETTINGS!$L$14:$L$17))*SETTINGS!$L$18,0)),"")</f>
        <v/>
      </c>
      <c r="AS57" s="190" t="str">
        <f>IFERROR(IF(ISBLANK(DATA!Y57),"",DATA!Y57),"")</f>
        <v/>
      </c>
      <c r="AT57" s="106" t="str">
        <f>IFERROR(IF(ISBLANK(AS57),"",ROUND((AS57/SETTINGS!$L$19)*SETTINGS!$L$20,0)),"")</f>
        <v/>
      </c>
      <c r="AU57" s="106" t="str">
        <f t="shared" si="20"/>
        <v/>
      </c>
      <c r="AV57" s="103" t="str">
        <f t="shared" si="3"/>
        <v/>
      </c>
      <c r="AW57" s="107" t="str">
        <f t="shared" si="21"/>
        <v/>
      </c>
      <c r="AX57" s="130"/>
      <c r="AY57" s="190" t="str">
        <f>IFERROR(IF(ISBLANK(DATA!AA57),"",DATA!AA57),"")</f>
        <v/>
      </c>
      <c r="AZ57" s="190" t="str">
        <f>IFERROR(IF(ISBLANK(DATA!AB57),"",DATA!AB57),"")</f>
        <v/>
      </c>
      <c r="BA57" s="190" t="str">
        <f>IFERROR(IF(ISBLANK(DATA!AC57),"",DATA!AC57),"")</f>
        <v/>
      </c>
      <c r="BB57" s="190" t="str">
        <f>IFERROR(IF(ISBLANK(DATA!AD57),"",DATA!AD57),"")</f>
        <v/>
      </c>
      <c r="BC57" s="97" t="str">
        <f t="shared" si="22"/>
        <v/>
      </c>
      <c r="BD57" s="106" t="str">
        <f>IFERROR(IF(BC57=0,"",ROUND((BC57/SUM(SETTINGS!$L$14:$L$17))*SETTINGS!$L$18,0)),"")</f>
        <v/>
      </c>
      <c r="BE57" s="190" t="str">
        <f>IFERROR(IF(ISBLANK(DATA!AE57),"",DATA!AE57),"")</f>
        <v/>
      </c>
      <c r="BF57" s="106" t="str">
        <f>IFERROR(IF(ISBLANK(BE57),"",ROUND((BE57/SETTINGS!$L$19)*SETTINGS!$L$20,0)),"")</f>
        <v/>
      </c>
      <c r="BG57" s="106" t="str">
        <f t="shared" si="23"/>
        <v/>
      </c>
      <c r="BH57" s="103" t="str">
        <f t="shared" si="4"/>
        <v/>
      </c>
      <c r="BI57" s="108" t="str">
        <f t="shared" si="24"/>
        <v/>
      </c>
      <c r="BJ57" s="130"/>
      <c r="BK57" s="190" t="str">
        <f>IFERROR(IF(ISBLANK(DATA!AG57),"",DATA!AG57),"")</f>
        <v/>
      </c>
      <c r="BL57" s="190" t="str">
        <f>IFERROR(IF(ISBLANK(DATA!AH57),"",DATA!AH57),"")</f>
        <v/>
      </c>
      <c r="BM57" s="190" t="str">
        <f>IFERROR(IF(ISBLANK(DATA!AI57),"",DATA!AI57),"")</f>
        <v/>
      </c>
      <c r="BN57" s="190" t="str">
        <f>IFERROR(IF(ISBLANK(DATA!AJ57),"",DATA!AJ57),"")</f>
        <v/>
      </c>
      <c r="BO57" s="97" t="str">
        <f t="shared" si="25"/>
        <v/>
      </c>
      <c r="BP57" s="106" t="str">
        <f>IFERROR(IF(BO57=0,"",ROUND((BO57/SUM(SETTINGS!$L$14:$L$17))*SETTINGS!$L$18,0)),"")</f>
        <v/>
      </c>
      <c r="BQ57" s="190" t="str">
        <f>IFERROR(IF(ISBLANK(DATA!AK57),"",DATA!AK57),"")</f>
        <v/>
      </c>
      <c r="BR57" s="106" t="str">
        <f>IFERROR(IF(ISBLANK(BQ57),"",ROUND((BQ57/SETTINGS!$L$19)*SETTINGS!$L$20,0)),"")</f>
        <v/>
      </c>
      <c r="BS57" s="106" t="str">
        <f t="shared" si="26"/>
        <v/>
      </c>
      <c r="BT57" s="103" t="str">
        <f t="shared" si="5"/>
        <v/>
      </c>
      <c r="BU57" s="107" t="str">
        <f t="shared" si="27"/>
        <v/>
      </c>
      <c r="BV57" s="130"/>
      <c r="BW57" s="190" t="str">
        <f>IFERROR(IF(ISBLANK(DATA!AM57),"",DATA!AM57),"")</f>
        <v/>
      </c>
      <c r="BX57" s="190" t="str">
        <f>IFERROR(IF(ISBLANK(DATA!AN57),"",DATA!AN57),"")</f>
        <v/>
      </c>
      <c r="BY57" s="190" t="str">
        <f>IFERROR(IF(ISBLANK(DATA!AO57),"",DATA!AO57),"")</f>
        <v/>
      </c>
      <c r="BZ57" s="190" t="str">
        <f>IFERROR(IF(ISBLANK(DATA!AP57),"",DATA!AP57),"")</f>
        <v/>
      </c>
      <c r="CA57" s="97" t="str">
        <f t="shared" si="28"/>
        <v/>
      </c>
      <c r="CB57" s="106" t="str">
        <f>IFERROR(IF(CA57=0,"",ROUND((CA57/SUM(SETTINGS!$L$14:$L$17))*SETTINGS!$L$18,0)),"")</f>
        <v/>
      </c>
      <c r="CC57" s="190" t="str">
        <f>IFERROR(IF(ISBLANK(DATA!AQ57),"",DATA!AQ57),"")</f>
        <v/>
      </c>
      <c r="CD57" s="106" t="str">
        <f>IFERROR(IF(ISBLANK(CC57),"",ROUND((CC57/SETTINGS!$L$19)*SETTINGS!$L$20,0)),"")</f>
        <v/>
      </c>
      <c r="CE57" s="106" t="str">
        <f t="shared" si="29"/>
        <v/>
      </c>
      <c r="CF57" s="103" t="str">
        <f t="shared" si="6"/>
        <v/>
      </c>
      <c r="CG57" s="107" t="str">
        <f t="shared" si="30"/>
        <v/>
      </c>
      <c r="CH57" s="130"/>
      <c r="CI57" s="190" t="str">
        <f>IFERROR(IF(ISBLANK(DATA!AS57),"",DATA!AS57),"")</f>
        <v/>
      </c>
      <c r="CJ57" s="190" t="str">
        <f>IFERROR(IF(ISBLANK(DATA!AT57),"",DATA!AT57),"")</f>
        <v/>
      </c>
      <c r="CK57" s="190" t="str">
        <f>IFERROR(IF(ISBLANK(DATA!AU57),"",DATA!AU57),"")</f>
        <v/>
      </c>
      <c r="CL57" s="190" t="str">
        <f>IFERROR(IF(ISBLANK(DATA!AV57),"",DATA!AV57),"")</f>
        <v/>
      </c>
      <c r="CM57" s="97" t="str">
        <f t="shared" si="31"/>
        <v/>
      </c>
      <c r="CN57" s="106" t="str">
        <f>IFERROR(IF(CM57=0,"",ROUND((CM57/SUM(SETTINGS!$L$14:$L$17))*SETTINGS!$L$18,0)),"")</f>
        <v/>
      </c>
      <c r="CO57" s="190" t="str">
        <f>IFERROR(IF(ISBLANK(DATA!AW57),"",DATA!AW57),"")</f>
        <v/>
      </c>
      <c r="CP57" s="106" t="str">
        <f>IFERROR(IF(ISBLANK(CO57),"",ROUND((CO57/SETTINGS!$L$19)*SETTINGS!$L$20,0)),"")</f>
        <v/>
      </c>
      <c r="CQ57" s="106" t="str">
        <f t="shared" si="32"/>
        <v/>
      </c>
      <c r="CR57" s="103" t="str">
        <f t="shared" si="7"/>
        <v/>
      </c>
      <c r="CS57" s="107" t="str">
        <f t="shared" si="33"/>
        <v/>
      </c>
      <c r="CT57" s="130"/>
      <c r="CU57" s="190" t="str">
        <f>IFERROR(IF(ISBLANK(DATA!AY57),"",DATA!AY57),"")</f>
        <v/>
      </c>
      <c r="CV57" s="190" t="str">
        <f>IFERROR(IF(ISBLANK(DATA!AZ57),"",DATA!AZ57),"")</f>
        <v/>
      </c>
      <c r="CW57" s="190" t="str">
        <f>IFERROR(IF(ISBLANK(DATA!BA57),"",DATA!BA57),"")</f>
        <v/>
      </c>
      <c r="CX57" s="190" t="str">
        <f>IFERROR(IF(ISBLANK(DATA!BB57),"",DATA!BB57),"")</f>
        <v/>
      </c>
      <c r="CY57" s="97" t="str">
        <f t="shared" si="34"/>
        <v/>
      </c>
      <c r="CZ57" s="106" t="str">
        <f>IFERROR(IF(CY57=0,"",ROUND((CY57/SUM(SETTINGS!$L$14:$L$17))*SETTINGS!$L$18,0)),"")</f>
        <v/>
      </c>
      <c r="DA57" s="190" t="str">
        <f>IFERROR(IF(ISBLANK(DATA!BC57),"",DATA!BC57),"")</f>
        <v/>
      </c>
      <c r="DB57" s="106" t="str">
        <f>IFERROR(IF(ISBLANK(DA57),"",ROUND((DA57/SETTINGS!$L$19)*SETTINGS!$L$20,0)),"")</f>
        <v/>
      </c>
      <c r="DC57" s="106" t="str">
        <f t="shared" si="35"/>
        <v/>
      </c>
      <c r="DD57" s="103" t="str">
        <f t="shared" si="8"/>
        <v/>
      </c>
      <c r="DE57" s="107" t="str">
        <f t="shared" si="36"/>
        <v/>
      </c>
      <c r="DF57" s="103" t="str">
        <f t="shared" si="9"/>
        <v/>
      </c>
      <c r="DG57" s="103" t="str">
        <f>IFERROR(IF(AND(K57,W57,AI57,AU57,BG57,BS57,CE57,CQ57,DC57)="","",SUM(K57,W57,AI57,AU57,LARGE((BG57,BS57,CE57,CQ57,DC57),{1,2}))),"")</f>
        <v/>
      </c>
      <c r="DH57" s="103" t="str">
        <f>IFERROR(IF(AND(M57,Y57,AK57,AW57,,BI57,BU57,CG57,CS57,DE57)="","",SUM(M57,Y57,AK57,AW57,SMALL((BI57,BU57,CG57,CS57,DE57),{1,2}))),"")</f>
        <v/>
      </c>
      <c r="DI57" s="109" t="str">
        <f>IFERROR(IF(ISBLANK($D57),"",pos&amp;IF(AND(MOD(ABS(pos),100)&gt;10,MOD(ABS(pos),100)&lt;14),"th",CHOOSE(MOD(ABS(pos),10)+1,"th","st","nd","rd","th","th","th","th","th","th"))),"")</f>
        <v/>
      </c>
      <c r="DJ57" s="62">
        <f>ROWS($B$12:$B57)</f>
        <v>46</v>
      </c>
      <c r="DK57" s="62" t="str">
        <f>IF($B57=REPORT_CARD!$M$12,$DJ57,"")</f>
        <v/>
      </c>
      <c r="DL57" s="62"/>
      <c r="DM57" s="186"/>
    </row>
    <row r="58" spans="1:117" ht="19.5" customHeight="1">
      <c r="A58" s="187" t="str">
        <f>IFERROR(IF(ISBLANK(DATA!$A58),"",DATA!$A58),"")</f>
        <v/>
      </c>
      <c r="B58" s="187" t="str">
        <f>IFERROR(IF(ISBLANK(DATA!$B58),"",DATA!$B58),"")</f>
        <v/>
      </c>
      <c r="C58" s="190" t="str">
        <f>IFERROR(IF(ISBLANK(DATA!C58),"",DATA!C58),"")</f>
        <v/>
      </c>
      <c r="D58" s="190" t="str">
        <f>IFERROR(IF(ISBLANK(DATA!D58),"",DATA!D58),"")</f>
        <v/>
      </c>
      <c r="E58" s="190" t="str">
        <f>IFERROR(IF(ISBLANK(DATA!E58),"",DATA!E58),"")</f>
        <v/>
      </c>
      <c r="F58" s="190" t="str">
        <f>IFERROR(IF(ISBLANK(DATA!F58),"",DATA!F58),"")</f>
        <v/>
      </c>
      <c r="G58" s="97" t="str">
        <f t="shared" si="37"/>
        <v/>
      </c>
      <c r="H58" s="106" t="str">
        <f>IFERROR(IF(G58=0,"",ROUND((G58/SUM(SETTINGS!$L$14:$L$17))*SETTINGS!$L$18,0)),"")</f>
        <v/>
      </c>
      <c r="I58" s="190" t="str">
        <f>IFERROR(IF(ISBLANK(DATA!G58),"",DATA!G58),"")</f>
        <v/>
      </c>
      <c r="J58" s="106" t="str">
        <f>IFERROR(IF(ISBLANK(I58),"",ROUND((I58/SETTINGS!$L$19)*SETTINGS!$L$20,0)),"")</f>
        <v/>
      </c>
      <c r="K58" s="106" t="str">
        <f t="shared" si="10"/>
        <v/>
      </c>
      <c r="L58" s="103" t="str">
        <f t="shared" si="0"/>
        <v/>
      </c>
      <c r="M58" s="107" t="str">
        <f t="shared" si="11"/>
        <v/>
      </c>
      <c r="N58" s="136"/>
      <c r="O58" s="190" t="str">
        <f>IFERROR(IF(ISBLANK(DATA!I58),"",DATA!I58),"")</f>
        <v/>
      </c>
      <c r="P58" s="190" t="str">
        <f>IFERROR(IF(ISBLANK(DATA!J58),"",DATA!J58),"")</f>
        <v/>
      </c>
      <c r="Q58" s="190" t="str">
        <f>IFERROR(IF(ISBLANK(DATA!K58),"",DATA!K58),"")</f>
        <v/>
      </c>
      <c r="R58" s="190" t="str">
        <f>IFERROR(IF(ISBLANK(DATA!L58),"",DATA!L58),"")</f>
        <v/>
      </c>
      <c r="S58" s="97" t="str">
        <f t="shared" si="38"/>
        <v/>
      </c>
      <c r="T58" s="106" t="str">
        <f>IFERROR(IF(S58=0,"",ROUND((S58/SUM(SETTINGS!$L$14:$L$17))*SETTINGS!$L$18,0)),"")</f>
        <v/>
      </c>
      <c r="U58" s="190" t="str">
        <f>IFERROR(IF(ISBLANK(DATA!M58),"",DATA!M58),"")</f>
        <v/>
      </c>
      <c r="V58" s="106" t="str">
        <f>IFERROR(IF(ISBLANK(U58),"",ROUND((U58/SETTINGS!$L$19)*SETTINGS!$L$20,0)),"")</f>
        <v/>
      </c>
      <c r="W58" s="106" t="str">
        <f t="shared" si="13"/>
        <v/>
      </c>
      <c r="X58" s="103" t="str">
        <f t="shared" si="14"/>
        <v/>
      </c>
      <c r="Y58" s="107" t="str">
        <f t="shared" si="15"/>
        <v/>
      </c>
      <c r="Z58" s="130"/>
      <c r="AA58" s="190" t="str">
        <f>IFERROR(IF(ISBLANK(DATA!O58),"",DATA!O58),"")</f>
        <v/>
      </c>
      <c r="AB58" s="190" t="str">
        <f>IFERROR(IF(ISBLANK(DATA!P58),"",DATA!P58),"")</f>
        <v/>
      </c>
      <c r="AC58" s="190" t="str">
        <f>IFERROR(IF(ISBLANK(DATA!Q58),"",DATA!Q58),"")</f>
        <v/>
      </c>
      <c r="AD58" s="190" t="str">
        <f>IFERROR(IF(ISBLANK(DATA!R58),"",DATA!R58),"")</f>
        <v/>
      </c>
      <c r="AE58" s="97" t="str">
        <f t="shared" si="39"/>
        <v/>
      </c>
      <c r="AF58" s="106" t="str">
        <f>IFERROR(IF(AE58=0,"",ROUND((AE58/SUM(SETTINGS!$L$14:$L$17))*SETTINGS!$L$18,0)),"")</f>
        <v/>
      </c>
      <c r="AG58" s="190" t="str">
        <f>IFERROR(IF(ISBLANK(DATA!S58),"",DATA!S58),"")</f>
        <v/>
      </c>
      <c r="AH58" s="106" t="str">
        <f>IFERROR(IF(ISBLANK(AG58),"",ROUND((AG58/SETTINGS!$L$19)*SETTINGS!$L$20,0)),"")</f>
        <v/>
      </c>
      <c r="AI58" s="106" t="str">
        <f t="shared" si="17"/>
        <v/>
      </c>
      <c r="AJ58" s="103" t="str">
        <f t="shared" si="2"/>
        <v/>
      </c>
      <c r="AK58" s="108" t="str">
        <f t="shared" si="18"/>
        <v/>
      </c>
      <c r="AL58" s="130"/>
      <c r="AM58" s="190" t="str">
        <f>IFERROR(IF(ISBLANK(DATA!U58),"",DATA!U58),"")</f>
        <v/>
      </c>
      <c r="AN58" s="190" t="str">
        <f>IFERROR(IF(ISBLANK(DATA!V58),"",DATA!V58),"")</f>
        <v/>
      </c>
      <c r="AO58" s="190" t="str">
        <f>IFERROR(IF(ISBLANK(DATA!W58),"",DATA!W58),"")</f>
        <v/>
      </c>
      <c r="AP58" s="190" t="str">
        <f>IFERROR(IF(ISBLANK(DATA!X58),"",DATA!X58),"")</f>
        <v/>
      </c>
      <c r="AQ58" s="97" t="str">
        <f t="shared" si="19"/>
        <v/>
      </c>
      <c r="AR58" s="106" t="str">
        <f>IFERROR(IF(AQ58=0,"",ROUND((AQ58/SUM(SETTINGS!$L$14:$L$17))*SETTINGS!$L$18,0)),"")</f>
        <v/>
      </c>
      <c r="AS58" s="190" t="str">
        <f>IFERROR(IF(ISBLANK(DATA!Y58),"",DATA!Y58),"")</f>
        <v/>
      </c>
      <c r="AT58" s="106" t="str">
        <f>IFERROR(IF(ISBLANK(AS58),"",ROUND((AS58/SETTINGS!$L$19)*SETTINGS!$L$20,0)),"")</f>
        <v/>
      </c>
      <c r="AU58" s="106" t="str">
        <f t="shared" si="20"/>
        <v/>
      </c>
      <c r="AV58" s="103" t="str">
        <f t="shared" si="3"/>
        <v/>
      </c>
      <c r="AW58" s="107" t="str">
        <f t="shared" si="21"/>
        <v/>
      </c>
      <c r="AX58" s="130"/>
      <c r="AY58" s="190" t="str">
        <f>IFERROR(IF(ISBLANK(DATA!AA58),"",DATA!AA58),"")</f>
        <v/>
      </c>
      <c r="AZ58" s="190" t="str">
        <f>IFERROR(IF(ISBLANK(DATA!AB58),"",DATA!AB58),"")</f>
        <v/>
      </c>
      <c r="BA58" s="190" t="str">
        <f>IFERROR(IF(ISBLANK(DATA!AC58),"",DATA!AC58),"")</f>
        <v/>
      </c>
      <c r="BB58" s="190" t="str">
        <f>IFERROR(IF(ISBLANK(DATA!AD58),"",DATA!AD58),"")</f>
        <v/>
      </c>
      <c r="BC58" s="97" t="str">
        <f t="shared" si="22"/>
        <v/>
      </c>
      <c r="BD58" s="106" t="str">
        <f>IFERROR(IF(BC58=0,"",ROUND((BC58/SUM(SETTINGS!$L$14:$L$17))*SETTINGS!$L$18,0)),"")</f>
        <v/>
      </c>
      <c r="BE58" s="190" t="str">
        <f>IFERROR(IF(ISBLANK(DATA!AE58),"",DATA!AE58),"")</f>
        <v/>
      </c>
      <c r="BF58" s="106" t="str">
        <f>IFERROR(IF(ISBLANK(BE58),"",ROUND((BE58/SETTINGS!$L$19)*SETTINGS!$L$20,0)),"")</f>
        <v/>
      </c>
      <c r="BG58" s="106" t="str">
        <f t="shared" si="23"/>
        <v/>
      </c>
      <c r="BH58" s="103" t="str">
        <f t="shared" si="4"/>
        <v/>
      </c>
      <c r="BI58" s="108" t="str">
        <f t="shared" si="24"/>
        <v/>
      </c>
      <c r="BJ58" s="130"/>
      <c r="BK58" s="190" t="str">
        <f>IFERROR(IF(ISBLANK(DATA!AG58),"",DATA!AG58),"")</f>
        <v/>
      </c>
      <c r="BL58" s="190" t="str">
        <f>IFERROR(IF(ISBLANK(DATA!AH58),"",DATA!AH58),"")</f>
        <v/>
      </c>
      <c r="BM58" s="190" t="str">
        <f>IFERROR(IF(ISBLANK(DATA!AI58),"",DATA!AI58),"")</f>
        <v/>
      </c>
      <c r="BN58" s="190" t="str">
        <f>IFERROR(IF(ISBLANK(DATA!AJ58),"",DATA!AJ58),"")</f>
        <v/>
      </c>
      <c r="BO58" s="97" t="str">
        <f t="shared" si="25"/>
        <v/>
      </c>
      <c r="BP58" s="106" t="str">
        <f>IFERROR(IF(BO58=0,"",ROUND((BO58/SUM(SETTINGS!$L$14:$L$17))*SETTINGS!$L$18,0)),"")</f>
        <v/>
      </c>
      <c r="BQ58" s="190" t="str">
        <f>IFERROR(IF(ISBLANK(DATA!AK58),"",DATA!AK58),"")</f>
        <v/>
      </c>
      <c r="BR58" s="106" t="str">
        <f>IFERROR(IF(ISBLANK(BQ58),"",ROUND((BQ58/SETTINGS!$L$19)*SETTINGS!$L$20,0)),"")</f>
        <v/>
      </c>
      <c r="BS58" s="106" t="str">
        <f t="shared" si="26"/>
        <v/>
      </c>
      <c r="BT58" s="103" t="str">
        <f t="shared" si="5"/>
        <v/>
      </c>
      <c r="BU58" s="107" t="str">
        <f t="shared" si="27"/>
        <v/>
      </c>
      <c r="BV58" s="130"/>
      <c r="BW58" s="190" t="str">
        <f>IFERROR(IF(ISBLANK(DATA!AM58),"",DATA!AM58),"")</f>
        <v/>
      </c>
      <c r="BX58" s="190" t="str">
        <f>IFERROR(IF(ISBLANK(DATA!AN58),"",DATA!AN58),"")</f>
        <v/>
      </c>
      <c r="BY58" s="190" t="str">
        <f>IFERROR(IF(ISBLANK(DATA!AO58),"",DATA!AO58),"")</f>
        <v/>
      </c>
      <c r="BZ58" s="190" t="str">
        <f>IFERROR(IF(ISBLANK(DATA!AP58),"",DATA!AP58),"")</f>
        <v/>
      </c>
      <c r="CA58" s="97" t="str">
        <f t="shared" si="28"/>
        <v/>
      </c>
      <c r="CB58" s="106" t="str">
        <f>IFERROR(IF(CA58=0,"",ROUND((CA58/SUM(SETTINGS!$L$14:$L$17))*SETTINGS!$L$18,0)),"")</f>
        <v/>
      </c>
      <c r="CC58" s="190" t="str">
        <f>IFERROR(IF(ISBLANK(DATA!AQ58),"",DATA!AQ58),"")</f>
        <v/>
      </c>
      <c r="CD58" s="106" t="str">
        <f>IFERROR(IF(ISBLANK(CC58),"",ROUND((CC58/SETTINGS!$L$19)*SETTINGS!$L$20,0)),"")</f>
        <v/>
      </c>
      <c r="CE58" s="106" t="str">
        <f t="shared" si="29"/>
        <v/>
      </c>
      <c r="CF58" s="103" t="str">
        <f t="shared" si="6"/>
        <v/>
      </c>
      <c r="CG58" s="107" t="str">
        <f t="shared" si="30"/>
        <v/>
      </c>
      <c r="CH58" s="130"/>
      <c r="CI58" s="190" t="str">
        <f>IFERROR(IF(ISBLANK(DATA!AS58),"",DATA!AS58),"")</f>
        <v/>
      </c>
      <c r="CJ58" s="190" t="str">
        <f>IFERROR(IF(ISBLANK(DATA!AT58),"",DATA!AT58),"")</f>
        <v/>
      </c>
      <c r="CK58" s="190" t="str">
        <f>IFERROR(IF(ISBLANK(DATA!AU58),"",DATA!AU58),"")</f>
        <v/>
      </c>
      <c r="CL58" s="190" t="str">
        <f>IFERROR(IF(ISBLANK(DATA!AV58),"",DATA!AV58),"")</f>
        <v/>
      </c>
      <c r="CM58" s="97" t="str">
        <f t="shared" si="31"/>
        <v/>
      </c>
      <c r="CN58" s="106" t="str">
        <f>IFERROR(IF(CM58=0,"",ROUND((CM58/SUM(SETTINGS!$L$14:$L$17))*SETTINGS!$L$18,0)),"")</f>
        <v/>
      </c>
      <c r="CO58" s="190" t="str">
        <f>IFERROR(IF(ISBLANK(DATA!AW58),"",DATA!AW58),"")</f>
        <v/>
      </c>
      <c r="CP58" s="106" t="str">
        <f>IFERROR(IF(ISBLANK(CO58),"",ROUND((CO58/SETTINGS!$L$19)*SETTINGS!$L$20,0)),"")</f>
        <v/>
      </c>
      <c r="CQ58" s="106" t="str">
        <f t="shared" si="32"/>
        <v/>
      </c>
      <c r="CR58" s="103" t="str">
        <f t="shared" si="7"/>
        <v/>
      </c>
      <c r="CS58" s="107" t="str">
        <f t="shared" si="33"/>
        <v/>
      </c>
      <c r="CT58" s="130"/>
      <c r="CU58" s="190" t="str">
        <f>IFERROR(IF(ISBLANK(DATA!AY58),"",DATA!AY58),"")</f>
        <v/>
      </c>
      <c r="CV58" s="190" t="str">
        <f>IFERROR(IF(ISBLANK(DATA!AZ58),"",DATA!AZ58),"")</f>
        <v/>
      </c>
      <c r="CW58" s="190" t="str">
        <f>IFERROR(IF(ISBLANK(DATA!BA58),"",DATA!BA58),"")</f>
        <v/>
      </c>
      <c r="CX58" s="190" t="str">
        <f>IFERROR(IF(ISBLANK(DATA!BB58),"",DATA!BB58),"")</f>
        <v/>
      </c>
      <c r="CY58" s="97" t="str">
        <f t="shared" si="34"/>
        <v/>
      </c>
      <c r="CZ58" s="106" t="str">
        <f>IFERROR(IF(CY58=0,"",ROUND((CY58/SUM(SETTINGS!$L$14:$L$17))*SETTINGS!$L$18,0)),"")</f>
        <v/>
      </c>
      <c r="DA58" s="190" t="str">
        <f>IFERROR(IF(ISBLANK(DATA!BC58),"",DATA!BC58),"")</f>
        <v/>
      </c>
      <c r="DB58" s="106" t="str">
        <f>IFERROR(IF(ISBLANK(DA58),"",ROUND((DA58/SETTINGS!$L$19)*SETTINGS!$L$20,0)),"")</f>
        <v/>
      </c>
      <c r="DC58" s="106" t="str">
        <f t="shared" si="35"/>
        <v/>
      </c>
      <c r="DD58" s="103" t="str">
        <f t="shared" si="8"/>
        <v/>
      </c>
      <c r="DE58" s="107" t="str">
        <f t="shared" si="36"/>
        <v/>
      </c>
      <c r="DF58" s="103" t="str">
        <f t="shared" si="9"/>
        <v/>
      </c>
      <c r="DG58" s="103" t="str">
        <f>IFERROR(IF(AND(K58,W58,AI58,AU58,BG58,BS58,CE58,CQ58,DC58)="","",SUM(K58,W58,AI58,AU58,LARGE((BG58,BS58,CE58,CQ58,DC58),{1,2}))),"")</f>
        <v/>
      </c>
      <c r="DH58" s="103" t="str">
        <f>IFERROR(IF(AND(M58,Y58,AK58,AW58,,BI58,BU58,CG58,CS58,DE58)="","",SUM(M58,Y58,AK58,AW58,SMALL((BI58,BU58,CG58,CS58,DE58),{1,2}))),"")</f>
        <v/>
      </c>
      <c r="DI58" s="109" t="str">
        <f>IFERROR(IF(ISBLANK($D58),"",pos&amp;IF(AND(MOD(ABS(pos),100)&gt;10,MOD(ABS(pos),100)&lt;14),"th",CHOOSE(MOD(ABS(pos),10)+1,"th","st","nd","rd","th","th","th","th","th","th"))),"")</f>
        <v/>
      </c>
      <c r="DJ58" s="62">
        <f>ROWS($B$12:$B58)</f>
        <v>47</v>
      </c>
      <c r="DK58" s="62" t="str">
        <f>IF($B58=REPORT_CARD!$M$12,$DJ58,"")</f>
        <v/>
      </c>
      <c r="DL58" s="62"/>
      <c r="DM58" s="186"/>
    </row>
    <row r="59" spans="1:117" ht="19.5" customHeight="1">
      <c r="A59" s="187" t="str">
        <f>IFERROR(IF(ISBLANK(DATA!$A59),"",DATA!$A59),"")</f>
        <v/>
      </c>
      <c r="B59" s="187" t="str">
        <f>IFERROR(IF(ISBLANK(DATA!$B59),"",DATA!$B59),"")</f>
        <v/>
      </c>
      <c r="C59" s="190" t="str">
        <f>IFERROR(IF(ISBLANK(DATA!C59),"",DATA!C59),"")</f>
        <v/>
      </c>
      <c r="D59" s="190" t="str">
        <f>IFERROR(IF(ISBLANK(DATA!D59),"",DATA!D59),"")</f>
        <v/>
      </c>
      <c r="E59" s="190" t="str">
        <f>IFERROR(IF(ISBLANK(DATA!E59),"",DATA!E59),"")</f>
        <v/>
      </c>
      <c r="F59" s="190" t="str">
        <f>IFERROR(IF(ISBLANK(DATA!F59),"",DATA!F59),"")</f>
        <v/>
      </c>
      <c r="G59" s="97" t="str">
        <f t="shared" si="37"/>
        <v/>
      </c>
      <c r="H59" s="106" t="str">
        <f>IFERROR(IF(G59=0,"",ROUND((G59/SUM(SETTINGS!$L$14:$L$17))*SETTINGS!$L$18,0)),"")</f>
        <v/>
      </c>
      <c r="I59" s="190" t="str">
        <f>IFERROR(IF(ISBLANK(DATA!G59),"",DATA!G59),"")</f>
        <v/>
      </c>
      <c r="J59" s="106" t="str">
        <f>IFERROR(IF(ISBLANK(I59),"",ROUND((I59/SETTINGS!$L$19)*SETTINGS!$L$20,0)),"")</f>
        <v/>
      </c>
      <c r="K59" s="106" t="str">
        <f t="shared" si="10"/>
        <v/>
      </c>
      <c r="L59" s="103" t="str">
        <f t="shared" si="0"/>
        <v/>
      </c>
      <c r="M59" s="107" t="str">
        <f t="shared" si="11"/>
        <v/>
      </c>
      <c r="N59" s="136"/>
      <c r="O59" s="190" t="str">
        <f>IFERROR(IF(ISBLANK(DATA!I59),"",DATA!I59),"")</f>
        <v/>
      </c>
      <c r="P59" s="190" t="str">
        <f>IFERROR(IF(ISBLANK(DATA!J59),"",DATA!J59),"")</f>
        <v/>
      </c>
      <c r="Q59" s="190" t="str">
        <f>IFERROR(IF(ISBLANK(DATA!K59),"",DATA!K59),"")</f>
        <v/>
      </c>
      <c r="R59" s="190" t="str">
        <f>IFERROR(IF(ISBLANK(DATA!L59),"",DATA!L59),"")</f>
        <v/>
      </c>
      <c r="S59" s="97" t="str">
        <f t="shared" si="38"/>
        <v/>
      </c>
      <c r="T59" s="106" t="str">
        <f>IFERROR(IF(S59=0,"",ROUND((S59/SUM(SETTINGS!$L$14:$L$17))*SETTINGS!$L$18,0)),"")</f>
        <v/>
      </c>
      <c r="U59" s="190" t="str">
        <f>IFERROR(IF(ISBLANK(DATA!M59),"",DATA!M59),"")</f>
        <v/>
      </c>
      <c r="V59" s="106" t="str">
        <f>IFERROR(IF(ISBLANK(U59),"",ROUND((U59/SETTINGS!$L$19)*SETTINGS!$L$20,0)),"")</f>
        <v/>
      </c>
      <c r="W59" s="106" t="str">
        <f t="shared" si="13"/>
        <v/>
      </c>
      <c r="X59" s="103" t="str">
        <f t="shared" si="14"/>
        <v/>
      </c>
      <c r="Y59" s="107" t="str">
        <f t="shared" si="15"/>
        <v/>
      </c>
      <c r="Z59" s="130"/>
      <c r="AA59" s="190" t="str">
        <f>IFERROR(IF(ISBLANK(DATA!O59),"",DATA!O59),"")</f>
        <v/>
      </c>
      <c r="AB59" s="190" t="str">
        <f>IFERROR(IF(ISBLANK(DATA!P59),"",DATA!P59),"")</f>
        <v/>
      </c>
      <c r="AC59" s="190" t="str">
        <f>IFERROR(IF(ISBLANK(DATA!Q59),"",DATA!Q59),"")</f>
        <v/>
      </c>
      <c r="AD59" s="190" t="str">
        <f>IFERROR(IF(ISBLANK(DATA!R59),"",DATA!R59),"")</f>
        <v/>
      </c>
      <c r="AE59" s="97" t="str">
        <f t="shared" si="39"/>
        <v/>
      </c>
      <c r="AF59" s="106" t="str">
        <f>IFERROR(IF(AE59=0,"",ROUND((AE59/SUM(SETTINGS!$L$14:$L$17))*SETTINGS!$L$18,0)),"")</f>
        <v/>
      </c>
      <c r="AG59" s="190" t="str">
        <f>IFERROR(IF(ISBLANK(DATA!S59),"",DATA!S59),"")</f>
        <v/>
      </c>
      <c r="AH59" s="106" t="str">
        <f>IFERROR(IF(ISBLANK(AG59),"",ROUND((AG59/SETTINGS!$L$19)*SETTINGS!$L$20,0)),"")</f>
        <v/>
      </c>
      <c r="AI59" s="106" t="str">
        <f t="shared" si="17"/>
        <v/>
      </c>
      <c r="AJ59" s="103" t="str">
        <f t="shared" si="2"/>
        <v/>
      </c>
      <c r="AK59" s="108" t="str">
        <f t="shared" si="18"/>
        <v/>
      </c>
      <c r="AL59" s="130"/>
      <c r="AM59" s="190" t="str">
        <f>IFERROR(IF(ISBLANK(DATA!U59),"",DATA!U59),"")</f>
        <v/>
      </c>
      <c r="AN59" s="190" t="str">
        <f>IFERROR(IF(ISBLANK(DATA!V59),"",DATA!V59),"")</f>
        <v/>
      </c>
      <c r="AO59" s="190" t="str">
        <f>IFERROR(IF(ISBLANK(DATA!W59),"",DATA!W59),"")</f>
        <v/>
      </c>
      <c r="AP59" s="190" t="str">
        <f>IFERROR(IF(ISBLANK(DATA!X59),"",DATA!X59),"")</f>
        <v/>
      </c>
      <c r="AQ59" s="97" t="str">
        <f t="shared" si="19"/>
        <v/>
      </c>
      <c r="AR59" s="106" t="str">
        <f>IFERROR(IF(AQ59=0,"",ROUND((AQ59/SUM(SETTINGS!$L$14:$L$17))*SETTINGS!$L$18,0)),"")</f>
        <v/>
      </c>
      <c r="AS59" s="190" t="str">
        <f>IFERROR(IF(ISBLANK(DATA!Y59),"",DATA!Y59),"")</f>
        <v/>
      </c>
      <c r="AT59" s="106" t="str">
        <f>IFERROR(IF(ISBLANK(AS59),"",ROUND((AS59/SETTINGS!$L$19)*SETTINGS!$L$20,0)),"")</f>
        <v/>
      </c>
      <c r="AU59" s="106" t="str">
        <f t="shared" si="20"/>
        <v/>
      </c>
      <c r="AV59" s="103" t="str">
        <f t="shared" si="3"/>
        <v/>
      </c>
      <c r="AW59" s="107" t="str">
        <f t="shared" si="21"/>
        <v/>
      </c>
      <c r="AX59" s="130"/>
      <c r="AY59" s="190" t="str">
        <f>IFERROR(IF(ISBLANK(DATA!AA59),"",DATA!AA59),"")</f>
        <v/>
      </c>
      <c r="AZ59" s="190" t="str">
        <f>IFERROR(IF(ISBLANK(DATA!AB59),"",DATA!AB59),"")</f>
        <v/>
      </c>
      <c r="BA59" s="190" t="str">
        <f>IFERROR(IF(ISBLANK(DATA!AC59),"",DATA!AC59),"")</f>
        <v/>
      </c>
      <c r="BB59" s="190" t="str">
        <f>IFERROR(IF(ISBLANK(DATA!AD59),"",DATA!AD59),"")</f>
        <v/>
      </c>
      <c r="BC59" s="97" t="str">
        <f t="shared" si="22"/>
        <v/>
      </c>
      <c r="BD59" s="106" t="str">
        <f>IFERROR(IF(BC59=0,"",ROUND((BC59/SUM(SETTINGS!$L$14:$L$17))*SETTINGS!$L$18,0)),"")</f>
        <v/>
      </c>
      <c r="BE59" s="190" t="str">
        <f>IFERROR(IF(ISBLANK(DATA!AE59),"",DATA!AE59),"")</f>
        <v/>
      </c>
      <c r="BF59" s="106" t="str">
        <f>IFERROR(IF(ISBLANK(BE59),"",ROUND((BE59/SETTINGS!$L$19)*SETTINGS!$L$20,0)),"")</f>
        <v/>
      </c>
      <c r="BG59" s="106" t="str">
        <f t="shared" si="23"/>
        <v/>
      </c>
      <c r="BH59" s="103" t="str">
        <f t="shared" si="4"/>
        <v/>
      </c>
      <c r="BI59" s="108" t="str">
        <f t="shared" si="24"/>
        <v/>
      </c>
      <c r="BJ59" s="130"/>
      <c r="BK59" s="190" t="str">
        <f>IFERROR(IF(ISBLANK(DATA!AG59),"",DATA!AG59),"")</f>
        <v/>
      </c>
      <c r="BL59" s="190" t="str">
        <f>IFERROR(IF(ISBLANK(DATA!AH59),"",DATA!AH59),"")</f>
        <v/>
      </c>
      <c r="BM59" s="190" t="str">
        <f>IFERROR(IF(ISBLANK(DATA!AI59),"",DATA!AI59),"")</f>
        <v/>
      </c>
      <c r="BN59" s="190" t="str">
        <f>IFERROR(IF(ISBLANK(DATA!AJ59),"",DATA!AJ59),"")</f>
        <v/>
      </c>
      <c r="BO59" s="97" t="str">
        <f t="shared" si="25"/>
        <v/>
      </c>
      <c r="BP59" s="106" t="str">
        <f>IFERROR(IF(BO59=0,"",ROUND((BO59/SUM(SETTINGS!$L$14:$L$17))*SETTINGS!$L$18,0)),"")</f>
        <v/>
      </c>
      <c r="BQ59" s="190" t="str">
        <f>IFERROR(IF(ISBLANK(DATA!AK59),"",DATA!AK59),"")</f>
        <v/>
      </c>
      <c r="BR59" s="106" t="str">
        <f>IFERROR(IF(ISBLANK(BQ59),"",ROUND((BQ59/SETTINGS!$L$19)*SETTINGS!$L$20,0)),"")</f>
        <v/>
      </c>
      <c r="BS59" s="106" t="str">
        <f t="shared" si="26"/>
        <v/>
      </c>
      <c r="BT59" s="103" t="str">
        <f t="shared" si="5"/>
        <v/>
      </c>
      <c r="BU59" s="107" t="str">
        <f t="shared" si="27"/>
        <v/>
      </c>
      <c r="BV59" s="130"/>
      <c r="BW59" s="190" t="str">
        <f>IFERROR(IF(ISBLANK(DATA!AM59),"",DATA!AM59),"")</f>
        <v/>
      </c>
      <c r="BX59" s="190" t="str">
        <f>IFERROR(IF(ISBLANK(DATA!AN59),"",DATA!AN59),"")</f>
        <v/>
      </c>
      <c r="BY59" s="190" t="str">
        <f>IFERROR(IF(ISBLANK(DATA!AO59),"",DATA!AO59),"")</f>
        <v/>
      </c>
      <c r="BZ59" s="190" t="str">
        <f>IFERROR(IF(ISBLANK(DATA!AP59),"",DATA!AP59),"")</f>
        <v/>
      </c>
      <c r="CA59" s="97" t="str">
        <f t="shared" si="28"/>
        <v/>
      </c>
      <c r="CB59" s="106" t="str">
        <f>IFERROR(IF(CA59=0,"",ROUND((CA59/SUM(SETTINGS!$L$14:$L$17))*SETTINGS!$L$18,0)),"")</f>
        <v/>
      </c>
      <c r="CC59" s="190" t="str">
        <f>IFERROR(IF(ISBLANK(DATA!AQ59),"",DATA!AQ59),"")</f>
        <v/>
      </c>
      <c r="CD59" s="106" t="str">
        <f>IFERROR(IF(ISBLANK(CC59),"",ROUND((CC59/SETTINGS!$L$19)*SETTINGS!$L$20,0)),"")</f>
        <v/>
      </c>
      <c r="CE59" s="106" t="str">
        <f t="shared" si="29"/>
        <v/>
      </c>
      <c r="CF59" s="103" t="str">
        <f t="shared" si="6"/>
        <v/>
      </c>
      <c r="CG59" s="107" t="str">
        <f t="shared" si="30"/>
        <v/>
      </c>
      <c r="CH59" s="130"/>
      <c r="CI59" s="190" t="str">
        <f>IFERROR(IF(ISBLANK(DATA!AS59),"",DATA!AS59),"")</f>
        <v/>
      </c>
      <c r="CJ59" s="190" t="str">
        <f>IFERROR(IF(ISBLANK(DATA!AT59),"",DATA!AT59),"")</f>
        <v/>
      </c>
      <c r="CK59" s="190" t="str">
        <f>IFERROR(IF(ISBLANK(DATA!AU59),"",DATA!AU59),"")</f>
        <v/>
      </c>
      <c r="CL59" s="190" t="str">
        <f>IFERROR(IF(ISBLANK(DATA!AV59),"",DATA!AV59),"")</f>
        <v/>
      </c>
      <c r="CM59" s="97" t="str">
        <f t="shared" si="31"/>
        <v/>
      </c>
      <c r="CN59" s="106" t="str">
        <f>IFERROR(IF(CM59=0,"",ROUND((CM59/SUM(SETTINGS!$L$14:$L$17))*SETTINGS!$L$18,0)),"")</f>
        <v/>
      </c>
      <c r="CO59" s="190" t="str">
        <f>IFERROR(IF(ISBLANK(DATA!AW59),"",DATA!AW59),"")</f>
        <v/>
      </c>
      <c r="CP59" s="106" t="str">
        <f>IFERROR(IF(ISBLANK(CO59),"",ROUND((CO59/SETTINGS!$L$19)*SETTINGS!$L$20,0)),"")</f>
        <v/>
      </c>
      <c r="CQ59" s="106" t="str">
        <f t="shared" si="32"/>
        <v/>
      </c>
      <c r="CR59" s="103" t="str">
        <f t="shared" si="7"/>
        <v/>
      </c>
      <c r="CS59" s="107" t="str">
        <f t="shared" si="33"/>
        <v/>
      </c>
      <c r="CT59" s="130"/>
      <c r="CU59" s="190" t="str">
        <f>IFERROR(IF(ISBLANK(DATA!AY59),"",DATA!AY59),"")</f>
        <v/>
      </c>
      <c r="CV59" s="190" t="str">
        <f>IFERROR(IF(ISBLANK(DATA!AZ59),"",DATA!AZ59),"")</f>
        <v/>
      </c>
      <c r="CW59" s="190" t="str">
        <f>IFERROR(IF(ISBLANK(DATA!BA59),"",DATA!BA59),"")</f>
        <v/>
      </c>
      <c r="CX59" s="190" t="str">
        <f>IFERROR(IF(ISBLANK(DATA!BB59),"",DATA!BB59),"")</f>
        <v/>
      </c>
      <c r="CY59" s="97" t="str">
        <f t="shared" si="34"/>
        <v/>
      </c>
      <c r="CZ59" s="106" t="str">
        <f>IFERROR(IF(CY59=0,"",ROUND((CY59/SUM(SETTINGS!$L$14:$L$17))*SETTINGS!$L$18,0)),"")</f>
        <v/>
      </c>
      <c r="DA59" s="190" t="str">
        <f>IFERROR(IF(ISBLANK(DATA!BC59),"",DATA!BC59),"")</f>
        <v/>
      </c>
      <c r="DB59" s="106" t="str">
        <f>IFERROR(IF(ISBLANK(DA59),"",ROUND((DA59/SETTINGS!$L$19)*SETTINGS!$L$20,0)),"")</f>
        <v/>
      </c>
      <c r="DC59" s="106" t="str">
        <f t="shared" si="35"/>
        <v/>
      </c>
      <c r="DD59" s="103" t="str">
        <f t="shared" si="8"/>
        <v/>
      </c>
      <c r="DE59" s="107" t="str">
        <f t="shared" si="36"/>
        <v/>
      </c>
      <c r="DF59" s="103" t="str">
        <f t="shared" si="9"/>
        <v/>
      </c>
      <c r="DG59" s="103" t="str">
        <f>IFERROR(IF(AND(K59,W59,AI59,AU59,BG59,BS59,CE59,CQ59,DC59)="","",SUM(K59,W59,AI59,AU59,LARGE((BG59,BS59,CE59,CQ59,DC59),{1,2}))),"")</f>
        <v/>
      </c>
      <c r="DH59" s="103" t="str">
        <f>IFERROR(IF(AND(M59,Y59,AK59,AW59,,BI59,BU59,CG59,CS59,DE59)="","",SUM(M59,Y59,AK59,AW59,SMALL((BI59,BU59,CG59,CS59,DE59),{1,2}))),"")</f>
        <v/>
      </c>
      <c r="DI59" s="109" t="str">
        <f>IFERROR(IF(ISBLANK($D59),"",pos&amp;IF(AND(MOD(ABS(pos),100)&gt;10,MOD(ABS(pos),100)&lt;14),"th",CHOOSE(MOD(ABS(pos),10)+1,"th","st","nd","rd","th","th","th","th","th","th"))),"")</f>
        <v/>
      </c>
      <c r="DJ59" s="62">
        <f>ROWS($B$12:$B59)</f>
        <v>48</v>
      </c>
      <c r="DK59" s="62" t="str">
        <f>IF($B59=REPORT_CARD!$M$12,$DJ59,"")</f>
        <v/>
      </c>
      <c r="DL59" s="62"/>
      <c r="DM59" s="186"/>
    </row>
    <row r="60" spans="1:117" ht="19.5" customHeight="1">
      <c r="A60" s="187" t="str">
        <f>IFERROR(IF(ISBLANK(DATA!$A60),"",DATA!$A60),"")</f>
        <v/>
      </c>
      <c r="B60" s="187" t="str">
        <f>IFERROR(IF(ISBLANK(DATA!$B60),"",DATA!$B60),"")</f>
        <v/>
      </c>
      <c r="C60" s="190" t="str">
        <f>IFERROR(IF(ISBLANK(DATA!C60),"",DATA!C60),"")</f>
        <v/>
      </c>
      <c r="D60" s="190" t="str">
        <f>IFERROR(IF(ISBLANK(DATA!D60),"",DATA!D60),"")</f>
        <v/>
      </c>
      <c r="E60" s="190" t="str">
        <f>IFERROR(IF(ISBLANK(DATA!E60),"",DATA!E60),"")</f>
        <v/>
      </c>
      <c r="F60" s="190" t="str">
        <f>IFERROR(IF(ISBLANK(DATA!F60),"",DATA!F60),"")</f>
        <v/>
      </c>
      <c r="G60" s="97" t="str">
        <f t="shared" si="37"/>
        <v/>
      </c>
      <c r="H60" s="106" t="str">
        <f>IFERROR(IF(G60=0,"",ROUND((G60/SUM(SETTINGS!$L$14:$L$17))*SETTINGS!$L$18,0)),"")</f>
        <v/>
      </c>
      <c r="I60" s="190" t="str">
        <f>IFERROR(IF(ISBLANK(DATA!G60),"",DATA!G60),"")</f>
        <v/>
      </c>
      <c r="J60" s="106" t="str">
        <f>IFERROR(IF(ISBLANK(I60),"",ROUND((I60/SETTINGS!$L$19)*SETTINGS!$L$20,0)),"")</f>
        <v/>
      </c>
      <c r="K60" s="106" t="str">
        <f t="shared" si="10"/>
        <v/>
      </c>
      <c r="L60" s="103" t="str">
        <f t="shared" si="0"/>
        <v/>
      </c>
      <c r="M60" s="107" t="str">
        <f t="shared" si="11"/>
        <v/>
      </c>
      <c r="N60" s="136"/>
      <c r="O60" s="190" t="str">
        <f>IFERROR(IF(ISBLANK(DATA!I60),"",DATA!I60),"")</f>
        <v/>
      </c>
      <c r="P60" s="190" t="str">
        <f>IFERROR(IF(ISBLANK(DATA!J60),"",DATA!J60),"")</f>
        <v/>
      </c>
      <c r="Q60" s="190" t="str">
        <f>IFERROR(IF(ISBLANK(DATA!K60),"",DATA!K60),"")</f>
        <v/>
      </c>
      <c r="R60" s="190" t="str">
        <f>IFERROR(IF(ISBLANK(DATA!L60),"",DATA!L60),"")</f>
        <v/>
      </c>
      <c r="S60" s="97" t="str">
        <f t="shared" si="38"/>
        <v/>
      </c>
      <c r="T60" s="106" t="str">
        <f>IFERROR(IF(S60=0,"",ROUND((S60/SUM(SETTINGS!$L$14:$L$17))*SETTINGS!$L$18,0)),"")</f>
        <v/>
      </c>
      <c r="U60" s="190" t="str">
        <f>IFERROR(IF(ISBLANK(DATA!M60),"",DATA!M60),"")</f>
        <v/>
      </c>
      <c r="V60" s="106" t="str">
        <f>IFERROR(IF(ISBLANK(U60),"",ROUND((U60/SETTINGS!$L$19)*SETTINGS!$L$20,0)),"")</f>
        <v/>
      </c>
      <c r="W60" s="106" t="str">
        <f t="shared" si="13"/>
        <v/>
      </c>
      <c r="X60" s="103" t="str">
        <f t="shared" si="14"/>
        <v/>
      </c>
      <c r="Y60" s="107" t="str">
        <f t="shared" si="15"/>
        <v/>
      </c>
      <c r="Z60" s="130"/>
      <c r="AA60" s="190" t="str">
        <f>IFERROR(IF(ISBLANK(DATA!O60),"",DATA!O60),"")</f>
        <v/>
      </c>
      <c r="AB60" s="190" t="str">
        <f>IFERROR(IF(ISBLANK(DATA!P60),"",DATA!P60),"")</f>
        <v/>
      </c>
      <c r="AC60" s="190" t="str">
        <f>IFERROR(IF(ISBLANK(DATA!Q60),"",DATA!Q60),"")</f>
        <v/>
      </c>
      <c r="AD60" s="190" t="str">
        <f>IFERROR(IF(ISBLANK(DATA!R60),"",DATA!R60),"")</f>
        <v/>
      </c>
      <c r="AE60" s="97" t="str">
        <f t="shared" si="39"/>
        <v/>
      </c>
      <c r="AF60" s="106" t="str">
        <f>IFERROR(IF(AE60=0,"",ROUND((AE60/SUM(SETTINGS!$L$14:$L$17))*SETTINGS!$L$18,0)),"")</f>
        <v/>
      </c>
      <c r="AG60" s="190" t="str">
        <f>IFERROR(IF(ISBLANK(DATA!S60),"",DATA!S60),"")</f>
        <v/>
      </c>
      <c r="AH60" s="106" t="str">
        <f>IFERROR(IF(ISBLANK(AG60),"",ROUND((AG60/SETTINGS!$L$19)*SETTINGS!$L$20,0)),"")</f>
        <v/>
      </c>
      <c r="AI60" s="106" t="str">
        <f t="shared" si="17"/>
        <v/>
      </c>
      <c r="AJ60" s="103" t="str">
        <f t="shared" si="2"/>
        <v/>
      </c>
      <c r="AK60" s="108" t="str">
        <f t="shared" si="18"/>
        <v/>
      </c>
      <c r="AL60" s="130"/>
      <c r="AM60" s="190" t="str">
        <f>IFERROR(IF(ISBLANK(DATA!U60),"",DATA!U60),"")</f>
        <v/>
      </c>
      <c r="AN60" s="190" t="str">
        <f>IFERROR(IF(ISBLANK(DATA!V60),"",DATA!V60),"")</f>
        <v/>
      </c>
      <c r="AO60" s="190" t="str">
        <f>IFERROR(IF(ISBLANK(DATA!W60),"",DATA!W60),"")</f>
        <v/>
      </c>
      <c r="AP60" s="190" t="str">
        <f>IFERROR(IF(ISBLANK(DATA!X60),"",DATA!X60),"")</f>
        <v/>
      </c>
      <c r="AQ60" s="97" t="str">
        <f t="shared" si="19"/>
        <v/>
      </c>
      <c r="AR60" s="106" t="str">
        <f>IFERROR(IF(AQ60=0,"",ROUND((AQ60/SUM(SETTINGS!$L$14:$L$17))*SETTINGS!$L$18,0)),"")</f>
        <v/>
      </c>
      <c r="AS60" s="190" t="str">
        <f>IFERROR(IF(ISBLANK(DATA!Y60),"",DATA!Y60),"")</f>
        <v/>
      </c>
      <c r="AT60" s="106" t="str">
        <f>IFERROR(IF(ISBLANK(AS60),"",ROUND((AS60/SETTINGS!$L$19)*SETTINGS!$L$20,0)),"")</f>
        <v/>
      </c>
      <c r="AU60" s="106" t="str">
        <f t="shared" si="20"/>
        <v/>
      </c>
      <c r="AV60" s="103" t="str">
        <f t="shared" si="3"/>
        <v/>
      </c>
      <c r="AW60" s="107" t="str">
        <f t="shared" si="21"/>
        <v/>
      </c>
      <c r="AX60" s="130"/>
      <c r="AY60" s="190" t="str">
        <f>IFERROR(IF(ISBLANK(DATA!AA60),"",DATA!AA60),"")</f>
        <v/>
      </c>
      <c r="AZ60" s="190" t="str">
        <f>IFERROR(IF(ISBLANK(DATA!AB60),"",DATA!AB60),"")</f>
        <v/>
      </c>
      <c r="BA60" s="190" t="str">
        <f>IFERROR(IF(ISBLANK(DATA!AC60),"",DATA!AC60),"")</f>
        <v/>
      </c>
      <c r="BB60" s="190" t="str">
        <f>IFERROR(IF(ISBLANK(DATA!AD60),"",DATA!AD60),"")</f>
        <v/>
      </c>
      <c r="BC60" s="97" t="str">
        <f t="shared" si="22"/>
        <v/>
      </c>
      <c r="BD60" s="106" t="str">
        <f>IFERROR(IF(BC60=0,"",ROUND((BC60/SUM(SETTINGS!$L$14:$L$17))*SETTINGS!$L$18,0)),"")</f>
        <v/>
      </c>
      <c r="BE60" s="190" t="str">
        <f>IFERROR(IF(ISBLANK(DATA!AE60),"",DATA!AE60),"")</f>
        <v/>
      </c>
      <c r="BF60" s="106" t="str">
        <f>IFERROR(IF(ISBLANK(BE60),"",ROUND((BE60/SETTINGS!$L$19)*SETTINGS!$L$20,0)),"")</f>
        <v/>
      </c>
      <c r="BG60" s="106" t="str">
        <f t="shared" si="23"/>
        <v/>
      </c>
      <c r="BH60" s="103" t="str">
        <f t="shared" si="4"/>
        <v/>
      </c>
      <c r="BI60" s="108" t="str">
        <f t="shared" si="24"/>
        <v/>
      </c>
      <c r="BJ60" s="130"/>
      <c r="BK60" s="190" t="str">
        <f>IFERROR(IF(ISBLANK(DATA!AG60),"",DATA!AG60),"")</f>
        <v/>
      </c>
      <c r="BL60" s="190" t="str">
        <f>IFERROR(IF(ISBLANK(DATA!AH60),"",DATA!AH60),"")</f>
        <v/>
      </c>
      <c r="BM60" s="190" t="str">
        <f>IFERROR(IF(ISBLANK(DATA!AI60),"",DATA!AI60),"")</f>
        <v/>
      </c>
      <c r="BN60" s="190" t="str">
        <f>IFERROR(IF(ISBLANK(DATA!AJ60),"",DATA!AJ60),"")</f>
        <v/>
      </c>
      <c r="BO60" s="97" t="str">
        <f t="shared" si="25"/>
        <v/>
      </c>
      <c r="BP60" s="106" t="str">
        <f>IFERROR(IF(BO60=0,"",ROUND((BO60/SUM(SETTINGS!$L$14:$L$17))*SETTINGS!$L$18,0)),"")</f>
        <v/>
      </c>
      <c r="BQ60" s="190" t="str">
        <f>IFERROR(IF(ISBLANK(DATA!AK60),"",DATA!AK60),"")</f>
        <v/>
      </c>
      <c r="BR60" s="106" t="str">
        <f>IFERROR(IF(ISBLANK(BQ60),"",ROUND((BQ60/SETTINGS!$L$19)*SETTINGS!$L$20,0)),"")</f>
        <v/>
      </c>
      <c r="BS60" s="106" t="str">
        <f t="shared" si="26"/>
        <v/>
      </c>
      <c r="BT60" s="103" t="str">
        <f t="shared" si="5"/>
        <v/>
      </c>
      <c r="BU60" s="107" t="str">
        <f t="shared" si="27"/>
        <v/>
      </c>
      <c r="BV60" s="130"/>
      <c r="BW60" s="190" t="str">
        <f>IFERROR(IF(ISBLANK(DATA!AM60),"",DATA!AM60),"")</f>
        <v/>
      </c>
      <c r="BX60" s="190" t="str">
        <f>IFERROR(IF(ISBLANK(DATA!AN60),"",DATA!AN60),"")</f>
        <v/>
      </c>
      <c r="BY60" s="190" t="str">
        <f>IFERROR(IF(ISBLANK(DATA!AO60),"",DATA!AO60),"")</f>
        <v/>
      </c>
      <c r="BZ60" s="190" t="str">
        <f>IFERROR(IF(ISBLANK(DATA!AP60),"",DATA!AP60),"")</f>
        <v/>
      </c>
      <c r="CA60" s="97" t="str">
        <f t="shared" si="28"/>
        <v/>
      </c>
      <c r="CB60" s="106" t="str">
        <f>IFERROR(IF(CA60=0,"",ROUND((CA60/SUM(SETTINGS!$L$14:$L$17))*SETTINGS!$L$18,0)),"")</f>
        <v/>
      </c>
      <c r="CC60" s="190" t="str">
        <f>IFERROR(IF(ISBLANK(DATA!AQ60),"",DATA!AQ60),"")</f>
        <v/>
      </c>
      <c r="CD60" s="106" t="str">
        <f>IFERROR(IF(ISBLANK(CC60),"",ROUND((CC60/SETTINGS!$L$19)*SETTINGS!$L$20,0)),"")</f>
        <v/>
      </c>
      <c r="CE60" s="106" t="str">
        <f t="shared" si="29"/>
        <v/>
      </c>
      <c r="CF60" s="103" t="str">
        <f t="shared" si="6"/>
        <v/>
      </c>
      <c r="CG60" s="107" t="str">
        <f t="shared" si="30"/>
        <v/>
      </c>
      <c r="CH60" s="130"/>
      <c r="CI60" s="190" t="str">
        <f>IFERROR(IF(ISBLANK(DATA!AS60),"",DATA!AS60),"")</f>
        <v/>
      </c>
      <c r="CJ60" s="190" t="str">
        <f>IFERROR(IF(ISBLANK(DATA!AT60),"",DATA!AT60),"")</f>
        <v/>
      </c>
      <c r="CK60" s="190" t="str">
        <f>IFERROR(IF(ISBLANK(DATA!AU60),"",DATA!AU60),"")</f>
        <v/>
      </c>
      <c r="CL60" s="190" t="str">
        <f>IFERROR(IF(ISBLANK(DATA!AV60),"",DATA!AV60),"")</f>
        <v/>
      </c>
      <c r="CM60" s="97" t="str">
        <f t="shared" si="31"/>
        <v/>
      </c>
      <c r="CN60" s="106" t="str">
        <f>IFERROR(IF(CM60=0,"",ROUND((CM60/SUM(SETTINGS!$L$14:$L$17))*SETTINGS!$L$18,0)),"")</f>
        <v/>
      </c>
      <c r="CO60" s="190" t="str">
        <f>IFERROR(IF(ISBLANK(DATA!AW60),"",DATA!AW60),"")</f>
        <v/>
      </c>
      <c r="CP60" s="106" t="str">
        <f>IFERROR(IF(ISBLANK(CO60),"",ROUND((CO60/SETTINGS!$L$19)*SETTINGS!$L$20,0)),"")</f>
        <v/>
      </c>
      <c r="CQ60" s="106" t="str">
        <f t="shared" si="32"/>
        <v/>
      </c>
      <c r="CR60" s="103" t="str">
        <f t="shared" si="7"/>
        <v/>
      </c>
      <c r="CS60" s="107" t="str">
        <f t="shared" si="33"/>
        <v/>
      </c>
      <c r="CT60" s="130"/>
      <c r="CU60" s="190" t="str">
        <f>IFERROR(IF(ISBLANK(DATA!AY60),"",DATA!AY60),"")</f>
        <v/>
      </c>
      <c r="CV60" s="190" t="str">
        <f>IFERROR(IF(ISBLANK(DATA!AZ60),"",DATA!AZ60),"")</f>
        <v/>
      </c>
      <c r="CW60" s="190" t="str">
        <f>IFERROR(IF(ISBLANK(DATA!BA60),"",DATA!BA60),"")</f>
        <v/>
      </c>
      <c r="CX60" s="190" t="str">
        <f>IFERROR(IF(ISBLANK(DATA!BB60),"",DATA!BB60),"")</f>
        <v/>
      </c>
      <c r="CY60" s="97" t="str">
        <f t="shared" si="34"/>
        <v/>
      </c>
      <c r="CZ60" s="106" t="str">
        <f>IFERROR(IF(CY60=0,"",ROUND((CY60/SUM(SETTINGS!$L$14:$L$17))*SETTINGS!$L$18,0)),"")</f>
        <v/>
      </c>
      <c r="DA60" s="190" t="str">
        <f>IFERROR(IF(ISBLANK(DATA!BC60),"",DATA!BC60),"")</f>
        <v/>
      </c>
      <c r="DB60" s="106" t="str">
        <f>IFERROR(IF(ISBLANK(DA60),"",ROUND((DA60/SETTINGS!$L$19)*SETTINGS!$L$20,0)),"")</f>
        <v/>
      </c>
      <c r="DC60" s="106" t="str">
        <f t="shared" si="35"/>
        <v/>
      </c>
      <c r="DD60" s="103" t="str">
        <f t="shared" si="8"/>
        <v/>
      </c>
      <c r="DE60" s="107" t="str">
        <f t="shared" si="36"/>
        <v/>
      </c>
      <c r="DF60" s="103" t="str">
        <f t="shared" si="9"/>
        <v/>
      </c>
      <c r="DG60" s="103" t="str">
        <f>IFERROR(IF(AND(K60,W60,AI60,AU60,BG60,BS60,CE60,CQ60,DC60)="","",SUM(K60,W60,AI60,AU60,LARGE((BG60,BS60,CE60,CQ60,DC60),{1,2}))),"")</f>
        <v/>
      </c>
      <c r="DH60" s="103" t="str">
        <f>IFERROR(IF(AND(M60,Y60,AK60,AW60,,BI60,BU60,CG60,CS60,DE60)="","",SUM(M60,Y60,AK60,AW60,SMALL((BI60,BU60,CG60,CS60,DE60),{1,2}))),"")</f>
        <v/>
      </c>
      <c r="DI60" s="109" t="str">
        <f>IFERROR(IF(ISBLANK($D60),"",pos&amp;IF(AND(MOD(ABS(pos),100)&gt;10,MOD(ABS(pos),100)&lt;14),"th",CHOOSE(MOD(ABS(pos),10)+1,"th","st","nd","rd","th","th","th","th","th","th"))),"")</f>
        <v/>
      </c>
      <c r="DJ60" s="62">
        <f>ROWS($B$12:$B60)</f>
        <v>49</v>
      </c>
      <c r="DK60" s="62" t="str">
        <f>IF($B60=REPORT_CARD!$M$12,$DJ60,"")</f>
        <v/>
      </c>
      <c r="DL60" s="62"/>
      <c r="DM60" s="186"/>
    </row>
    <row r="61" spans="1:117" ht="19.5" customHeight="1">
      <c r="A61" s="187" t="str">
        <f>IFERROR(IF(ISBLANK(DATA!$A61),"",DATA!$A61),"")</f>
        <v/>
      </c>
      <c r="B61" s="187" t="str">
        <f>IFERROR(IF(ISBLANK(DATA!$B61),"",DATA!$B61),"")</f>
        <v/>
      </c>
      <c r="C61" s="190" t="str">
        <f>IFERROR(IF(ISBLANK(DATA!C61),"",DATA!C61),"")</f>
        <v/>
      </c>
      <c r="D61" s="190" t="str">
        <f>IFERROR(IF(ISBLANK(DATA!D61),"",DATA!D61),"")</f>
        <v/>
      </c>
      <c r="E61" s="190" t="str">
        <f>IFERROR(IF(ISBLANK(DATA!E61),"",DATA!E61),"")</f>
        <v/>
      </c>
      <c r="F61" s="190" t="str">
        <f>IFERROR(IF(ISBLANK(DATA!F61),"",DATA!F61),"")</f>
        <v/>
      </c>
      <c r="G61" s="97" t="str">
        <f t="shared" si="37"/>
        <v/>
      </c>
      <c r="H61" s="106" t="str">
        <f>IFERROR(IF(G61=0,"",ROUND((G61/SUM(SETTINGS!$L$14:$L$17))*SETTINGS!$L$18,0)),"")</f>
        <v/>
      </c>
      <c r="I61" s="190" t="str">
        <f>IFERROR(IF(ISBLANK(DATA!G61),"",DATA!G61),"")</f>
        <v/>
      </c>
      <c r="J61" s="106" t="str">
        <f>IFERROR(IF(ISBLANK(I61),"",ROUND((I61/SETTINGS!$L$19)*SETTINGS!$L$20,0)),"")</f>
        <v/>
      </c>
      <c r="K61" s="106" t="str">
        <f t="shared" si="10"/>
        <v/>
      </c>
      <c r="L61" s="103" t="str">
        <f t="shared" si="0"/>
        <v/>
      </c>
      <c r="M61" s="107" t="str">
        <f t="shared" si="11"/>
        <v/>
      </c>
      <c r="N61" s="136"/>
      <c r="O61" s="190" t="str">
        <f>IFERROR(IF(ISBLANK(DATA!I61),"",DATA!I61),"")</f>
        <v/>
      </c>
      <c r="P61" s="190" t="str">
        <f>IFERROR(IF(ISBLANK(DATA!J61),"",DATA!J61),"")</f>
        <v/>
      </c>
      <c r="Q61" s="190" t="str">
        <f>IFERROR(IF(ISBLANK(DATA!K61),"",DATA!K61),"")</f>
        <v/>
      </c>
      <c r="R61" s="190" t="str">
        <f>IFERROR(IF(ISBLANK(DATA!L61),"",DATA!L61),"")</f>
        <v/>
      </c>
      <c r="S61" s="97" t="str">
        <f t="shared" si="38"/>
        <v/>
      </c>
      <c r="T61" s="106" t="str">
        <f>IFERROR(IF(S61=0,"",ROUND((S61/SUM(SETTINGS!$L$14:$L$17))*SETTINGS!$L$18,0)),"")</f>
        <v/>
      </c>
      <c r="U61" s="190" t="str">
        <f>IFERROR(IF(ISBLANK(DATA!M61),"",DATA!M61),"")</f>
        <v/>
      </c>
      <c r="V61" s="106" t="str">
        <f>IFERROR(IF(ISBLANK(U61),"",ROUND((U61/SETTINGS!$L$19)*SETTINGS!$L$20,0)),"")</f>
        <v/>
      </c>
      <c r="W61" s="106" t="str">
        <f t="shared" si="13"/>
        <v/>
      </c>
      <c r="X61" s="103" t="str">
        <f t="shared" si="14"/>
        <v/>
      </c>
      <c r="Y61" s="107" t="str">
        <f t="shared" si="15"/>
        <v/>
      </c>
      <c r="Z61" s="130"/>
      <c r="AA61" s="190" t="str">
        <f>IFERROR(IF(ISBLANK(DATA!O61),"",DATA!O61),"")</f>
        <v/>
      </c>
      <c r="AB61" s="190" t="str">
        <f>IFERROR(IF(ISBLANK(DATA!P61),"",DATA!P61),"")</f>
        <v/>
      </c>
      <c r="AC61" s="190" t="str">
        <f>IFERROR(IF(ISBLANK(DATA!Q61),"",DATA!Q61),"")</f>
        <v/>
      </c>
      <c r="AD61" s="190" t="str">
        <f>IFERROR(IF(ISBLANK(DATA!R61),"",DATA!R61),"")</f>
        <v/>
      </c>
      <c r="AE61" s="97" t="str">
        <f t="shared" si="39"/>
        <v/>
      </c>
      <c r="AF61" s="106" t="str">
        <f>IFERROR(IF(AE61=0,"",ROUND((AE61/SUM(SETTINGS!$L$14:$L$17))*SETTINGS!$L$18,0)),"")</f>
        <v/>
      </c>
      <c r="AG61" s="190" t="str">
        <f>IFERROR(IF(ISBLANK(DATA!S61),"",DATA!S61),"")</f>
        <v/>
      </c>
      <c r="AH61" s="106" t="str">
        <f>IFERROR(IF(ISBLANK(AG61),"",ROUND((AG61/SETTINGS!$L$19)*SETTINGS!$L$20,0)),"")</f>
        <v/>
      </c>
      <c r="AI61" s="106" t="str">
        <f t="shared" si="17"/>
        <v/>
      </c>
      <c r="AJ61" s="103" t="str">
        <f t="shared" si="2"/>
        <v/>
      </c>
      <c r="AK61" s="108" t="str">
        <f t="shared" si="18"/>
        <v/>
      </c>
      <c r="AL61" s="130"/>
      <c r="AM61" s="190" t="str">
        <f>IFERROR(IF(ISBLANK(DATA!U61),"",DATA!U61),"")</f>
        <v/>
      </c>
      <c r="AN61" s="190" t="str">
        <f>IFERROR(IF(ISBLANK(DATA!V61),"",DATA!V61),"")</f>
        <v/>
      </c>
      <c r="AO61" s="190" t="str">
        <f>IFERROR(IF(ISBLANK(DATA!W61),"",DATA!W61),"")</f>
        <v/>
      </c>
      <c r="AP61" s="190" t="str">
        <f>IFERROR(IF(ISBLANK(DATA!X61),"",DATA!X61),"")</f>
        <v/>
      </c>
      <c r="AQ61" s="97" t="str">
        <f t="shared" si="19"/>
        <v/>
      </c>
      <c r="AR61" s="106" t="str">
        <f>IFERROR(IF(AQ61=0,"",ROUND((AQ61/SUM(SETTINGS!$L$14:$L$17))*SETTINGS!$L$18,0)),"")</f>
        <v/>
      </c>
      <c r="AS61" s="190" t="str">
        <f>IFERROR(IF(ISBLANK(DATA!Y61),"",DATA!Y61),"")</f>
        <v/>
      </c>
      <c r="AT61" s="106" t="str">
        <f>IFERROR(IF(ISBLANK(AS61),"",ROUND((AS61/SETTINGS!$L$19)*SETTINGS!$L$20,0)),"")</f>
        <v/>
      </c>
      <c r="AU61" s="106" t="str">
        <f t="shared" si="20"/>
        <v/>
      </c>
      <c r="AV61" s="103" t="str">
        <f t="shared" si="3"/>
        <v/>
      </c>
      <c r="AW61" s="107" t="str">
        <f t="shared" si="21"/>
        <v/>
      </c>
      <c r="AX61" s="130"/>
      <c r="AY61" s="190" t="str">
        <f>IFERROR(IF(ISBLANK(DATA!AA61),"",DATA!AA61),"")</f>
        <v/>
      </c>
      <c r="AZ61" s="190" t="str">
        <f>IFERROR(IF(ISBLANK(DATA!AB61),"",DATA!AB61),"")</f>
        <v/>
      </c>
      <c r="BA61" s="190" t="str">
        <f>IFERROR(IF(ISBLANK(DATA!AC61),"",DATA!AC61),"")</f>
        <v/>
      </c>
      <c r="BB61" s="190" t="str">
        <f>IFERROR(IF(ISBLANK(DATA!AD61),"",DATA!AD61),"")</f>
        <v/>
      </c>
      <c r="BC61" s="97" t="str">
        <f t="shared" si="22"/>
        <v/>
      </c>
      <c r="BD61" s="106" t="str">
        <f>IFERROR(IF(BC61=0,"",ROUND((BC61/SUM(SETTINGS!$L$14:$L$17))*SETTINGS!$L$18,0)),"")</f>
        <v/>
      </c>
      <c r="BE61" s="190" t="str">
        <f>IFERROR(IF(ISBLANK(DATA!AE61),"",DATA!AE61),"")</f>
        <v/>
      </c>
      <c r="BF61" s="106" t="str">
        <f>IFERROR(IF(ISBLANK(BE61),"",ROUND((BE61/SETTINGS!$L$19)*SETTINGS!$L$20,0)),"")</f>
        <v/>
      </c>
      <c r="BG61" s="106" t="str">
        <f t="shared" si="23"/>
        <v/>
      </c>
      <c r="BH61" s="103" t="str">
        <f t="shared" si="4"/>
        <v/>
      </c>
      <c r="BI61" s="108" t="str">
        <f t="shared" si="24"/>
        <v/>
      </c>
      <c r="BJ61" s="130"/>
      <c r="BK61" s="190" t="str">
        <f>IFERROR(IF(ISBLANK(DATA!AG61),"",DATA!AG61),"")</f>
        <v/>
      </c>
      <c r="BL61" s="190" t="str">
        <f>IFERROR(IF(ISBLANK(DATA!AH61),"",DATA!AH61),"")</f>
        <v/>
      </c>
      <c r="BM61" s="190" t="str">
        <f>IFERROR(IF(ISBLANK(DATA!AI61),"",DATA!AI61),"")</f>
        <v/>
      </c>
      <c r="BN61" s="190" t="str">
        <f>IFERROR(IF(ISBLANK(DATA!AJ61),"",DATA!AJ61),"")</f>
        <v/>
      </c>
      <c r="BO61" s="97" t="str">
        <f t="shared" si="25"/>
        <v/>
      </c>
      <c r="BP61" s="106" t="str">
        <f>IFERROR(IF(BO61=0,"",ROUND((BO61/SUM(SETTINGS!$L$14:$L$17))*SETTINGS!$L$18,0)),"")</f>
        <v/>
      </c>
      <c r="BQ61" s="190" t="str">
        <f>IFERROR(IF(ISBLANK(DATA!AK61),"",DATA!AK61),"")</f>
        <v/>
      </c>
      <c r="BR61" s="106" t="str">
        <f>IFERROR(IF(ISBLANK(BQ61),"",ROUND((BQ61/SETTINGS!$L$19)*SETTINGS!$L$20,0)),"")</f>
        <v/>
      </c>
      <c r="BS61" s="106" t="str">
        <f t="shared" si="26"/>
        <v/>
      </c>
      <c r="BT61" s="103" t="str">
        <f t="shared" si="5"/>
        <v/>
      </c>
      <c r="BU61" s="107" t="str">
        <f t="shared" si="27"/>
        <v/>
      </c>
      <c r="BV61" s="130"/>
      <c r="BW61" s="190" t="str">
        <f>IFERROR(IF(ISBLANK(DATA!AM61),"",DATA!AM61),"")</f>
        <v/>
      </c>
      <c r="BX61" s="190" t="str">
        <f>IFERROR(IF(ISBLANK(DATA!AN61),"",DATA!AN61),"")</f>
        <v/>
      </c>
      <c r="BY61" s="190" t="str">
        <f>IFERROR(IF(ISBLANK(DATA!AO61),"",DATA!AO61),"")</f>
        <v/>
      </c>
      <c r="BZ61" s="190" t="str">
        <f>IFERROR(IF(ISBLANK(DATA!AP61),"",DATA!AP61),"")</f>
        <v/>
      </c>
      <c r="CA61" s="97" t="str">
        <f t="shared" si="28"/>
        <v/>
      </c>
      <c r="CB61" s="106" t="str">
        <f>IFERROR(IF(CA61=0,"",ROUND((CA61/SUM(SETTINGS!$L$14:$L$17))*SETTINGS!$L$18,0)),"")</f>
        <v/>
      </c>
      <c r="CC61" s="190" t="str">
        <f>IFERROR(IF(ISBLANK(DATA!AQ61),"",DATA!AQ61),"")</f>
        <v/>
      </c>
      <c r="CD61" s="106" t="str">
        <f>IFERROR(IF(ISBLANK(CC61),"",ROUND((CC61/SETTINGS!$L$19)*SETTINGS!$L$20,0)),"")</f>
        <v/>
      </c>
      <c r="CE61" s="106" t="str">
        <f t="shared" si="29"/>
        <v/>
      </c>
      <c r="CF61" s="103" t="str">
        <f t="shared" si="6"/>
        <v/>
      </c>
      <c r="CG61" s="107" t="str">
        <f t="shared" si="30"/>
        <v/>
      </c>
      <c r="CH61" s="130"/>
      <c r="CI61" s="190" t="str">
        <f>IFERROR(IF(ISBLANK(DATA!AS61),"",DATA!AS61),"")</f>
        <v/>
      </c>
      <c r="CJ61" s="190" t="str">
        <f>IFERROR(IF(ISBLANK(DATA!AT61),"",DATA!AT61),"")</f>
        <v/>
      </c>
      <c r="CK61" s="190" t="str">
        <f>IFERROR(IF(ISBLANK(DATA!AU61),"",DATA!AU61),"")</f>
        <v/>
      </c>
      <c r="CL61" s="190" t="str">
        <f>IFERROR(IF(ISBLANK(DATA!AV61),"",DATA!AV61),"")</f>
        <v/>
      </c>
      <c r="CM61" s="97" t="str">
        <f t="shared" si="31"/>
        <v/>
      </c>
      <c r="CN61" s="106" t="str">
        <f>IFERROR(IF(CM61=0,"",ROUND((CM61/SUM(SETTINGS!$L$14:$L$17))*SETTINGS!$L$18,0)),"")</f>
        <v/>
      </c>
      <c r="CO61" s="190" t="str">
        <f>IFERROR(IF(ISBLANK(DATA!AW61),"",DATA!AW61),"")</f>
        <v/>
      </c>
      <c r="CP61" s="106" t="str">
        <f>IFERROR(IF(ISBLANK(CO61),"",ROUND((CO61/SETTINGS!$L$19)*SETTINGS!$L$20,0)),"")</f>
        <v/>
      </c>
      <c r="CQ61" s="106" t="str">
        <f t="shared" si="32"/>
        <v/>
      </c>
      <c r="CR61" s="103" t="str">
        <f t="shared" si="7"/>
        <v/>
      </c>
      <c r="CS61" s="107" t="str">
        <f t="shared" si="33"/>
        <v/>
      </c>
      <c r="CT61" s="130"/>
      <c r="CU61" s="190" t="str">
        <f>IFERROR(IF(ISBLANK(DATA!AY61),"",DATA!AY61),"")</f>
        <v/>
      </c>
      <c r="CV61" s="190" t="str">
        <f>IFERROR(IF(ISBLANK(DATA!AZ61),"",DATA!AZ61),"")</f>
        <v/>
      </c>
      <c r="CW61" s="190" t="str">
        <f>IFERROR(IF(ISBLANK(DATA!BA61),"",DATA!BA61),"")</f>
        <v/>
      </c>
      <c r="CX61" s="190" t="str">
        <f>IFERROR(IF(ISBLANK(DATA!BB61),"",DATA!BB61),"")</f>
        <v/>
      </c>
      <c r="CY61" s="97" t="str">
        <f t="shared" si="34"/>
        <v/>
      </c>
      <c r="CZ61" s="106" t="str">
        <f>IFERROR(IF(CY61=0,"",ROUND((CY61/SUM(SETTINGS!$L$14:$L$17))*SETTINGS!$L$18,0)),"")</f>
        <v/>
      </c>
      <c r="DA61" s="190" t="str">
        <f>IFERROR(IF(ISBLANK(DATA!BC61),"",DATA!BC61),"")</f>
        <v/>
      </c>
      <c r="DB61" s="106" t="str">
        <f>IFERROR(IF(ISBLANK(DA61),"",ROUND((DA61/SETTINGS!$L$19)*SETTINGS!$L$20,0)),"")</f>
        <v/>
      </c>
      <c r="DC61" s="106" t="str">
        <f t="shared" si="35"/>
        <v/>
      </c>
      <c r="DD61" s="103" t="str">
        <f t="shared" si="8"/>
        <v/>
      </c>
      <c r="DE61" s="107" t="str">
        <f t="shared" si="36"/>
        <v/>
      </c>
      <c r="DF61" s="103" t="str">
        <f t="shared" si="9"/>
        <v/>
      </c>
      <c r="DG61" s="103" t="str">
        <f>IFERROR(IF(AND(K61,W61,AI61,AU61,BG61,BS61,CE61,CQ61,DC61)="","",SUM(K61,W61,AI61,AU61,LARGE((BG61,BS61,CE61,CQ61,DC61),{1,2}))),"")</f>
        <v/>
      </c>
      <c r="DH61" s="103" t="str">
        <f>IFERROR(IF(AND(M61,Y61,AK61,AW61,,BI61,BU61,CG61,CS61,DE61)="","",SUM(M61,Y61,AK61,AW61,SMALL((BI61,BU61,CG61,CS61,DE61),{1,2}))),"")</f>
        <v/>
      </c>
      <c r="DI61" s="109" t="str">
        <f>IFERROR(IF(ISBLANK($D61),"",pos&amp;IF(AND(MOD(ABS(pos),100)&gt;10,MOD(ABS(pos),100)&lt;14),"th",CHOOSE(MOD(ABS(pos),10)+1,"th","st","nd","rd","th","th","th","th","th","th"))),"")</f>
        <v/>
      </c>
      <c r="DJ61" s="62">
        <f>ROWS($B$12:$B61)</f>
        <v>50</v>
      </c>
      <c r="DK61" s="62" t="str">
        <f>IF($B61=REPORT_CARD!$M$12,$DJ61,"")</f>
        <v/>
      </c>
      <c r="DL61" s="62"/>
      <c r="DM61" s="186"/>
    </row>
    <row r="62" spans="1:117" ht="19.5" customHeight="1">
      <c r="A62" s="187" t="str">
        <f>IFERROR(IF(ISBLANK(DATA!$A62),"",DATA!$A62),"")</f>
        <v/>
      </c>
      <c r="B62" s="187" t="str">
        <f>IFERROR(IF(ISBLANK(DATA!$B62),"",DATA!$B62),"")</f>
        <v/>
      </c>
      <c r="C62" s="190" t="str">
        <f>IFERROR(IF(ISBLANK(DATA!C62),"",DATA!C62),"")</f>
        <v/>
      </c>
      <c r="D62" s="190" t="str">
        <f>IFERROR(IF(ISBLANK(DATA!D62),"",DATA!D62),"")</f>
        <v/>
      </c>
      <c r="E62" s="190" t="str">
        <f>IFERROR(IF(ISBLANK(DATA!E62),"",DATA!E62),"")</f>
        <v/>
      </c>
      <c r="F62" s="190" t="str">
        <f>IFERROR(IF(ISBLANK(DATA!F62),"",DATA!F62),"")</f>
        <v/>
      </c>
      <c r="G62" s="97" t="str">
        <f t="shared" si="37"/>
        <v/>
      </c>
      <c r="H62" s="106" t="str">
        <f>IFERROR(IF(G62=0,"",ROUND((G62/SUM(SETTINGS!$L$14:$L$17))*SETTINGS!$L$18,0)),"")</f>
        <v/>
      </c>
      <c r="I62" s="190" t="str">
        <f>IFERROR(IF(ISBLANK(DATA!G62),"",DATA!G62),"")</f>
        <v/>
      </c>
      <c r="J62" s="106" t="str">
        <f>IFERROR(IF(ISBLANK(I62),"",ROUND((I62/SETTINGS!$L$19)*SETTINGS!$L$20,0)),"")</f>
        <v/>
      </c>
      <c r="K62" s="106" t="str">
        <f t="shared" si="10"/>
        <v/>
      </c>
      <c r="L62" s="103" t="str">
        <f t="shared" si="0"/>
        <v/>
      </c>
      <c r="M62" s="107" t="str">
        <f t="shared" si="11"/>
        <v/>
      </c>
      <c r="N62" s="136"/>
      <c r="O62" s="190" t="str">
        <f>IFERROR(IF(ISBLANK(DATA!I62),"",DATA!I62),"")</f>
        <v/>
      </c>
      <c r="P62" s="190" t="str">
        <f>IFERROR(IF(ISBLANK(DATA!J62),"",DATA!J62),"")</f>
        <v/>
      </c>
      <c r="Q62" s="190" t="str">
        <f>IFERROR(IF(ISBLANK(DATA!K62),"",DATA!K62),"")</f>
        <v/>
      </c>
      <c r="R62" s="190" t="str">
        <f>IFERROR(IF(ISBLANK(DATA!L62),"",DATA!L62),"")</f>
        <v/>
      </c>
      <c r="S62" s="97" t="str">
        <f t="shared" si="38"/>
        <v/>
      </c>
      <c r="T62" s="106" t="str">
        <f>IFERROR(IF(S62=0,"",ROUND((S62/SUM(SETTINGS!$L$14:$L$17))*SETTINGS!$L$18,0)),"")</f>
        <v/>
      </c>
      <c r="U62" s="190" t="str">
        <f>IFERROR(IF(ISBLANK(DATA!M62),"",DATA!M62),"")</f>
        <v/>
      </c>
      <c r="V62" s="106" t="str">
        <f>IFERROR(IF(ISBLANK(U62),"",ROUND((U62/SETTINGS!$L$19)*SETTINGS!$L$20,0)),"")</f>
        <v/>
      </c>
      <c r="W62" s="106" t="str">
        <f t="shared" si="13"/>
        <v/>
      </c>
      <c r="X62" s="103" t="str">
        <f t="shared" si="14"/>
        <v/>
      </c>
      <c r="Y62" s="107" t="str">
        <f t="shared" si="15"/>
        <v/>
      </c>
      <c r="Z62" s="130"/>
      <c r="AA62" s="190" t="str">
        <f>IFERROR(IF(ISBLANK(DATA!O62),"",DATA!O62),"")</f>
        <v/>
      </c>
      <c r="AB62" s="190" t="str">
        <f>IFERROR(IF(ISBLANK(DATA!P62),"",DATA!P62),"")</f>
        <v/>
      </c>
      <c r="AC62" s="190" t="str">
        <f>IFERROR(IF(ISBLANK(DATA!Q62),"",DATA!Q62),"")</f>
        <v/>
      </c>
      <c r="AD62" s="190" t="str">
        <f>IFERROR(IF(ISBLANK(DATA!R62),"",DATA!R62),"")</f>
        <v/>
      </c>
      <c r="AE62" s="97" t="str">
        <f t="shared" si="39"/>
        <v/>
      </c>
      <c r="AF62" s="106" t="str">
        <f>IFERROR(IF(AE62=0,"",ROUND((AE62/SUM(SETTINGS!$L$14:$L$17))*SETTINGS!$L$18,0)),"")</f>
        <v/>
      </c>
      <c r="AG62" s="190" t="str">
        <f>IFERROR(IF(ISBLANK(DATA!S62),"",DATA!S62),"")</f>
        <v/>
      </c>
      <c r="AH62" s="106" t="str">
        <f>IFERROR(IF(ISBLANK(AG62),"",ROUND((AG62/SETTINGS!$L$19)*SETTINGS!$L$20,0)),"")</f>
        <v/>
      </c>
      <c r="AI62" s="106" t="str">
        <f t="shared" si="17"/>
        <v/>
      </c>
      <c r="AJ62" s="103" t="str">
        <f t="shared" si="2"/>
        <v/>
      </c>
      <c r="AK62" s="108" t="str">
        <f t="shared" si="18"/>
        <v/>
      </c>
      <c r="AL62" s="130"/>
      <c r="AM62" s="190" t="str">
        <f>IFERROR(IF(ISBLANK(DATA!U62),"",DATA!U62),"")</f>
        <v/>
      </c>
      <c r="AN62" s="190" t="str">
        <f>IFERROR(IF(ISBLANK(DATA!V62),"",DATA!V62),"")</f>
        <v/>
      </c>
      <c r="AO62" s="190" t="str">
        <f>IFERROR(IF(ISBLANK(DATA!W62),"",DATA!W62),"")</f>
        <v/>
      </c>
      <c r="AP62" s="190" t="str">
        <f>IFERROR(IF(ISBLANK(DATA!X62),"",DATA!X62),"")</f>
        <v/>
      </c>
      <c r="AQ62" s="97" t="str">
        <f t="shared" si="19"/>
        <v/>
      </c>
      <c r="AR62" s="106" t="str">
        <f>IFERROR(IF(AQ62=0,"",ROUND((AQ62/SUM(SETTINGS!$L$14:$L$17))*SETTINGS!$L$18,0)),"")</f>
        <v/>
      </c>
      <c r="AS62" s="190" t="str">
        <f>IFERROR(IF(ISBLANK(DATA!Y62),"",DATA!Y62),"")</f>
        <v/>
      </c>
      <c r="AT62" s="106" t="str">
        <f>IFERROR(IF(ISBLANK(AS62),"",ROUND((AS62/SETTINGS!$L$19)*SETTINGS!$L$20,0)),"")</f>
        <v/>
      </c>
      <c r="AU62" s="106" t="str">
        <f t="shared" si="20"/>
        <v/>
      </c>
      <c r="AV62" s="103" t="str">
        <f t="shared" si="3"/>
        <v/>
      </c>
      <c r="AW62" s="107" t="str">
        <f t="shared" si="21"/>
        <v/>
      </c>
      <c r="AX62" s="130"/>
      <c r="AY62" s="190" t="str">
        <f>IFERROR(IF(ISBLANK(DATA!AA62),"",DATA!AA62),"")</f>
        <v/>
      </c>
      <c r="AZ62" s="190" t="str">
        <f>IFERROR(IF(ISBLANK(DATA!AB62),"",DATA!AB62),"")</f>
        <v/>
      </c>
      <c r="BA62" s="190" t="str">
        <f>IFERROR(IF(ISBLANK(DATA!AC62),"",DATA!AC62),"")</f>
        <v/>
      </c>
      <c r="BB62" s="190" t="str">
        <f>IFERROR(IF(ISBLANK(DATA!AD62),"",DATA!AD62),"")</f>
        <v/>
      </c>
      <c r="BC62" s="97" t="str">
        <f t="shared" si="22"/>
        <v/>
      </c>
      <c r="BD62" s="106" t="str">
        <f>IFERROR(IF(BC62=0,"",ROUND((BC62/SUM(SETTINGS!$L$14:$L$17))*SETTINGS!$L$18,0)),"")</f>
        <v/>
      </c>
      <c r="BE62" s="190" t="str">
        <f>IFERROR(IF(ISBLANK(DATA!AE62),"",DATA!AE62),"")</f>
        <v/>
      </c>
      <c r="BF62" s="106" t="str">
        <f>IFERROR(IF(ISBLANK(BE62),"",ROUND((BE62/SETTINGS!$L$19)*SETTINGS!$L$20,0)),"")</f>
        <v/>
      </c>
      <c r="BG62" s="106" t="str">
        <f t="shared" si="23"/>
        <v/>
      </c>
      <c r="BH62" s="103" t="str">
        <f t="shared" si="4"/>
        <v/>
      </c>
      <c r="BI62" s="108" t="str">
        <f t="shared" si="24"/>
        <v/>
      </c>
      <c r="BJ62" s="130"/>
      <c r="BK62" s="190" t="str">
        <f>IFERROR(IF(ISBLANK(DATA!AG62),"",DATA!AG62),"")</f>
        <v/>
      </c>
      <c r="BL62" s="190" t="str">
        <f>IFERROR(IF(ISBLANK(DATA!AH62),"",DATA!AH62),"")</f>
        <v/>
      </c>
      <c r="BM62" s="190" t="str">
        <f>IFERROR(IF(ISBLANK(DATA!AI62),"",DATA!AI62),"")</f>
        <v/>
      </c>
      <c r="BN62" s="190" t="str">
        <f>IFERROR(IF(ISBLANK(DATA!AJ62),"",DATA!AJ62),"")</f>
        <v/>
      </c>
      <c r="BO62" s="97" t="str">
        <f t="shared" si="25"/>
        <v/>
      </c>
      <c r="BP62" s="106" t="str">
        <f>IFERROR(IF(BO62=0,"",ROUND((BO62/SUM(SETTINGS!$L$14:$L$17))*SETTINGS!$L$18,0)),"")</f>
        <v/>
      </c>
      <c r="BQ62" s="190" t="str">
        <f>IFERROR(IF(ISBLANK(DATA!AK62),"",DATA!AK62),"")</f>
        <v/>
      </c>
      <c r="BR62" s="106" t="str">
        <f>IFERROR(IF(ISBLANK(BQ62),"",ROUND((BQ62/SETTINGS!$L$19)*SETTINGS!$L$20,0)),"")</f>
        <v/>
      </c>
      <c r="BS62" s="106" t="str">
        <f t="shared" si="26"/>
        <v/>
      </c>
      <c r="BT62" s="103" t="str">
        <f t="shared" si="5"/>
        <v/>
      </c>
      <c r="BU62" s="107" t="str">
        <f t="shared" si="27"/>
        <v/>
      </c>
      <c r="BV62" s="130"/>
      <c r="BW62" s="190" t="str">
        <f>IFERROR(IF(ISBLANK(DATA!AM62),"",DATA!AM62),"")</f>
        <v/>
      </c>
      <c r="BX62" s="190" t="str">
        <f>IFERROR(IF(ISBLANK(DATA!AN62),"",DATA!AN62),"")</f>
        <v/>
      </c>
      <c r="BY62" s="190" t="str">
        <f>IFERROR(IF(ISBLANK(DATA!AO62),"",DATA!AO62),"")</f>
        <v/>
      </c>
      <c r="BZ62" s="190" t="str">
        <f>IFERROR(IF(ISBLANK(DATA!AP62),"",DATA!AP62),"")</f>
        <v/>
      </c>
      <c r="CA62" s="97" t="str">
        <f t="shared" si="28"/>
        <v/>
      </c>
      <c r="CB62" s="106" t="str">
        <f>IFERROR(IF(CA62=0,"",ROUND((CA62/SUM(SETTINGS!$L$14:$L$17))*SETTINGS!$L$18,0)),"")</f>
        <v/>
      </c>
      <c r="CC62" s="190" t="str">
        <f>IFERROR(IF(ISBLANK(DATA!AQ62),"",DATA!AQ62),"")</f>
        <v/>
      </c>
      <c r="CD62" s="106" t="str">
        <f>IFERROR(IF(ISBLANK(CC62),"",ROUND((CC62/SETTINGS!$L$19)*SETTINGS!$L$20,0)),"")</f>
        <v/>
      </c>
      <c r="CE62" s="106" t="str">
        <f t="shared" si="29"/>
        <v/>
      </c>
      <c r="CF62" s="103" t="str">
        <f t="shared" si="6"/>
        <v/>
      </c>
      <c r="CG62" s="107" t="str">
        <f t="shared" si="30"/>
        <v/>
      </c>
      <c r="CH62" s="130"/>
      <c r="CI62" s="190" t="str">
        <f>IFERROR(IF(ISBLANK(DATA!AS62),"",DATA!AS62),"")</f>
        <v/>
      </c>
      <c r="CJ62" s="190" t="str">
        <f>IFERROR(IF(ISBLANK(DATA!AT62),"",DATA!AT62),"")</f>
        <v/>
      </c>
      <c r="CK62" s="190" t="str">
        <f>IFERROR(IF(ISBLANK(DATA!AU62),"",DATA!AU62),"")</f>
        <v/>
      </c>
      <c r="CL62" s="190" t="str">
        <f>IFERROR(IF(ISBLANK(DATA!AV62),"",DATA!AV62),"")</f>
        <v/>
      </c>
      <c r="CM62" s="97" t="str">
        <f t="shared" si="31"/>
        <v/>
      </c>
      <c r="CN62" s="106" t="str">
        <f>IFERROR(IF(CM62=0,"",ROUND((CM62/SUM(SETTINGS!$L$14:$L$17))*SETTINGS!$L$18,0)),"")</f>
        <v/>
      </c>
      <c r="CO62" s="190" t="str">
        <f>IFERROR(IF(ISBLANK(DATA!AW62),"",DATA!AW62),"")</f>
        <v/>
      </c>
      <c r="CP62" s="106" t="str">
        <f>IFERROR(IF(ISBLANK(CO62),"",ROUND((CO62/SETTINGS!$L$19)*SETTINGS!$L$20,0)),"")</f>
        <v/>
      </c>
      <c r="CQ62" s="106" t="str">
        <f t="shared" si="32"/>
        <v/>
      </c>
      <c r="CR62" s="103" t="str">
        <f t="shared" si="7"/>
        <v/>
      </c>
      <c r="CS62" s="107" t="str">
        <f t="shared" si="33"/>
        <v/>
      </c>
      <c r="CT62" s="130"/>
      <c r="CU62" s="190" t="str">
        <f>IFERROR(IF(ISBLANK(DATA!AY62),"",DATA!AY62),"")</f>
        <v/>
      </c>
      <c r="CV62" s="190" t="str">
        <f>IFERROR(IF(ISBLANK(DATA!AZ62),"",DATA!AZ62),"")</f>
        <v/>
      </c>
      <c r="CW62" s="190" t="str">
        <f>IFERROR(IF(ISBLANK(DATA!BA62),"",DATA!BA62),"")</f>
        <v/>
      </c>
      <c r="CX62" s="190" t="str">
        <f>IFERROR(IF(ISBLANK(DATA!BB62),"",DATA!BB62),"")</f>
        <v/>
      </c>
      <c r="CY62" s="97" t="str">
        <f t="shared" si="34"/>
        <v/>
      </c>
      <c r="CZ62" s="106" t="str">
        <f>IFERROR(IF(CY62=0,"",ROUND((CY62/SUM(SETTINGS!$L$14:$L$17))*SETTINGS!$L$18,0)),"")</f>
        <v/>
      </c>
      <c r="DA62" s="190" t="str">
        <f>IFERROR(IF(ISBLANK(DATA!BC62),"",DATA!BC62),"")</f>
        <v/>
      </c>
      <c r="DB62" s="106" t="str">
        <f>IFERROR(IF(ISBLANK(DA62),"",ROUND((DA62/SETTINGS!$L$19)*SETTINGS!$L$20,0)),"")</f>
        <v/>
      </c>
      <c r="DC62" s="106" t="str">
        <f t="shared" si="35"/>
        <v/>
      </c>
      <c r="DD62" s="103" t="str">
        <f t="shared" si="8"/>
        <v/>
      </c>
      <c r="DE62" s="107" t="str">
        <f t="shared" si="36"/>
        <v/>
      </c>
      <c r="DF62" s="103" t="str">
        <f t="shared" si="9"/>
        <v/>
      </c>
      <c r="DG62" s="103" t="str">
        <f>IFERROR(IF(AND(K62,W62,AI62,AU62,BG62,BS62,CE62,CQ62,DC62)="","",SUM(K62,W62,AI62,AU62,LARGE((BG62,BS62,CE62,CQ62,DC62),{1,2}))),"")</f>
        <v/>
      </c>
      <c r="DH62" s="103" t="str">
        <f>IFERROR(IF(AND(M62,Y62,AK62,AW62,,BI62,BU62,CG62,CS62,DE62)="","",SUM(M62,Y62,AK62,AW62,SMALL((BI62,BU62,CG62,CS62,DE62),{1,2}))),"")</f>
        <v/>
      </c>
      <c r="DI62" s="109" t="str">
        <f>IFERROR(IF(ISBLANK($D62),"",pos&amp;IF(AND(MOD(ABS(pos),100)&gt;10,MOD(ABS(pos),100)&lt;14),"th",CHOOSE(MOD(ABS(pos),10)+1,"th","st","nd","rd","th","th","th","th","th","th"))),"")</f>
        <v/>
      </c>
      <c r="DJ62" s="62">
        <f>ROWS($B$12:$B62)</f>
        <v>51</v>
      </c>
      <c r="DK62" s="62" t="str">
        <f>IF($B62=REPORT_CARD!$M$12,$DJ62,"")</f>
        <v/>
      </c>
      <c r="DL62" s="62"/>
      <c r="DM62" s="186"/>
    </row>
    <row r="63" spans="1:117" ht="19.5" customHeight="1">
      <c r="A63" s="187" t="str">
        <f>IFERROR(IF(ISBLANK(DATA!$A63),"",DATA!$A63),"")</f>
        <v/>
      </c>
      <c r="B63" s="187" t="str">
        <f>IFERROR(IF(ISBLANK(DATA!$B63),"",DATA!$B63),"")</f>
        <v/>
      </c>
      <c r="C63" s="190" t="str">
        <f>IFERROR(IF(ISBLANK(DATA!C63),"",DATA!C63),"")</f>
        <v/>
      </c>
      <c r="D63" s="190" t="str">
        <f>IFERROR(IF(ISBLANK(DATA!D63),"",DATA!D63),"")</f>
        <v/>
      </c>
      <c r="E63" s="190" t="str">
        <f>IFERROR(IF(ISBLANK(DATA!E63),"",DATA!E63),"")</f>
        <v/>
      </c>
      <c r="F63" s="190" t="str">
        <f>IFERROR(IF(ISBLANK(DATA!F63),"",DATA!F63),"")</f>
        <v/>
      </c>
      <c r="G63" s="97" t="str">
        <f t="shared" si="37"/>
        <v/>
      </c>
      <c r="H63" s="106" t="str">
        <f>IFERROR(IF(G63=0,"",ROUND((G63/SUM(SETTINGS!$L$14:$L$17))*SETTINGS!$L$18,0)),"")</f>
        <v/>
      </c>
      <c r="I63" s="190" t="str">
        <f>IFERROR(IF(ISBLANK(DATA!G63),"",DATA!G63),"")</f>
        <v/>
      </c>
      <c r="J63" s="106" t="str">
        <f>IFERROR(IF(ISBLANK(I63),"",ROUND((I63/SETTINGS!$L$19)*SETTINGS!$L$20,0)),"")</f>
        <v/>
      </c>
      <c r="K63" s="106" t="str">
        <f t="shared" si="10"/>
        <v/>
      </c>
      <c r="L63" s="103" t="str">
        <f t="shared" si="0"/>
        <v/>
      </c>
      <c r="M63" s="107" t="str">
        <f t="shared" si="11"/>
        <v/>
      </c>
      <c r="N63" s="136"/>
      <c r="O63" s="190" t="str">
        <f>IFERROR(IF(ISBLANK(DATA!I63),"",DATA!I63),"")</f>
        <v/>
      </c>
      <c r="P63" s="190" t="str">
        <f>IFERROR(IF(ISBLANK(DATA!J63),"",DATA!J63),"")</f>
        <v/>
      </c>
      <c r="Q63" s="190" t="str">
        <f>IFERROR(IF(ISBLANK(DATA!K63),"",DATA!K63),"")</f>
        <v/>
      </c>
      <c r="R63" s="190" t="str">
        <f>IFERROR(IF(ISBLANK(DATA!L63),"",DATA!L63),"")</f>
        <v/>
      </c>
      <c r="S63" s="97" t="str">
        <f t="shared" si="38"/>
        <v/>
      </c>
      <c r="T63" s="106" t="str">
        <f>IFERROR(IF(S63=0,"",ROUND((S63/SUM(SETTINGS!$L$14:$L$17))*SETTINGS!$L$18,0)),"")</f>
        <v/>
      </c>
      <c r="U63" s="190" t="str">
        <f>IFERROR(IF(ISBLANK(DATA!M63),"",DATA!M63),"")</f>
        <v/>
      </c>
      <c r="V63" s="106" t="str">
        <f>IFERROR(IF(ISBLANK(U63),"",ROUND((U63/SETTINGS!$L$19)*SETTINGS!$L$20,0)),"")</f>
        <v/>
      </c>
      <c r="W63" s="106" t="str">
        <f t="shared" si="13"/>
        <v/>
      </c>
      <c r="X63" s="103" t="str">
        <f t="shared" si="14"/>
        <v/>
      </c>
      <c r="Y63" s="107" t="str">
        <f t="shared" si="15"/>
        <v/>
      </c>
      <c r="Z63" s="130"/>
      <c r="AA63" s="190" t="str">
        <f>IFERROR(IF(ISBLANK(DATA!O63),"",DATA!O63),"")</f>
        <v/>
      </c>
      <c r="AB63" s="190" t="str">
        <f>IFERROR(IF(ISBLANK(DATA!P63),"",DATA!P63),"")</f>
        <v/>
      </c>
      <c r="AC63" s="190" t="str">
        <f>IFERROR(IF(ISBLANK(DATA!Q63),"",DATA!Q63),"")</f>
        <v/>
      </c>
      <c r="AD63" s="190" t="str">
        <f>IFERROR(IF(ISBLANK(DATA!R63),"",DATA!R63),"")</f>
        <v/>
      </c>
      <c r="AE63" s="97" t="str">
        <f t="shared" si="39"/>
        <v/>
      </c>
      <c r="AF63" s="106" t="str">
        <f>IFERROR(IF(AE63=0,"",ROUND((AE63/SUM(SETTINGS!$L$14:$L$17))*SETTINGS!$L$18,0)),"")</f>
        <v/>
      </c>
      <c r="AG63" s="190" t="str">
        <f>IFERROR(IF(ISBLANK(DATA!S63),"",DATA!S63),"")</f>
        <v/>
      </c>
      <c r="AH63" s="106" t="str">
        <f>IFERROR(IF(ISBLANK(AG63),"",ROUND((AG63/SETTINGS!$L$19)*SETTINGS!$L$20,0)),"")</f>
        <v/>
      </c>
      <c r="AI63" s="106" t="str">
        <f t="shared" si="17"/>
        <v/>
      </c>
      <c r="AJ63" s="103" t="str">
        <f t="shared" si="2"/>
        <v/>
      </c>
      <c r="AK63" s="108" t="str">
        <f t="shared" si="18"/>
        <v/>
      </c>
      <c r="AL63" s="130"/>
      <c r="AM63" s="190" t="str">
        <f>IFERROR(IF(ISBLANK(DATA!U63),"",DATA!U63),"")</f>
        <v/>
      </c>
      <c r="AN63" s="190" t="str">
        <f>IFERROR(IF(ISBLANK(DATA!V63),"",DATA!V63),"")</f>
        <v/>
      </c>
      <c r="AO63" s="190" t="str">
        <f>IFERROR(IF(ISBLANK(DATA!W63),"",DATA!W63),"")</f>
        <v/>
      </c>
      <c r="AP63" s="190" t="str">
        <f>IFERROR(IF(ISBLANK(DATA!X63),"",DATA!X63),"")</f>
        <v/>
      </c>
      <c r="AQ63" s="97" t="str">
        <f t="shared" si="19"/>
        <v/>
      </c>
      <c r="AR63" s="106" t="str">
        <f>IFERROR(IF(AQ63=0,"",ROUND((AQ63/SUM(SETTINGS!$L$14:$L$17))*SETTINGS!$L$18,0)),"")</f>
        <v/>
      </c>
      <c r="AS63" s="190" t="str">
        <f>IFERROR(IF(ISBLANK(DATA!Y63),"",DATA!Y63),"")</f>
        <v/>
      </c>
      <c r="AT63" s="106" t="str">
        <f>IFERROR(IF(ISBLANK(AS63),"",ROUND((AS63/SETTINGS!$L$19)*SETTINGS!$L$20,0)),"")</f>
        <v/>
      </c>
      <c r="AU63" s="106" t="str">
        <f t="shared" si="20"/>
        <v/>
      </c>
      <c r="AV63" s="103" t="str">
        <f t="shared" si="3"/>
        <v/>
      </c>
      <c r="AW63" s="107" t="str">
        <f t="shared" si="21"/>
        <v/>
      </c>
      <c r="AX63" s="130"/>
      <c r="AY63" s="190" t="str">
        <f>IFERROR(IF(ISBLANK(DATA!AA63),"",DATA!AA63),"")</f>
        <v/>
      </c>
      <c r="AZ63" s="190" t="str">
        <f>IFERROR(IF(ISBLANK(DATA!AB63),"",DATA!AB63),"")</f>
        <v/>
      </c>
      <c r="BA63" s="190" t="str">
        <f>IFERROR(IF(ISBLANK(DATA!AC63),"",DATA!AC63),"")</f>
        <v/>
      </c>
      <c r="BB63" s="190" t="str">
        <f>IFERROR(IF(ISBLANK(DATA!AD63),"",DATA!AD63),"")</f>
        <v/>
      </c>
      <c r="BC63" s="97" t="str">
        <f t="shared" si="22"/>
        <v/>
      </c>
      <c r="BD63" s="106" t="str">
        <f>IFERROR(IF(BC63=0,"",ROUND((BC63/SUM(SETTINGS!$L$14:$L$17))*SETTINGS!$L$18,0)),"")</f>
        <v/>
      </c>
      <c r="BE63" s="190" t="str">
        <f>IFERROR(IF(ISBLANK(DATA!AE63),"",DATA!AE63),"")</f>
        <v/>
      </c>
      <c r="BF63" s="106" t="str">
        <f>IFERROR(IF(ISBLANK(BE63),"",ROUND((BE63/SETTINGS!$L$19)*SETTINGS!$L$20,0)),"")</f>
        <v/>
      </c>
      <c r="BG63" s="106" t="str">
        <f t="shared" si="23"/>
        <v/>
      </c>
      <c r="BH63" s="103" t="str">
        <f t="shared" si="4"/>
        <v/>
      </c>
      <c r="BI63" s="108" t="str">
        <f t="shared" si="24"/>
        <v/>
      </c>
      <c r="BJ63" s="130"/>
      <c r="BK63" s="190" t="str">
        <f>IFERROR(IF(ISBLANK(DATA!AG63),"",DATA!AG63),"")</f>
        <v/>
      </c>
      <c r="BL63" s="190" t="str">
        <f>IFERROR(IF(ISBLANK(DATA!AH63),"",DATA!AH63),"")</f>
        <v/>
      </c>
      <c r="BM63" s="190" t="str">
        <f>IFERROR(IF(ISBLANK(DATA!AI63),"",DATA!AI63),"")</f>
        <v/>
      </c>
      <c r="BN63" s="190" t="str">
        <f>IFERROR(IF(ISBLANK(DATA!AJ63),"",DATA!AJ63),"")</f>
        <v/>
      </c>
      <c r="BO63" s="97" t="str">
        <f t="shared" si="25"/>
        <v/>
      </c>
      <c r="BP63" s="106" t="str">
        <f>IFERROR(IF(BO63=0,"",ROUND((BO63/SUM(SETTINGS!$L$14:$L$17))*SETTINGS!$L$18,0)),"")</f>
        <v/>
      </c>
      <c r="BQ63" s="190" t="str">
        <f>IFERROR(IF(ISBLANK(DATA!AK63),"",DATA!AK63),"")</f>
        <v/>
      </c>
      <c r="BR63" s="106" t="str">
        <f>IFERROR(IF(ISBLANK(BQ63),"",ROUND((BQ63/SETTINGS!$L$19)*SETTINGS!$L$20,0)),"")</f>
        <v/>
      </c>
      <c r="BS63" s="106" t="str">
        <f t="shared" si="26"/>
        <v/>
      </c>
      <c r="BT63" s="103" t="str">
        <f t="shared" si="5"/>
        <v/>
      </c>
      <c r="BU63" s="107" t="str">
        <f t="shared" si="27"/>
        <v/>
      </c>
      <c r="BV63" s="130"/>
      <c r="BW63" s="190" t="str">
        <f>IFERROR(IF(ISBLANK(DATA!AM63),"",DATA!AM63),"")</f>
        <v/>
      </c>
      <c r="BX63" s="190" t="str">
        <f>IFERROR(IF(ISBLANK(DATA!AN63),"",DATA!AN63),"")</f>
        <v/>
      </c>
      <c r="BY63" s="190" t="str">
        <f>IFERROR(IF(ISBLANK(DATA!AO63),"",DATA!AO63),"")</f>
        <v/>
      </c>
      <c r="BZ63" s="190" t="str">
        <f>IFERROR(IF(ISBLANK(DATA!AP63),"",DATA!AP63),"")</f>
        <v/>
      </c>
      <c r="CA63" s="97" t="str">
        <f t="shared" si="28"/>
        <v/>
      </c>
      <c r="CB63" s="106" t="str">
        <f>IFERROR(IF(CA63=0,"",ROUND((CA63/SUM(SETTINGS!$L$14:$L$17))*SETTINGS!$L$18,0)),"")</f>
        <v/>
      </c>
      <c r="CC63" s="190" t="str">
        <f>IFERROR(IF(ISBLANK(DATA!AQ63),"",DATA!AQ63),"")</f>
        <v/>
      </c>
      <c r="CD63" s="106" t="str">
        <f>IFERROR(IF(ISBLANK(CC63),"",ROUND((CC63/SETTINGS!$L$19)*SETTINGS!$L$20,0)),"")</f>
        <v/>
      </c>
      <c r="CE63" s="106" t="str">
        <f t="shared" si="29"/>
        <v/>
      </c>
      <c r="CF63" s="103" t="str">
        <f t="shared" si="6"/>
        <v/>
      </c>
      <c r="CG63" s="107" t="str">
        <f t="shared" si="30"/>
        <v/>
      </c>
      <c r="CH63" s="130"/>
      <c r="CI63" s="190" t="str">
        <f>IFERROR(IF(ISBLANK(DATA!AS63),"",DATA!AS63),"")</f>
        <v/>
      </c>
      <c r="CJ63" s="190" t="str">
        <f>IFERROR(IF(ISBLANK(DATA!AT63),"",DATA!AT63),"")</f>
        <v/>
      </c>
      <c r="CK63" s="190" t="str">
        <f>IFERROR(IF(ISBLANK(DATA!AU63),"",DATA!AU63),"")</f>
        <v/>
      </c>
      <c r="CL63" s="190" t="str">
        <f>IFERROR(IF(ISBLANK(DATA!AV63),"",DATA!AV63),"")</f>
        <v/>
      </c>
      <c r="CM63" s="97" t="str">
        <f t="shared" si="31"/>
        <v/>
      </c>
      <c r="CN63" s="106" t="str">
        <f>IFERROR(IF(CM63=0,"",ROUND((CM63/SUM(SETTINGS!$L$14:$L$17))*SETTINGS!$L$18,0)),"")</f>
        <v/>
      </c>
      <c r="CO63" s="190" t="str">
        <f>IFERROR(IF(ISBLANK(DATA!AW63),"",DATA!AW63),"")</f>
        <v/>
      </c>
      <c r="CP63" s="106" t="str">
        <f>IFERROR(IF(ISBLANK(CO63),"",ROUND((CO63/SETTINGS!$L$19)*SETTINGS!$L$20,0)),"")</f>
        <v/>
      </c>
      <c r="CQ63" s="106" t="str">
        <f t="shared" si="32"/>
        <v/>
      </c>
      <c r="CR63" s="103" t="str">
        <f t="shared" si="7"/>
        <v/>
      </c>
      <c r="CS63" s="107" t="str">
        <f t="shared" si="33"/>
        <v/>
      </c>
      <c r="CT63" s="130"/>
      <c r="CU63" s="190" t="str">
        <f>IFERROR(IF(ISBLANK(DATA!AY63),"",DATA!AY63),"")</f>
        <v/>
      </c>
      <c r="CV63" s="190" t="str">
        <f>IFERROR(IF(ISBLANK(DATA!AZ63),"",DATA!AZ63),"")</f>
        <v/>
      </c>
      <c r="CW63" s="190" t="str">
        <f>IFERROR(IF(ISBLANK(DATA!BA63),"",DATA!BA63),"")</f>
        <v/>
      </c>
      <c r="CX63" s="190" t="str">
        <f>IFERROR(IF(ISBLANK(DATA!BB63),"",DATA!BB63),"")</f>
        <v/>
      </c>
      <c r="CY63" s="97" t="str">
        <f t="shared" si="34"/>
        <v/>
      </c>
      <c r="CZ63" s="106" t="str">
        <f>IFERROR(IF(CY63=0,"",ROUND((CY63/SUM(SETTINGS!$L$14:$L$17))*SETTINGS!$L$18,0)),"")</f>
        <v/>
      </c>
      <c r="DA63" s="190" t="str">
        <f>IFERROR(IF(ISBLANK(DATA!BC63),"",DATA!BC63),"")</f>
        <v/>
      </c>
      <c r="DB63" s="106" t="str">
        <f>IFERROR(IF(ISBLANK(DA63),"",ROUND((DA63/SETTINGS!$L$19)*SETTINGS!$L$20,0)),"")</f>
        <v/>
      </c>
      <c r="DC63" s="106" t="str">
        <f t="shared" si="35"/>
        <v/>
      </c>
      <c r="DD63" s="103" t="str">
        <f t="shared" si="8"/>
        <v/>
      </c>
      <c r="DE63" s="107" t="str">
        <f t="shared" si="36"/>
        <v/>
      </c>
      <c r="DF63" s="103" t="str">
        <f t="shared" si="9"/>
        <v/>
      </c>
      <c r="DG63" s="103" t="str">
        <f>IFERROR(IF(AND(K63,W63,AI63,AU63,BG63,BS63,CE63,CQ63,DC63)="","",SUM(K63,W63,AI63,AU63,LARGE((BG63,BS63,CE63,CQ63,DC63),{1,2}))),"")</f>
        <v/>
      </c>
      <c r="DH63" s="103" t="str">
        <f>IFERROR(IF(AND(M63,Y63,AK63,AW63,,BI63,BU63,CG63,CS63,DE63)="","",SUM(M63,Y63,AK63,AW63,SMALL((BI63,BU63,CG63,CS63,DE63),{1,2}))),"")</f>
        <v/>
      </c>
      <c r="DI63" s="109" t="str">
        <f>IFERROR(IF(ISBLANK($D63),"",pos&amp;IF(AND(MOD(ABS(pos),100)&gt;10,MOD(ABS(pos),100)&lt;14),"th",CHOOSE(MOD(ABS(pos),10)+1,"th","st","nd","rd","th","th","th","th","th","th"))),"")</f>
        <v/>
      </c>
      <c r="DJ63" s="62">
        <f>ROWS($B$12:$B63)</f>
        <v>52</v>
      </c>
      <c r="DK63" s="62" t="str">
        <f>IF($B63=REPORT_CARD!$M$12,$DJ63,"")</f>
        <v/>
      </c>
      <c r="DL63" s="62"/>
      <c r="DM63" s="186"/>
    </row>
    <row r="64" spans="1:117" ht="19.5" customHeight="1">
      <c r="A64" s="187" t="str">
        <f>IFERROR(IF(ISBLANK(DATA!$A64),"",DATA!$A64),"")</f>
        <v/>
      </c>
      <c r="B64" s="187" t="str">
        <f>IFERROR(IF(ISBLANK(DATA!$B64),"",DATA!$B64),"")</f>
        <v/>
      </c>
      <c r="C64" s="190" t="str">
        <f>IFERROR(IF(ISBLANK(DATA!C64),"",DATA!C64),"")</f>
        <v/>
      </c>
      <c r="D64" s="190" t="str">
        <f>IFERROR(IF(ISBLANK(DATA!D64),"",DATA!D64),"")</f>
        <v/>
      </c>
      <c r="E64" s="190" t="str">
        <f>IFERROR(IF(ISBLANK(DATA!E64),"",DATA!E64),"")</f>
        <v/>
      </c>
      <c r="F64" s="190" t="str">
        <f>IFERROR(IF(ISBLANK(DATA!F64),"",DATA!F64),"")</f>
        <v/>
      </c>
      <c r="G64" s="97" t="str">
        <f t="shared" si="37"/>
        <v/>
      </c>
      <c r="H64" s="106" t="str">
        <f>IFERROR(IF(G64=0,"",ROUND((G64/SUM(SETTINGS!$L$14:$L$17))*SETTINGS!$L$18,0)),"")</f>
        <v/>
      </c>
      <c r="I64" s="190" t="str">
        <f>IFERROR(IF(ISBLANK(DATA!G64),"",DATA!G64),"")</f>
        <v/>
      </c>
      <c r="J64" s="106" t="str">
        <f>IFERROR(IF(ISBLANK(I64),"",ROUND((I64/SETTINGS!$L$19)*SETTINGS!$L$20,0)),"")</f>
        <v/>
      </c>
      <c r="K64" s="106" t="str">
        <f t="shared" si="10"/>
        <v/>
      </c>
      <c r="L64" s="103" t="str">
        <f t="shared" si="0"/>
        <v/>
      </c>
      <c r="M64" s="107" t="str">
        <f t="shared" si="11"/>
        <v/>
      </c>
      <c r="N64" s="136"/>
      <c r="O64" s="190" t="str">
        <f>IFERROR(IF(ISBLANK(DATA!I64),"",DATA!I64),"")</f>
        <v/>
      </c>
      <c r="P64" s="190" t="str">
        <f>IFERROR(IF(ISBLANK(DATA!J64),"",DATA!J64),"")</f>
        <v/>
      </c>
      <c r="Q64" s="190" t="str">
        <f>IFERROR(IF(ISBLANK(DATA!K64),"",DATA!K64),"")</f>
        <v/>
      </c>
      <c r="R64" s="190" t="str">
        <f>IFERROR(IF(ISBLANK(DATA!L64),"",DATA!L64),"")</f>
        <v/>
      </c>
      <c r="S64" s="97" t="str">
        <f t="shared" si="38"/>
        <v/>
      </c>
      <c r="T64" s="106" t="str">
        <f>IFERROR(IF(S64=0,"",ROUND((S64/SUM(SETTINGS!$L$14:$L$17))*SETTINGS!$L$18,0)),"")</f>
        <v/>
      </c>
      <c r="U64" s="190" t="str">
        <f>IFERROR(IF(ISBLANK(DATA!M64),"",DATA!M64),"")</f>
        <v/>
      </c>
      <c r="V64" s="106" t="str">
        <f>IFERROR(IF(ISBLANK(U64),"",ROUND((U64/SETTINGS!$L$19)*SETTINGS!$L$20,0)),"")</f>
        <v/>
      </c>
      <c r="W64" s="106" t="str">
        <f t="shared" si="13"/>
        <v/>
      </c>
      <c r="X64" s="103" t="str">
        <f t="shared" si="14"/>
        <v/>
      </c>
      <c r="Y64" s="107" t="str">
        <f t="shared" si="15"/>
        <v/>
      </c>
      <c r="Z64" s="130"/>
      <c r="AA64" s="190" t="str">
        <f>IFERROR(IF(ISBLANK(DATA!O64),"",DATA!O64),"")</f>
        <v/>
      </c>
      <c r="AB64" s="190" t="str">
        <f>IFERROR(IF(ISBLANK(DATA!P64),"",DATA!P64),"")</f>
        <v/>
      </c>
      <c r="AC64" s="190" t="str">
        <f>IFERROR(IF(ISBLANK(DATA!Q64),"",DATA!Q64),"")</f>
        <v/>
      </c>
      <c r="AD64" s="190" t="str">
        <f>IFERROR(IF(ISBLANK(DATA!R64),"",DATA!R64),"")</f>
        <v/>
      </c>
      <c r="AE64" s="97" t="str">
        <f t="shared" si="39"/>
        <v/>
      </c>
      <c r="AF64" s="106" t="str">
        <f>IFERROR(IF(AE64=0,"",ROUND((AE64/SUM(SETTINGS!$L$14:$L$17))*SETTINGS!$L$18,0)),"")</f>
        <v/>
      </c>
      <c r="AG64" s="190" t="str">
        <f>IFERROR(IF(ISBLANK(DATA!S64),"",DATA!S64),"")</f>
        <v/>
      </c>
      <c r="AH64" s="106" t="str">
        <f>IFERROR(IF(ISBLANK(AG64),"",ROUND((AG64/SETTINGS!$L$19)*SETTINGS!$L$20,0)),"")</f>
        <v/>
      </c>
      <c r="AI64" s="106" t="str">
        <f t="shared" si="17"/>
        <v/>
      </c>
      <c r="AJ64" s="103" t="str">
        <f t="shared" si="2"/>
        <v/>
      </c>
      <c r="AK64" s="108" t="str">
        <f t="shared" si="18"/>
        <v/>
      </c>
      <c r="AL64" s="130"/>
      <c r="AM64" s="190" t="str">
        <f>IFERROR(IF(ISBLANK(DATA!U64),"",DATA!U64),"")</f>
        <v/>
      </c>
      <c r="AN64" s="190" t="str">
        <f>IFERROR(IF(ISBLANK(DATA!V64),"",DATA!V64),"")</f>
        <v/>
      </c>
      <c r="AO64" s="190" t="str">
        <f>IFERROR(IF(ISBLANK(DATA!W64),"",DATA!W64),"")</f>
        <v/>
      </c>
      <c r="AP64" s="190" t="str">
        <f>IFERROR(IF(ISBLANK(DATA!X64),"",DATA!X64),"")</f>
        <v/>
      </c>
      <c r="AQ64" s="97" t="str">
        <f t="shared" si="19"/>
        <v/>
      </c>
      <c r="AR64" s="106" t="str">
        <f>IFERROR(IF(AQ64=0,"",ROUND((AQ64/SUM(SETTINGS!$L$14:$L$17))*SETTINGS!$L$18,0)),"")</f>
        <v/>
      </c>
      <c r="AS64" s="190" t="str">
        <f>IFERROR(IF(ISBLANK(DATA!Y64),"",DATA!Y64),"")</f>
        <v/>
      </c>
      <c r="AT64" s="106" t="str">
        <f>IFERROR(IF(ISBLANK(AS64),"",ROUND((AS64/SETTINGS!$L$19)*SETTINGS!$L$20,0)),"")</f>
        <v/>
      </c>
      <c r="AU64" s="106" t="str">
        <f t="shared" si="20"/>
        <v/>
      </c>
      <c r="AV64" s="103" t="str">
        <f t="shared" si="3"/>
        <v/>
      </c>
      <c r="AW64" s="107" t="str">
        <f t="shared" si="21"/>
        <v/>
      </c>
      <c r="AX64" s="130"/>
      <c r="AY64" s="190" t="str">
        <f>IFERROR(IF(ISBLANK(DATA!AA64),"",DATA!AA64),"")</f>
        <v/>
      </c>
      <c r="AZ64" s="190" t="str">
        <f>IFERROR(IF(ISBLANK(DATA!AB64),"",DATA!AB64),"")</f>
        <v/>
      </c>
      <c r="BA64" s="190" t="str">
        <f>IFERROR(IF(ISBLANK(DATA!AC64),"",DATA!AC64),"")</f>
        <v/>
      </c>
      <c r="BB64" s="190" t="str">
        <f>IFERROR(IF(ISBLANK(DATA!AD64),"",DATA!AD64),"")</f>
        <v/>
      </c>
      <c r="BC64" s="97" t="str">
        <f t="shared" si="22"/>
        <v/>
      </c>
      <c r="BD64" s="106" t="str">
        <f>IFERROR(IF(BC64=0,"",ROUND((BC64/SUM(SETTINGS!$L$14:$L$17))*SETTINGS!$L$18,0)),"")</f>
        <v/>
      </c>
      <c r="BE64" s="190" t="str">
        <f>IFERROR(IF(ISBLANK(DATA!AE64),"",DATA!AE64),"")</f>
        <v/>
      </c>
      <c r="BF64" s="106" t="str">
        <f>IFERROR(IF(ISBLANK(BE64),"",ROUND((BE64/SETTINGS!$L$19)*SETTINGS!$L$20,0)),"")</f>
        <v/>
      </c>
      <c r="BG64" s="106" t="str">
        <f t="shared" si="23"/>
        <v/>
      </c>
      <c r="BH64" s="103" t="str">
        <f t="shared" si="4"/>
        <v/>
      </c>
      <c r="BI64" s="108" t="str">
        <f t="shared" si="24"/>
        <v/>
      </c>
      <c r="BJ64" s="130"/>
      <c r="BK64" s="190" t="str">
        <f>IFERROR(IF(ISBLANK(DATA!AG64),"",DATA!AG64),"")</f>
        <v/>
      </c>
      <c r="BL64" s="190" t="str">
        <f>IFERROR(IF(ISBLANK(DATA!AH64),"",DATA!AH64),"")</f>
        <v/>
      </c>
      <c r="BM64" s="190" t="str">
        <f>IFERROR(IF(ISBLANK(DATA!AI64),"",DATA!AI64),"")</f>
        <v/>
      </c>
      <c r="BN64" s="190" t="str">
        <f>IFERROR(IF(ISBLANK(DATA!AJ64),"",DATA!AJ64),"")</f>
        <v/>
      </c>
      <c r="BO64" s="97" t="str">
        <f t="shared" si="25"/>
        <v/>
      </c>
      <c r="BP64" s="106" t="str">
        <f>IFERROR(IF(BO64=0,"",ROUND((BO64/SUM(SETTINGS!$L$14:$L$17))*SETTINGS!$L$18,0)),"")</f>
        <v/>
      </c>
      <c r="BQ64" s="190" t="str">
        <f>IFERROR(IF(ISBLANK(DATA!AK64),"",DATA!AK64),"")</f>
        <v/>
      </c>
      <c r="BR64" s="106" t="str">
        <f>IFERROR(IF(ISBLANK(BQ64),"",ROUND((BQ64/SETTINGS!$L$19)*SETTINGS!$L$20,0)),"")</f>
        <v/>
      </c>
      <c r="BS64" s="106" t="str">
        <f t="shared" si="26"/>
        <v/>
      </c>
      <c r="BT64" s="103" t="str">
        <f t="shared" si="5"/>
        <v/>
      </c>
      <c r="BU64" s="107" t="str">
        <f t="shared" si="27"/>
        <v/>
      </c>
      <c r="BV64" s="130"/>
      <c r="BW64" s="190" t="str">
        <f>IFERROR(IF(ISBLANK(DATA!AM64),"",DATA!AM64),"")</f>
        <v/>
      </c>
      <c r="BX64" s="190" t="str">
        <f>IFERROR(IF(ISBLANK(DATA!AN64),"",DATA!AN64),"")</f>
        <v/>
      </c>
      <c r="BY64" s="190" t="str">
        <f>IFERROR(IF(ISBLANK(DATA!AO64),"",DATA!AO64),"")</f>
        <v/>
      </c>
      <c r="BZ64" s="190" t="str">
        <f>IFERROR(IF(ISBLANK(DATA!AP64),"",DATA!AP64),"")</f>
        <v/>
      </c>
      <c r="CA64" s="97" t="str">
        <f t="shared" si="28"/>
        <v/>
      </c>
      <c r="CB64" s="106" t="str">
        <f>IFERROR(IF(CA64=0,"",ROUND((CA64/SUM(SETTINGS!$L$14:$L$17))*SETTINGS!$L$18,0)),"")</f>
        <v/>
      </c>
      <c r="CC64" s="190" t="str">
        <f>IFERROR(IF(ISBLANK(DATA!AQ64),"",DATA!AQ64),"")</f>
        <v/>
      </c>
      <c r="CD64" s="106" t="str">
        <f>IFERROR(IF(ISBLANK(CC64),"",ROUND((CC64/SETTINGS!$L$19)*SETTINGS!$L$20,0)),"")</f>
        <v/>
      </c>
      <c r="CE64" s="106" t="str">
        <f t="shared" si="29"/>
        <v/>
      </c>
      <c r="CF64" s="103" t="str">
        <f t="shared" si="6"/>
        <v/>
      </c>
      <c r="CG64" s="107" t="str">
        <f t="shared" si="30"/>
        <v/>
      </c>
      <c r="CH64" s="130"/>
      <c r="CI64" s="190" t="str">
        <f>IFERROR(IF(ISBLANK(DATA!AS64),"",DATA!AS64),"")</f>
        <v/>
      </c>
      <c r="CJ64" s="190" t="str">
        <f>IFERROR(IF(ISBLANK(DATA!AT64),"",DATA!AT64),"")</f>
        <v/>
      </c>
      <c r="CK64" s="190" t="str">
        <f>IFERROR(IF(ISBLANK(DATA!AU64),"",DATA!AU64),"")</f>
        <v/>
      </c>
      <c r="CL64" s="190" t="str">
        <f>IFERROR(IF(ISBLANK(DATA!AV64),"",DATA!AV64),"")</f>
        <v/>
      </c>
      <c r="CM64" s="97" t="str">
        <f t="shared" si="31"/>
        <v/>
      </c>
      <c r="CN64" s="106" t="str">
        <f>IFERROR(IF(CM64=0,"",ROUND((CM64/SUM(SETTINGS!$L$14:$L$17))*SETTINGS!$L$18,0)),"")</f>
        <v/>
      </c>
      <c r="CO64" s="190" t="str">
        <f>IFERROR(IF(ISBLANK(DATA!AW64),"",DATA!AW64),"")</f>
        <v/>
      </c>
      <c r="CP64" s="106" t="str">
        <f>IFERROR(IF(ISBLANK(CO64),"",ROUND((CO64/SETTINGS!$L$19)*SETTINGS!$L$20,0)),"")</f>
        <v/>
      </c>
      <c r="CQ64" s="106" t="str">
        <f t="shared" si="32"/>
        <v/>
      </c>
      <c r="CR64" s="103" t="str">
        <f t="shared" si="7"/>
        <v/>
      </c>
      <c r="CS64" s="107" t="str">
        <f t="shared" si="33"/>
        <v/>
      </c>
      <c r="CT64" s="130"/>
      <c r="CU64" s="190" t="str">
        <f>IFERROR(IF(ISBLANK(DATA!AY64),"",DATA!AY64),"")</f>
        <v/>
      </c>
      <c r="CV64" s="190" t="str">
        <f>IFERROR(IF(ISBLANK(DATA!AZ64),"",DATA!AZ64),"")</f>
        <v/>
      </c>
      <c r="CW64" s="190" t="str">
        <f>IFERROR(IF(ISBLANK(DATA!BA64),"",DATA!BA64),"")</f>
        <v/>
      </c>
      <c r="CX64" s="190" t="str">
        <f>IFERROR(IF(ISBLANK(DATA!BB64),"",DATA!BB64),"")</f>
        <v/>
      </c>
      <c r="CY64" s="97" t="str">
        <f t="shared" si="34"/>
        <v/>
      </c>
      <c r="CZ64" s="106" t="str">
        <f>IFERROR(IF(CY64=0,"",ROUND((CY64/SUM(SETTINGS!$L$14:$L$17))*SETTINGS!$L$18,0)),"")</f>
        <v/>
      </c>
      <c r="DA64" s="190" t="str">
        <f>IFERROR(IF(ISBLANK(DATA!BC64),"",DATA!BC64),"")</f>
        <v/>
      </c>
      <c r="DB64" s="106" t="str">
        <f>IFERROR(IF(ISBLANK(DA64),"",ROUND((DA64/SETTINGS!$L$19)*SETTINGS!$L$20,0)),"")</f>
        <v/>
      </c>
      <c r="DC64" s="106" t="str">
        <f t="shared" si="35"/>
        <v/>
      </c>
      <c r="DD64" s="103" t="str">
        <f t="shared" si="8"/>
        <v/>
      </c>
      <c r="DE64" s="107" t="str">
        <f t="shared" si="36"/>
        <v/>
      </c>
      <c r="DF64" s="103" t="str">
        <f t="shared" si="9"/>
        <v/>
      </c>
      <c r="DG64" s="103" t="str">
        <f>IFERROR(IF(AND(K64,W64,AI64,AU64,BG64,BS64,CE64,CQ64,DC64)="","",SUM(K64,W64,AI64,AU64,LARGE((BG64,BS64,CE64,CQ64,DC64),{1,2}))),"")</f>
        <v/>
      </c>
      <c r="DH64" s="103" t="str">
        <f>IFERROR(IF(AND(M64,Y64,AK64,AW64,,BI64,BU64,CG64,CS64,DE64)="","",SUM(M64,Y64,AK64,AW64,SMALL((BI64,BU64,CG64,CS64,DE64),{1,2}))),"")</f>
        <v/>
      </c>
      <c r="DI64" s="109" t="str">
        <f>IFERROR(IF(ISBLANK($D64),"",pos&amp;IF(AND(MOD(ABS(pos),100)&gt;10,MOD(ABS(pos),100)&lt;14),"th",CHOOSE(MOD(ABS(pos),10)+1,"th","st","nd","rd","th","th","th","th","th","th"))),"")</f>
        <v/>
      </c>
      <c r="DJ64" s="62">
        <f>ROWS($B$12:$B64)</f>
        <v>53</v>
      </c>
      <c r="DK64" s="62" t="str">
        <f>IF($B64=REPORT_CARD!$M$12,$DJ64,"")</f>
        <v/>
      </c>
      <c r="DL64" s="62"/>
      <c r="DM64" s="186"/>
    </row>
    <row r="65" spans="1:117" ht="19.5" customHeight="1">
      <c r="A65" s="187" t="str">
        <f>IFERROR(IF(ISBLANK(DATA!$A65),"",DATA!$A65),"")</f>
        <v/>
      </c>
      <c r="B65" s="187" t="str">
        <f>IFERROR(IF(ISBLANK(DATA!$B65),"",DATA!$B65),"")</f>
        <v/>
      </c>
      <c r="C65" s="190" t="str">
        <f>IFERROR(IF(ISBLANK(DATA!C65),"",DATA!C65),"")</f>
        <v/>
      </c>
      <c r="D65" s="190" t="str">
        <f>IFERROR(IF(ISBLANK(DATA!D65),"",DATA!D65),"")</f>
        <v/>
      </c>
      <c r="E65" s="190" t="str">
        <f>IFERROR(IF(ISBLANK(DATA!E65),"",DATA!E65),"")</f>
        <v/>
      </c>
      <c r="F65" s="190" t="str">
        <f>IFERROR(IF(ISBLANK(DATA!F65),"",DATA!F65),"")</f>
        <v/>
      </c>
      <c r="G65" s="97" t="str">
        <f t="shared" si="37"/>
        <v/>
      </c>
      <c r="H65" s="106" t="str">
        <f>IFERROR(IF(G65=0,"",ROUND((G65/SUM(SETTINGS!$L$14:$L$17))*SETTINGS!$L$18,0)),"")</f>
        <v/>
      </c>
      <c r="I65" s="190" t="str">
        <f>IFERROR(IF(ISBLANK(DATA!G65),"",DATA!G65),"")</f>
        <v/>
      </c>
      <c r="J65" s="106" t="str">
        <f>IFERROR(IF(ISBLANK(I65),"",ROUND((I65/SETTINGS!$L$19)*SETTINGS!$L$20,0)),"")</f>
        <v/>
      </c>
      <c r="K65" s="106" t="str">
        <f t="shared" si="10"/>
        <v/>
      </c>
      <c r="L65" s="103" t="str">
        <f t="shared" si="0"/>
        <v/>
      </c>
      <c r="M65" s="107" t="str">
        <f t="shared" si="11"/>
        <v/>
      </c>
      <c r="N65" s="136"/>
      <c r="O65" s="190" t="str">
        <f>IFERROR(IF(ISBLANK(DATA!I65),"",DATA!I65),"")</f>
        <v/>
      </c>
      <c r="P65" s="190" t="str">
        <f>IFERROR(IF(ISBLANK(DATA!J65),"",DATA!J65),"")</f>
        <v/>
      </c>
      <c r="Q65" s="190" t="str">
        <f>IFERROR(IF(ISBLANK(DATA!K65),"",DATA!K65),"")</f>
        <v/>
      </c>
      <c r="R65" s="190" t="str">
        <f>IFERROR(IF(ISBLANK(DATA!L65),"",DATA!L65),"")</f>
        <v/>
      </c>
      <c r="S65" s="97" t="str">
        <f t="shared" si="38"/>
        <v/>
      </c>
      <c r="T65" s="106" t="str">
        <f>IFERROR(IF(S65=0,"",ROUND((S65/SUM(SETTINGS!$L$14:$L$17))*SETTINGS!$L$18,0)),"")</f>
        <v/>
      </c>
      <c r="U65" s="190" t="str">
        <f>IFERROR(IF(ISBLANK(DATA!M65),"",DATA!M65),"")</f>
        <v/>
      </c>
      <c r="V65" s="106" t="str">
        <f>IFERROR(IF(ISBLANK(U65),"",ROUND((U65/SETTINGS!$L$19)*SETTINGS!$L$20,0)),"")</f>
        <v/>
      </c>
      <c r="W65" s="106" t="str">
        <f t="shared" si="13"/>
        <v/>
      </c>
      <c r="X65" s="103" t="str">
        <f t="shared" si="14"/>
        <v/>
      </c>
      <c r="Y65" s="107" t="str">
        <f t="shared" si="15"/>
        <v/>
      </c>
      <c r="Z65" s="130"/>
      <c r="AA65" s="190" t="str">
        <f>IFERROR(IF(ISBLANK(DATA!O65),"",DATA!O65),"")</f>
        <v/>
      </c>
      <c r="AB65" s="190" t="str">
        <f>IFERROR(IF(ISBLANK(DATA!P65),"",DATA!P65),"")</f>
        <v/>
      </c>
      <c r="AC65" s="190" t="str">
        <f>IFERROR(IF(ISBLANK(DATA!Q65),"",DATA!Q65),"")</f>
        <v/>
      </c>
      <c r="AD65" s="190" t="str">
        <f>IFERROR(IF(ISBLANK(DATA!R65),"",DATA!R65),"")</f>
        <v/>
      </c>
      <c r="AE65" s="97" t="str">
        <f t="shared" si="39"/>
        <v/>
      </c>
      <c r="AF65" s="106" t="str">
        <f>IFERROR(IF(AE65=0,"",ROUND((AE65/SUM(SETTINGS!$L$14:$L$17))*SETTINGS!$L$18,0)),"")</f>
        <v/>
      </c>
      <c r="AG65" s="190" t="str">
        <f>IFERROR(IF(ISBLANK(DATA!S65),"",DATA!S65),"")</f>
        <v/>
      </c>
      <c r="AH65" s="106" t="str">
        <f>IFERROR(IF(ISBLANK(AG65),"",ROUND((AG65/SETTINGS!$L$19)*SETTINGS!$L$20,0)),"")</f>
        <v/>
      </c>
      <c r="AI65" s="106" t="str">
        <f t="shared" si="17"/>
        <v/>
      </c>
      <c r="AJ65" s="103" t="str">
        <f t="shared" si="2"/>
        <v/>
      </c>
      <c r="AK65" s="108" t="str">
        <f t="shared" si="18"/>
        <v/>
      </c>
      <c r="AL65" s="130"/>
      <c r="AM65" s="190" t="str">
        <f>IFERROR(IF(ISBLANK(DATA!U65),"",DATA!U65),"")</f>
        <v/>
      </c>
      <c r="AN65" s="190" t="str">
        <f>IFERROR(IF(ISBLANK(DATA!V65),"",DATA!V65),"")</f>
        <v/>
      </c>
      <c r="AO65" s="190" t="str">
        <f>IFERROR(IF(ISBLANK(DATA!W65),"",DATA!W65),"")</f>
        <v/>
      </c>
      <c r="AP65" s="190" t="str">
        <f>IFERROR(IF(ISBLANK(DATA!X65),"",DATA!X65),"")</f>
        <v/>
      </c>
      <c r="AQ65" s="97" t="str">
        <f t="shared" si="19"/>
        <v/>
      </c>
      <c r="AR65" s="106" t="str">
        <f>IFERROR(IF(AQ65=0,"",ROUND((AQ65/SUM(SETTINGS!$L$14:$L$17))*SETTINGS!$L$18,0)),"")</f>
        <v/>
      </c>
      <c r="AS65" s="190" t="str">
        <f>IFERROR(IF(ISBLANK(DATA!Y65),"",DATA!Y65),"")</f>
        <v/>
      </c>
      <c r="AT65" s="106" t="str">
        <f>IFERROR(IF(ISBLANK(AS65),"",ROUND((AS65/SETTINGS!$L$19)*SETTINGS!$L$20,0)),"")</f>
        <v/>
      </c>
      <c r="AU65" s="106" t="str">
        <f t="shared" si="20"/>
        <v/>
      </c>
      <c r="AV65" s="103" t="str">
        <f t="shared" si="3"/>
        <v/>
      </c>
      <c r="AW65" s="107" t="str">
        <f t="shared" si="21"/>
        <v/>
      </c>
      <c r="AX65" s="130"/>
      <c r="AY65" s="190" t="str">
        <f>IFERROR(IF(ISBLANK(DATA!AA65),"",DATA!AA65),"")</f>
        <v/>
      </c>
      <c r="AZ65" s="190" t="str">
        <f>IFERROR(IF(ISBLANK(DATA!AB65),"",DATA!AB65),"")</f>
        <v/>
      </c>
      <c r="BA65" s="190" t="str">
        <f>IFERROR(IF(ISBLANK(DATA!AC65),"",DATA!AC65),"")</f>
        <v/>
      </c>
      <c r="BB65" s="190" t="str">
        <f>IFERROR(IF(ISBLANK(DATA!AD65),"",DATA!AD65),"")</f>
        <v/>
      </c>
      <c r="BC65" s="97" t="str">
        <f t="shared" si="22"/>
        <v/>
      </c>
      <c r="BD65" s="106" t="str">
        <f>IFERROR(IF(BC65=0,"",ROUND((BC65/SUM(SETTINGS!$L$14:$L$17))*SETTINGS!$L$18,0)),"")</f>
        <v/>
      </c>
      <c r="BE65" s="190" t="str">
        <f>IFERROR(IF(ISBLANK(DATA!AE65),"",DATA!AE65),"")</f>
        <v/>
      </c>
      <c r="BF65" s="106" t="str">
        <f>IFERROR(IF(ISBLANK(BE65),"",ROUND((BE65/SETTINGS!$L$19)*SETTINGS!$L$20,0)),"")</f>
        <v/>
      </c>
      <c r="BG65" s="106" t="str">
        <f t="shared" si="23"/>
        <v/>
      </c>
      <c r="BH65" s="103" t="str">
        <f t="shared" si="4"/>
        <v/>
      </c>
      <c r="BI65" s="108" t="str">
        <f t="shared" si="24"/>
        <v/>
      </c>
      <c r="BJ65" s="130"/>
      <c r="BK65" s="190" t="str">
        <f>IFERROR(IF(ISBLANK(DATA!AG65),"",DATA!AG65),"")</f>
        <v/>
      </c>
      <c r="BL65" s="190" t="str">
        <f>IFERROR(IF(ISBLANK(DATA!AH65),"",DATA!AH65),"")</f>
        <v/>
      </c>
      <c r="BM65" s="190" t="str">
        <f>IFERROR(IF(ISBLANK(DATA!AI65),"",DATA!AI65),"")</f>
        <v/>
      </c>
      <c r="BN65" s="190" t="str">
        <f>IFERROR(IF(ISBLANK(DATA!AJ65),"",DATA!AJ65),"")</f>
        <v/>
      </c>
      <c r="BO65" s="97" t="str">
        <f t="shared" si="25"/>
        <v/>
      </c>
      <c r="BP65" s="106" t="str">
        <f>IFERROR(IF(BO65=0,"",ROUND((BO65/SUM(SETTINGS!$L$14:$L$17))*SETTINGS!$L$18,0)),"")</f>
        <v/>
      </c>
      <c r="BQ65" s="190" t="str">
        <f>IFERROR(IF(ISBLANK(DATA!AK65),"",DATA!AK65),"")</f>
        <v/>
      </c>
      <c r="BR65" s="106" t="str">
        <f>IFERROR(IF(ISBLANK(BQ65),"",ROUND((BQ65/SETTINGS!$L$19)*SETTINGS!$L$20,0)),"")</f>
        <v/>
      </c>
      <c r="BS65" s="106" t="str">
        <f t="shared" si="26"/>
        <v/>
      </c>
      <c r="BT65" s="103" t="str">
        <f t="shared" si="5"/>
        <v/>
      </c>
      <c r="BU65" s="107" t="str">
        <f t="shared" si="27"/>
        <v/>
      </c>
      <c r="BV65" s="130"/>
      <c r="BW65" s="190" t="str">
        <f>IFERROR(IF(ISBLANK(DATA!AM65),"",DATA!AM65),"")</f>
        <v/>
      </c>
      <c r="BX65" s="190" t="str">
        <f>IFERROR(IF(ISBLANK(DATA!AN65),"",DATA!AN65),"")</f>
        <v/>
      </c>
      <c r="BY65" s="190" t="str">
        <f>IFERROR(IF(ISBLANK(DATA!AO65),"",DATA!AO65),"")</f>
        <v/>
      </c>
      <c r="BZ65" s="190" t="str">
        <f>IFERROR(IF(ISBLANK(DATA!AP65),"",DATA!AP65),"")</f>
        <v/>
      </c>
      <c r="CA65" s="97" t="str">
        <f t="shared" si="28"/>
        <v/>
      </c>
      <c r="CB65" s="106" t="str">
        <f>IFERROR(IF(CA65=0,"",ROUND((CA65/SUM(SETTINGS!$L$14:$L$17))*SETTINGS!$L$18,0)),"")</f>
        <v/>
      </c>
      <c r="CC65" s="190" t="str">
        <f>IFERROR(IF(ISBLANK(DATA!AQ65),"",DATA!AQ65),"")</f>
        <v/>
      </c>
      <c r="CD65" s="106" t="str">
        <f>IFERROR(IF(ISBLANK(CC65),"",ROUND((CC65/SETTINGS!$L$19)*SETTINGS!$L$20,0)),"")</f>
        <v/>
      </c>
      <c r="CE65" s="106" t="str">
        <f t="shared" si="29"/>
        <v/>
      </c>
      <c r="CF65" s="103" t="str">
        <f t="shared" si="6"/>
        <v/>
      </c>
      <c r="CG65" s="107" t="str">
        <f t="shared" si="30"/>
        <v/>
      </c>
      <c r="CH65" s="130"/>
      <c r="CI65" s="190" t="str">
        <f>IFERROR(IF(ISBLANK(DATA!AS65),"",DATA!AS65),"")</f>
        <v/>
      </c>
      <c r="CJ65" s="190" t="str">
        <f>IFERROR(IF(ISBLANK(DATA!AT65),"",DATA!AT65),"")</f>
        <v/>
      </c>
      <c r="CK65" s="190" t="str">
        <f>IFERROR(IF(ISBLANK(DATA!AU65),"",DATA!AU65),"")</f>
        <v/>
      </c>
      <c r="CL65" s="190" t="str">
        <f>IFERROR(IF(ISBLANK(DATA!AV65),"",DATA!AV65),"")</f>
        <v/>
      </c>
      <c r="CM65" s="97" t="str">
        <f t="shared" si="31"/>
        <v/>
      </c>
      <c r="CN65" s="106" t="str">
        <f>IFERROR(IF(CM65=0,"",ROUND((CM65/SUM(SETTINGS!$L$14:$L$17))*SETTINGS!$L$18,0)),"")</f>
        <v/>
      </c>
      <c r="CO65" s="190" t="str">
        <f>IFERROR(IF(ISBLANK(DATA!AW65),"",DATA!AW65),"")</f>
        <v/>
      </c>
      <c r="CP65" s="106" t="str">
        <f>IFERROR(IF(ISBLANK(CO65),"",ROUND((CO65/SETTINGS!$L$19)*SETTINGS!$L$20,0)),"")</f>
        <v/>
      </c>
      <c r="CQ65" s="106" t="str">
        <f t="shared" si="32"/>
        <v/>
      </c>
      <c r="CR65" s="103" t="str">
        <f t="shared" si="7"/>
        <v/>
      </c>
      <c r="CS65" s="107" t="str">
        <f t="shared" si="33"/>
        <v/>
      </c>
      <c r="CT65" s="130"/>
      <c r="CU65" s="190" t="str">
        <f>IFERROR(IF(ISBLANK(DATA!AY65),"",DATA!AY65),"")</f>
        <v/>
      </c>
      <c r="CV65" s="190" t="str">
        <f>IFERROR(IF(ISBLANK(DATA!AZ65),"",DATA!AZ65),"")</f>
        <v/>
      </c>
      <c r="CW65" s="190" t="str">
        <f>IFERROR(IF(ISBLANK(DATA!BA65),"",DATA!BA65),"")</f>
        <v/>
      </c>
      <c r="CX65" s="190" t="str">
        <f>IFERROR(IF(ISBLANK(DATA!BB65),"",DATA!BB65),"")</f>
        <v/>
      </c>
      <c r="CY65" s="97" t="str">
        <f t="shared" si="34"/>
        <v/>
      </c>
      <c r="CZ65" s="106" t="str">
        <f>IFERROR(IF(CY65=0,"",ROUND((CY65/SUM(SETTINGS!$L$14:$L$17))*SETTINGS!$L$18,0)),"")</f>
        <v/>
      </c>
      <c r="DA65" s="190" t="str">
        <f>IFERROR(IF(ISBLANK(DATA!BC65),"",DATA!BC65),"")</f>
        <v/>
      </c>
      <c r="DB65" s="106" t="str">
        <f>IFERROR(IF(ISBLANK(DA65),"",ROUND((DA65/SETTINGS!$L$19)*SETTINGS!$L$20,0)),"")</f>
        <v/>
      </c>
      <c r="DC65" s="106" t="str">
        <f t="shared" si="35"/>
        <v/>
      </c>
      <c r="DD65" s="103" t="str">
        <f t="shared" si="8"/>
        <v/>
      </c>
      <c r="DE65" s="107" t="str">
        <f t="shared" si="36"/>
        <v/>
      </c>
      <c r="DF65" s="103" t="str">
        <f t="shared" si="9"/>
        <v/>
      </c>
      <c r="DG65" s="103" t="str">
        <f>IFERROR(IF(AND(K65,W65,AI65,AU65,BG65,BS65,CE65,CQ65,DC65)="","",SUM(K65,W65,AI65,AU65,LARGE((BG65,BS65,CE65,CQ65,DC65),{1,2}))),"")</f>
        <v/>
      </c>
      <c r="DH65" s="103" t="str">
        <f>IFERROR(IF(AND(M65,Y65,AK65,AW65,,BI65,BU65,CG65,CS65,DE65)="","",SUM(M65,Y65,AK65,AW65,SMALL((BI65,BU65,CG65,CS65,DE65),{1,2}))),"")</f>
        <v/>
      </c>
      <c r="DI65" s="109" t="str">
        <f>IFERROR(IF(ISBLANK($D65),"",pos&amp;IF(AND(MOD(ABS(pos),100)&gt;10,MOD(ABS(pos),100)&lt;14),"th",CHOOSE(MOD(ABS(pos),10)+1,"th","st","nd","rd","th","th","th","th","th","th"))),"")</f>
        <v/>
      </c>
      <c r="DJ65" s="62">
        <f>ROWS($B$12:$B65)</f>
        <v>54</v>
      </c>
      <c r="DK65" s="62" t="str">
        <f>IF($B65=REPORT_CARD!$M$12,$DJ65,"")</f>
        <v/>
      </c>
      <c r="DL65" s="62"/>
      <c r="DM65" s="186"/>
    </row>
    <row r="66" spans="1:117" ht="19.5" customHeight="1">
      <c r="A66" s="187" t="str">
        <f>IFERROR(IF(ISBLANK(DATA!$A66),"",DATA!$A66),"")</f>
        <v/>
      </c>
      <c r="B66" s="187" t="str">
        <f>IFERROR(IF(ISBLANK(DATA!$B66),"",DATA!$B66),"")</f>
        <v/>
      </c>
      <c r="C66" s="190" t="str">
        <f>IFERROR(IF(ISBLANK(DATA!C66),"",DATA!C66),"")</f>
        <v/>
      </c>
      <c r="D66" s="190" t="str">
        <f>IFERROR(IF(ISBLANK(DATA!D66),"",DATA!D66),"")</f>
        <v/>
      </c>
      <c r="E66" s="190" t="str">
        <f>IFERROR(IF(ISBLANK(DATA!E66),"",DATA!E66),"")</f>
        <v/>
      </c>
      <c r="F66" s="190" t="str">
        <f>IFERROR(IF(ISBLANK(DATA!F66),"",DATA!F66),"")</f>
        <v/>
      </c>
      <c r="G66" s="97" t="str">
        <f t="shared" si="37"/>
        <v/>
      </c>
      <c r="H66" s="106" t="str">
        <f>IFERROR(IF(G66=0,"",ROUND((G66/SUM(SETTINGS!$L$14:$L$17))*SETTINGS!$L$18,0)),"")</f>
        <v/>
      </c>
      <c r="I66" s="190" t="str">
        <f>IFERROR(IF(ISBLANK(DATA!G66),"",DATA!G66),"")</f>
        <v/>
      </c>
      <c r="J66" s="106" t="str">
        <f>IFERROR(IF(ISBLANK(I66),"",ROUND((I66/SETTINGS!$L$19)*SETTINGS!$L$20,0)),"")</f>
        <v/>
      </c>
      <c r="K66" s="106" t="str">
        <f t="shared" si="10"/>
        <v/>
      </c>
      <c r="L66" s="103" t="str">
        <f t="shared" si="0"/>
        <v/>
      </c>
      <c r="M66" s="107" t="str">
        <f t="shared" si="11"/>
        <v/>
      </c>
      <c r="N66" s="136"/>
      <c r="O66" s="190" t="str">
        <f>IFERROR(IF(ISBLANK(DATA!I66),"",DATA!I66),"")</f>
        <v/>
      </c>
      <c r="P66" s="190" t="str">
        <f>IFERROR(IF(ISBLANK(DATA!J66),"",DATA!J66),"")</f>
        <v/>
      </c>
      <c r="Q66" s="190" t="str">
        <f>IFERROR(IF(ISBLANK(DATA!K66),"",DATA!K66),"")</f>
        <v/>
      </c>
      <c r="R66" s="190" t="str">
        <f>IFERROR(IF(ISBLANK(DATA!L66),"",DATA!L66),"")</f>
        <v/>
      </c>
      <c r="S66" s="97" t="str">
        <f t="shared" si="38"/>
        <v/>
      </c>
      <c r="T66" s="106" t="str">
        <f>IFERROR(IF(S66=0,"",ROUND((S66/SUM(SETTINGS!$L$14:$L$17))*SETTINGS!$L$18,0)),"")</f>
        <v/>
      </c>
      <c r="U66" s="190" t="str">
        <f>IFERROR(IF(ISBLANK(DATA!M66),"",DATA!M66),"")</f>
        <v/>
      </c>
      <c r="V66" s="106" t="str">
        <f>IFERROR(IF(ISBLANK(U66),"",ROUND((U66/SETTINGS!$L$19)*SETTINGS!$L$20,0)),"")</f>
        <v/>
      </c>
      <c r="W66" s="106" t="str">
        <f t="shared" si="13"/>
        <v/>
      </c>
      <c r="X66" s="103" t="str">
        <f t="shared" si="14"/>
        <v/>
      </c>
      <c r="Y66" s="107" t="str">
        <f t="shared" si="15"/>
        <v/>
      </c>
      <c r="Z66" s="130"/>
      <c r="AA66" s="190" t="str">
        <f>IFERROR(IF(ISBLANK(DATA!O66),"",DATA!O66),"")</f>
        <v/>
      </c>
      <c r="AB66" s="190" t="str">
        <f>IFERROR(IF(ISBLANK(DATA!P66),"",DATA!P66),"")</f>
        <v/>
      </c>
      <c r="AC66" s="190" t="str">
        <f>IFERROR(IF(ISBLANK(DATA!Q66),"",DATA!Q66),"")</f>
        <v/>
      </c>
      <c r="AD66" s="190" t="str">
        <f>IFERROR(IF(ISBLANK(DATA!R66),"",DATA!R66),"")</f>
        <v/>
      </c>
      <c r="AE66" s="97" t="str">
        <f t="shared" si="39"/>
        <v/>
      </c>
      <c r="AF66" s="106" t="str">
        <f>IFERROR(IF(AE66=0,"",ROUND((AE66/SUM(SETTINGS!$L$14:$L$17))*SETTINGS!$L$18,0)),"")</f>
        <v/>
      </c>
      <c r="AG66" s="190" t="str">
        <f>IFERROR(IF(ISBLANK(DATA!S66),"",DATA!S66),"")</f>
        <v/>
      </c>
      <c r="AH66" s="106" t="str">
        <f>IFERROR(IF(ISBLANK(AG66),"",ROUND((AG66/SETTINGS!$L$19)*SETTINGS!$L$20,0)),"")</f>
        <v/>
      </c>
      <c r="AI66" s="106" t="str">
        <f t="shared" si="17"/>
        <v/>
      </c>
      <c r="AJ66" s="103" t="str">
        <f t="shared" si="2"/>
        <v/>
      </c>
      <c r="AK66" s="108" t="str">
        <f t="shared" si="18"/>
        <v/>
      </c>
      <c r="AL66" s="130"/>
      <c r="AM66" s="190" t="str">
        <f>IFERROR(IF(ISBLANK(DATA!U66),"",DATA!U66),"")</f>
        <v/>
      </c>
      <c r="AN66" s="190" t="str">
        <f>IFERROR(IF(ISBLANK(DATA!V66),"",DATA!V66),"")</f>
        <v/>
      </c>
      <c r="AO66" s="190" t="str">
        <f>IFERROR(IF(ISBLANK(DATA!W66),"",DATA!W66),"")</f>
        <v/>
      </c>
      <c r="AP66" s="190" t="str">
        <f>IFERROR(IF(ISBLANK(DATA!X66),"",DATA!X66),"")</f>
        <v/>
      </c>
      <c r="AQ66" s="97" t="str">
        <f t="shared" si="19"/>
        <v/>
      </c>
      <c r="AR66" s="106" t="str">
        <f>IFERROR(IF(AQ66=0,"",ROUND((AQ66/SUM(SETTINGS!$L$14:$L$17))*SETTINGS!$L$18,0)),"")</f>
        <v/>
      </c>
      <c r="AS66" s="190" t="str">
        <f>IFERROR(IF(ISBLANK(DATA!Y66),"",DATA!Y66),"")</f>
        <v/>
      </c>
      <c r="AT66" s="106" t="str">
        <f>IFERROR(IF(ISBLANK(AS66),"",ROUND((AS66/SETTINGS!$L$19)*SETTINGS!$L$20,0)),"")</f>
        <v/>
      </c>
      <c r="AU66" s="106" t="str">
        <f t="shared" si="20"/>
        <v/>
      </c>
      <c r="AV66" s="103" t="str">
        <f t="shared" si="3"/>
        <v/>
      </c>
      <c r="AW66" s="107" t="str">
        <f t="shared" si="21"/>
        <v/>
      </c>
      <c r="AX66" s="130"/>
      <c r="AY66" s="190" t="str">
        <f>IFERROR(IF(ISBLANK(DATA!AA66),"",DATA!AA66),"")</f>
        <v/>
      </c>
      <c r="AZ66" s="190" t="str">
        <f>IFERROR(IF(ISBLANK(DATA!AB66),"",DATA!AB66),"")</f>
        <v/>
      </c>
      <c r="BA66" s="190" t="str">
        <f>IFERROR(IF(ISBLANK(DATA!AC66),"",DATA!AC66),"")</f>
        <v/>
      </c>
      <c r="BB66" s="190" t="str">
        <f>IFERROR(IF(ISBLANK(DATA!AD66),"",DATA!AD66),"")</f>
        <v/>
      </c>
      <c r="BC66" s="97" t="str">
        <f t="shared" si="22"/>
        <v/>
      </c>
      <c r="BD66" s="106" t="str">
        <f>IFERROR(IF(BC66=0,"",ROUND((BC66/SUM(SETTINGS!$L$14:$L$17))*SETTINGS!$L$18,0)),"")</f>
        <v/>
      </c>
      <c r="BE66" s="190" t="str">
        <f>IFERROR(IF(ISBLANK(DATA!AE66),"",DATA!AE66),"")</f>
        <v/>
      </c>
      <c r="BF66" s="106" t="str">
        <f>IFERROR(IF(ISBLANK(BE66),"",ROUND((BE66/SETTINGS!$L$19)*SETTINGS!$L$20,0)),"")</f>
        <v/>
      </c>
      <c r="BG66" s="106" t="str">
        <f t="shared" si="23"/>
        <v/>
      </c>
      <c r="BH66" s="103" t="str">
        <f t="shared" si="4"/>
        <v/>
      </c>
      <c r="BI66" s="108" t="str">
        <f t="shared" si="24"/>
        <v/>
      </c>
      <c r="BJ66" s="130"/>
      <c r="BK66" s="190" t="str">
        <f>IFERROR(IF(ISBLANK(DATA!AG66),"",DATA!AG66),"")</f>
        <v/>
      </c>
      <c r="BL66" s="190" t="str">
        <f>IFERROR(IF(ISBLANK(DATA!AH66),"",DATA!AH66),"")</f>
        <v/>
      </c>
      <c r="BM66" s="190" t="str">
        <f>IFERROR(IF(ISBLANK(DATA!AI66),"",DATA!AI66),"")</f>
        <v/>
      </c>
      <c r="BN66" s="190" t="str">
        <f>IFERROR(IF(ISBLANK(DATA!AJ66),"",DATA!AJ66),"")</f>
        <v/>
      </c>
      <c r="BO66" s="97" t="str">
        <f t="shared" si="25"/>
        <v/>
      </c>
      <c r="BP66" s="106" t="str">
        <f>IFERROR(IF(BO66=0,"",ROUND((BO66/SUM(SETTINGS!$L$14:$L$17))*SETTINGS!$L$18,0)),"")</f>
        <v/>
      </c>
      <c r="BQ66" s="190" t="str">
        <f>IFERROR(IF(ISBLANK(DATA!AK66),"",DATA!AK66),"")</f>
        <v/>
      </c>
      <c r="BR66" s="106" t="str">
        <f>IFERROR(IF(ISBLANK(BQ66),"",ROUND((BQ66/SETTINGS!$L$19)*SETTINGS!$L$20,0)),"")</f>
        <v/>
      </c>
      <c r="BS66" s="106" t="str">
        <f t="shared" si="26"/>
        <v/>
      </c>
      <c r="BT66" s="103" t="str">
        <f t="shared" si="5"/>
        <v/>
      </c>
      <c r="BU66" s="107" t="str">
        <f t="shared" si="27"/>
        <v/>
      </c>
      <c r="BV66" s="130"/>
      <c r="BW66" s="190" t="str">
        <f>IFERROR(IF(ISBLANK(DATA!AM66),"",DATA!AM66),"")</f>
        <v/>
      </c>
      <c r="BX66" s="190" t="str">
        <f>IFERROR(IF(ISBLANK(DATA!AN66),"",DATA!AN66),"")</f>
        <v/>
      </c>
      <c r="BY66" s="190" t="str">
        <f>IFERROR(IF(ISBLANK(DATA!AO66),"",DATA!AO66),"")</f>
        <v/>
      </c>
      <c r="BZ66" s="190" t="str">
        <f>IFERROR(IF(ISBLANK(DATA!AP66),"",DATA!AP66),"")</f>
        <v/>
      </c>
      <c r="CA66" s="97" t="str">
        <f t="shared" si="28"/>
        <v/>
      </c>
      <c r="CB66" s="106" t="str">
        <f>IFERROR(IF(CA66=0,"",ROUND((CA66/SUM(SETTINGS!$L$14:$L$17))*SETTINGS!$L$18,0)),"")</f>
        <v/>
      </c>
      <c r="CC66" s="190" t="str">
        <f>IFERROR(IF(ISBLANK(DATA!AQ66),"",DATA!AQ66),"")</f>
        <v/>
      </c>
      <c r="CD66" s="106" t="str">
        <f>IFERROR(IF(ISBLANK(CC66),"",ROUND((CC66/SETTINGS!$L$19)*SETTINGS!$L$20,0)),"")</f>
        <v/>
      </c>
      <c r="CE66" s="106" t="str">
        <f t="shared" si="29"/>
        <v/>
      </c>
      <c r="CF66" s="103" t="str">
        <f t="shared" si="6"/>
        <v/>
      </c>
      <c r="CG66" s="107" t="str">
        <f t="shared" si="30"/>
        <v/>
      </c>
      <c r="CH66" s="130"/>
      <c r="CI66" s="190" t="str">
        <f>IFERROR(IF(ISBLANK(DATA!AS66),"",DATA!AS66),"")</f>
        <v/>
      </c>
      <c r="CJ66" s="190" t="str">
        <f>IFERROR(IF(ISBLANK(DATA!AT66),"",DATA!AT66),"")</f>
        <v/>
      </c>
      <c r="CK66" s="190" t="str">
        <f>IFERROR(IF(ISBLANK(DATA!AU66),"",DATA!AU66),"")</f>
        <v/>
      </c>
      <c r="CL66" s="190" t="str">
        <f>IFERROR(IF(ISBLANK(DATA!AV66),"",DATA!AV66),"")</f>
        <v/>
      </c>
      <c r="CM66" s="97" t="str">
        <f t="shared" si="31"/>
        <v/>
      </c>
      <c r="CN66" s="106" t="str">
        <f>IFERROR(IF(CM66=0,"",ROUND((CM66/SUM(SETTINGS!$L$14:$L$17))*SETTINGS!$L$18,0)),"")</f>
        <v/>
      </c>
      <c r="CO66" s="190" t="str">
        <f>IFERROR(IF(ISBLANK(DATA!AW66),"",DATA!AW66),"")</f>
        <v/>
      </c>
      <c r="CP66" s="106" t="str">
        <f>IFERROR(IF(ISBLANK(CO66),"",ROUND((CO66/SETTINGS!$L$19)*SETTINGS!$L$20,0)),"")</f>
        <v/>
      </c>
      <c r="CQ66" s="106" t="str">
        <f t="shared" si="32"/>
        <v/>
      </c>
      <c r="CR66" s="103" t="str">
        <f t="shared" si="7"/>
        <v/>
      </c>
      <c r="CS66" s="107" t="str">
        <f t="shared" si="33"/>
        <v/>
      </c>
      <c r="CT66" s="130"/>
      <c r="CU66" s="190" t="str">
        <f>IFERROR(IF(ISBLANK(DATA!AY66),"",DATA!AY66),"")</f>
        <v/>
      </c>
      <c r="CV66" s="190" t="str">
        <f>IFERROR(IF(ISBLANK(DATA!AZ66),"",DATA!AZ66),"")</f>
        <v/>
      </c>
      <c r="CW66" s="190" t="str">
        <f>IFERROR(IF(ISBLANK(DATA!BA66),"",DATA!BA66),"")</f>
        <v/>
      </c>
      <c r="CX66" s="190" t="str">
        <f>IFERROR(IF(ISBLANK(DATA!BB66),"",DATA!BB66),"")</f>
        <v/>
      </c>
      <c r="CY66" s="97" t="str">
        <f t="shared" si="34"/>
        <v/>
      </c>
      <c r="CZ66" s="106" t="str">
        <f>IFERROR(IF(CY66=0,"",ROUND((CY66/SUM(SETTINGS!$L$14:$L$17))*SETTINGS!$L$18,0)),"")</f>
        <v/>
      </c>
      <c r="DA66" s="190" t="str">
        <f>IFERROR(IF(ISBLANK(DATA!BC66),"",DATA!BC66),"")</f>
        <v/>
      </c>
      <c r="DB66" s="106" t="str">
        <f>IFERROR(IF(ISBLANK(DA66),"",ROUND((DA66/SETTINGS!$L$19)*SETTINGS!$L$20,0)),"")</f>
        <v/>
      </c>
      <c r="DC66" s="106" t="str">
        <f t="shared" si="35"/>
        <v/>
      </c>
      <c r="DD66" s="103" t="str">
        <f t="shared" si="8"/>
        <v/>
      </c>
      <c r="DE66" s="107" t="str">
        <f t="shared" si="36"/>
        <v/>
      </c>
      <c r="DF66" s="103" t="str">
        <f t="shared" si="9"/>
        <v/>
      </c>
      <c r="DG66" s="103" t="str">
        <f>IFERROR(IF(AND(K66,W66,AI66,AU66,BG66,BS66,CE66,CQ66,DC66)="","",SUM(K66,W66,AI66,AU66,LARGE((BG66,BS66,CE66,CQ66,DC66),{1,2}))),"")</f>
        <v/>
      </c>
      <c r="DH66" s="103" t="str">
        <f>IFERROR(IF(AND(M66,Y66,AK66,AW66,,BI66,BU66,CG66,CS66,DE66)="","",SUM(M66,Y66,AK66,AW66,SMALL((BI66,BU66,CG66,CS66,DE66),{1,2}))),"")</f>
        <v/>
      </c>
      <c r="DI66" s="109" t="str">
        <f>IFERROR(IF(ISBLANK($D66),"",pos&amp;IF(AND(MOD(ABS(pos),100)&gt;10,MOD(ABS(pos),100)&lt;14),"th",CHOOSE(MOD(ABS(pos),10)+1,"th","st","nd","rd","th","th","th","th","th","th"))),"")</f>
        <v/>
      </c>
      <c r="DJ66" s="62">
        <f>ROWS($B$12:$B66)</f>
        <v>55</v>
      </c>
      <c r="DK66" s="62" t="str">
        <f>IF($B66=REPORT_CARD!$M$12,$DJ66,"")</f>
        <v/>
      </c>
      <c r="DL66" s="62"/>
      <c r="DM66" s="186"/>
    </row>
    <row r="67" spans="1:117" ht="19.5" customHeight="1">
      <c r="A67" s="187" t="str">
        <f>IFERROR(IF(ISBLANK(DATA!$A67),"",DATA!$A67),"")</f>
        <v/>
      </c>
      <c r="B67" s="187" t="str">
        <f>IFERROR(IF(ISBLANK(DATA!$B67),"",DATA!$B67),"")</f>
        <v/>
      </c>
      <c r="C67" s="190" t="str">
        <f>IFERROR(IF(ISBLANK(DATA!C67),"",DATA!C67),"")</f>
        <v/>
      </c>
      <c r="D67" s="190" t="str">
        <f>IFERROR(IF(ISBLANK(DATA!D67),"",DATA!D67),"")</f>
        <v/>
      </c>
      <c r="E67" s="190" t="str">
        <f>IFERROR(IF(ISBLANK(DATA!E67),"",DATA!E67),"")</f>
        <v/>
      </c>
      <c r="F67" s="190" t="str">
        <f>IFERROR(IF(ISBLANK(DATA!F67),"",DATA!F67),"")</f>
        <v/>
      </c>
      <c r="G67" s="97" t="str">
        <f t="shared" si="37"/>
        <v/>
      </c>
      <c r="H67" s="106" t="str">
        <f>IFERROR(IF(G67=0,"",ROUND((G67/SUM(SETTINGS!$L$14:$L$17))*SETTINGS!$L$18,0)),"")</f>
        <v/>
      </c>
      <c r="I67" s="190" t="str">
        <f>IFERROR(IF(ISBLANK(DATA!G67),"",DATA!G67),"")</f>
        <v/>
      </c>
      <c r="J67" s="106" t="str">
        <f>IFERROR(IF(ISBLANK(I67),"",ROUND((I67/SETTINGS!$L$19)*SETTINGS!$L$20,0)),"")</f>
        <v/>
      </c>
      <c r="K67" s="106" t="str">
        <f t="shared" si="10"/>
        <v/>
      </c>
      <c r="L67" s="103" t="str">
        <f t="shared" si="0"/>
        <v/>
      </c>
      <c r="M67" s="107" t="str">
        <f t="shared" si="11"/>
        <v/>
      </c>
      <c r="N67" s="136"/>
      <c r="O67" s="190" t="str">
        <f>IFERROR(IF(ISBLANK(DATA!I67),"",DATA!I67),"")</f>
        <v/>
      </c>
      <c r="P67" s="190" t="str">
        <f>IFERROR(IF(ISBLANK(DATA!J67),"",DATA!J67),"")</f>
        <v/>
      </c>
      <c r="Q67" s="190" t="str">
        <f>IFERROR(IF(ISBLANK(DATA!K67),"",DATA!K67),"")</f>
        <v/>
      </c>
      <c r="R67" s="190" t="str">
        <f>IFERROR(IF(ISBLANK(DATA!L67),"",DATA!L67),"")</f>
        <v/>
      </c>
      <c r="S67" s="97" t="str">
        <f t="shared" si="38"/>
        <v/>
      </c>
      <c r="T67" s="106" t="str">
        <f>IFERROR(IF(S67=0,"",ROUND((S67/SUM(SETTINGS!$L$14:$L$17))*SETTINGS!$L$18,0)),"")</f>
        <v/>
      </c>
      <c r="U67" s="190" t="str">
        <f>IFERROR(IF(ISBLANK(DATA!M67),"",DATA!M67),"")</f>
        <v/>
      </c>
      <c r="V67" s="106" t="str">
        <f>IFERROR(IF(ISBLANK(U67),"",ROUND((U67/SETTINGS!$L$19)*SETTINGS!$L$20,0)),"")</f>
        <v/>
      </c>
      <c r="W67" s="106" t="str">
        <f t="shared" si="13"/>
        <v/>
      </c>
      <c r="X67" s="103" t="str">
        <f t="shared" si="14"/>
        <v/>
      </c>
      <c r="Y67" s="107" t="str">
        <f t="shared" si="15"/>
        <v/>
      </c>
      <c r="Z67" s="130"/>
      <c r="AA67" s="190" t="str">
        <f>IFERROR(IF(ISBLANK(DATA!O67),"",DATA!O67),"")</f>
        <v/>
      </c>
      <c r="AB67" s="190" t="str">
        <f>IFERROR(IF(ISBLANK(DATA!P67),"",DATA!P67),"")</f>
        <v/>
      </c>
      <c r="AC67" s="190" t="str">
        <f>IFERROR(IF(ISBLANK(DATA!Q67),"",DATA!Q67),"")</f>
        <v/>
      </c>
      <c r="AD67" s="190" t="str">
        <f>IFERROR(IF(ISBLANK(DATA!R67),"",DATA!R67),"")</f>
        <v/>
      </c>
      <c r="AE67" s="97" t="str">
        <f t="shared" si="39"/>
        <v/>
      </c>
      <c r="AF67" s="106" t="str">
        <f>IFERROR(IF(AE67=0,"",ROUND((AE67/SUM(SETTINGS!$L$14:$L$17))*SETTINGS!$L$18,0)),"")</f>
        <v/>
      </c>
      <c r="AG67" s="190" t="str">
        <f>IFERROR(IF(ISBLANK(DATA!S67),"",DATA!S67),"")</f>
        <v/>
      </c>
      <c r="AH67" s="106" t="str">
        <f>IFERROR(IF(ISBLANK(AG67),"",ROUND((AG67/SETTINGS!$L$19)*SETTINGS!$L$20,0)),"")</f>
        <v/>
      </c>
      <c r="AI67" s="106" t="str">
        <f t="shared" si="17"/>
        <v/>
      </c>
      <c r="AJ67" s="103" t="str">
        <f t="shared" si="2"/>
        <v/>
      </c>
      <c r="AK67" s="108" t="str">
        <f t="shared" si="18"/>
        <v/>
      </c>
      <c r="AL67" s="130"/>
      <c r="AM67" s="190" t="str">
        <f>IFERROR(IF(ISBLANK(DATA!U67),"",DATA!U67),"")</f>
        <v/>
      </c>
      <c r="AN67" s="190" t="str">
        <f>IFERROR(IF(ISBLANK(DATA!V67),"",DATA!V67),"")</f>
        <v/>
      </c>
      <c r="AO67" s="190" t="str">
        <f>IFERROR(IF(ISBLANK(DATA!W67),"",DATA!W67),"")</f>
        <v/>
      </c>
      <c r="AP67" s="190" t="str">
        <f>IFERROR(IF(ISBLANK(DATA!X67),"",DATA!X67),"")</f>
        <v/>
      </c>
      <c r="AQ67" s="97" t="str">
        <f t="shared" si="19"/>
        <v/>
      </c>
      <c r="AR67" s="106" t="str">
        <f>IFERROR(IF(AQ67=0,"",ROUND((AQ67/SUM(SETTINGS!$L$14:$L$17))*SETTINGS!$L$18,0)),"")</f>
        <v/>
      </c>
      <c r="AS67" s="190" t="str">
        <f>IFERROR(IF(ISBLANK(DATA!Y67),"",DATA!Y67),"")</f>
        <v/>
      </c>
      <c r="AT67" s="106" t="str">
        <f>IFERROR(IF(ISBLANK(AS67),"",ROUND((AS67/SETTINGS!$L$19)*SETTINGS!$L$20,0)),"")</f>
        <v/>
      </c>
      <c r="AU67" s="106" t="str">
        <f t="shared" si="20"/>
        <v/>
      </c>
      <c r="AV67" s="103" t="str">
        <f t="shared" si="3"/>
        <v/>
      </c>
      <c r="AW67" s="107" t="str">
        <f t="shared" si="21"/>
        <v/>
      </c>
      <c r="AX67" s="130"/>
      <c r="AY67" s="190" t="str">
        <f>IFERROR(IF(ISBLANK(DATA!AA67),"",DATA!AA67),"")</f>
        <v/>
      </c>
      <c r="AZ67" s="190" t="str">
        <f>IFERROR(IF(ISBLANK(DATA!AB67),"",DATA!AB67),"")</f>
        <v/>
      </c>
      <c r="BA67" s="190" t="str">
        <f>IFERROR(IF(ISBLANK(DATA!AC67),"",DATA!AC67),"")</f>
        <v/>
      </c>
      <c r="BB67" s="190" t="str">
        <f>IFERROR(IF(ISBLANK(DATA!AD67),"",DATA!AD67),"")</f>
        <v/>
      </c>
      <c r="BC67" s="97" t="str">
        <f t="shared" si="22"/>
        <v/>
      </c>
      <c r="BD67" s="106" t="str">
        <f>IFERROR(IF(BC67=0,"",ROUND((BC67/SUM(SETTINGS!$L$14:$L$17))*SETTINGS!$L$18,0)),"")</f>
        <v/>
      </c>
      <c r="BE67" s="190" t="str">
        <f>IFERROR(IF(ISBLANK(DATA!AE67),"",DATA!AE67),"")</f>
        <v/>
      </c>
      <c r="BF67" s="106" t="str">
        <f>IFERROR(IF(ISBLANK(BE67),"",ROUND((BE67/SETTINGS!$L$19)*SETTINGS!$L$20,0)),"")</f>
        <v/>
      </c>
      <c r="BG67" s="106" t="str">
        <f t="shared" si="23"/>
        <v/>
      </c>
      <c r="BH67" s="103" t="str">
        <f t="shared" si="4"/>
        <v/>
      </c>
      <c r="BI67" s="108" t="str">
        <f t="shared" si="24"/>
        <v/>
      </c>
      <c r="BJ67" s="130"/>
      <c r="BK67" s="190" t="str">
        <f>IFERROR(IF(ISBLANK(DATA!AG67),"",DATA!AG67),"")</f>
        <v/>
      </c>
      <c r="BL67" s="190" t="str">
        <f>IFERROR(IF(ISBLANK(DATA!AH67),"",DATA!AH67),"")</f>
        <v/>
      </c>
      <c r="BM67" s="190" t="str">
        <f>IFERROR(IF(ISBLANK(DATA!AI67),"",DATA!AI67),"")</f>
        <v/>
      </c>
      <c r="BN67" s="190" t="str">
        <f>IFERROR(IF(ISBLANK(DATA!AJ67),"",DATA!AJ67),"")</f>
        <v/>
      </c>
      <c r="BO67" s="97" t="str">
        <f t="shared" si="25"/>
        <v/>
      </c>
      <c r="BP67" s="106" t="str">
        <f>IFERROR(IF(BO67=0,"",ROUND((BO67/SUM(SETTINGS!$L$14:$L$17))*SETTINGS!$L$18,0)),"")</f>
        <v/>
      </c>
      <c r="BQ67" s="190" t="str">
        <f>IFERROR(IF(ISBLANK(DATA!AK67),"",DATA!AK67),"")</f>
        <v/>
      </c>
      <c r="BR67" s="106" t="str">
        <f>IFERROR(IF(ISBLANK(BQ67),"",ROUND((BQ67/SETTINGS!$L$19)*SETTINGS!$L$20,0)),"")</f>
        <v/>
      </c>
      <c r="BS67" s="106" t="str">
        <f t="shared" si="26"/>
        <v/>
      </c>
      <c r="BT67" s="103" t="str">
        <f t="shared" si="5"/>
        <v/>
      </c>
      <c r="BU67" s="107" t="str">
        <f t="shared" si="27"/>
        <v/>
      </c>
      <c r="BV67" s="130"/>
      <c r="BW67" s="190" t="str">
        <f>IFERROR(IF(ISBLANK(DATA!AM67),"",DATA!AM67),"")</f>
        <v/>
      </c>
      <c r="BX67" s="190" t="str">
        <f>IFERROR(IF(ISBLANK(DATA!AN67),"",DATA!AN67),"")</f>
        <v/>
      </c>
      <c r="BY67" s="190" t="str">
        <f>IFERROR(IF(ISBLANK(DATA!AO67),"",DATA!AO67),"")</f>
        <v/>
      </c>
      <c r="BZ67" s="190" t="str">
        <f>IFERROR(IF(ISBLANK(DATA!AP67),"",DATA!AP67),"")</f>
        <v/>
      </c>
      <c r="CA67" s="97" t="str">
        <f t="shared" si="28"/>
        <v/>
      </c>
      <c r="CB67" s="106" t="str">
        <f>IFERROR(IF(CA67=0,"",ROUND((CA67/SUM(SETTINGS!$L$14:$L$17))*SETTINGS!$L$18,0)),"")</f>
        <v/>
      </c>
      <c r="CC67" s="190" t="str">
        <f>IFERROR(IF(ISBLANK(DATA!AQ67),"",DATA!AQ67),"")</f>
        <v/>
      </c>
      <c r="CD67" s="106" t="str">
        <f>IFERROR(IF(ISBLANK(CC67),"",ROUND((CC67/SETTINGS!$L$19)*SETTINGS!$L$20,0)),"")</f>
        <v/>
      </c>
      <c r="CE67" s="106" t="str">
        <f t="shared" si="29"/>
        <v/>
      </c>
      <c r="CF67" s="103" t="str">
        <f t="shared" si="6"/>
        <v/>
      </c>
      <c r="CG67" s="107" t="str">
        <f t="shared" si="30"/>
        <v/>
      </c>
      <c r="CH67" s="130"/>
      <c r="CI67" s="190" t="str">
        <f>IFERROR(IF(ISBLANK(DATA!AS67),"",DATA!AS67),"")</f>
        <v/>
      </c>
      <c r="CJ67" s="190" t="str">
        <f>IFERROR(IF(ISBLANK(DATA!AT67),"",DATA!AT67),"")</f>
        <v/>
      </c>
      <c r="CK67" s="190" t="str">
        <f>IFERROR(IF(ISBLANK(DATA!AU67),"",DATA!AU67),"")</f>
        <v/>
      </c>
      <c r="CL67" s="190" t="str">
        <f>IFERROR(IF(ISBLANK(DATA!AV67),"",DATA!AV67),"")</f>
        <v/>
      </c>
      <c r="CM67" s="97" t="str">
        <f t="shared" si="31"/>
        <v/>
      </c>
      <c r="CN67" s="106" t="str">
        <f>IFERROR(IF(CM67=0,"",ROUND((CM67/SUM(SETTINGS!$L$14:$L$17))*SETTINGS!$L$18,0)),"")</f>
        <v/>
      </c>
      <c r="CO67" s="190" t="str">
        <f>IFERROR(IF(ISBLANK(DATA!AW67),"",DATA!AW67),"")</f>
        <v/>
      </c>
      <c r="CP67" s="106" t="str">
        <f>IFERROR(IF(ISBLANK(CO67),"",ROUND((CO67/SETTINGS!$L$19)*SETTINGS!$L$20,0)),"")</f>
        <v/>
      </c>
      <c r="CQ67" s="106" t="str">
        <f t="shared" si="32"/>
        <v/>
      </c>
      <c r="CR67" s="103" t="str">
        <f t="shared" si="7"/>
        <v/>
      </c>
      <c r="CS67" s="107" t="str">
        <f t="shared" si="33"/>
        <v/>
      </c>
      <c r="CT67" s="130"/>
      <c r="CU67" s="190" t="str">
        <f>IFERROR(IF(ISBLANK(DATA!AY67),"",DATA!AY67),"")</f>
        <v/>
      </c>
      <c r="CV67" s="190" t="str">
        <f>IFERROR(IF(ISBLANK(DATA!AZ67),"",DATA!AZ67),"")</f>
        <v/>
      </c>
      <c r="CW67" s="190" t="str">
        <f>IFERROR(IF(ISBLANK(DATA!BA67),"",DATA!BA67),"")</f>
        <v/>
      </c>
      <c r="CX67" s="190" t="str">
        <f>IFERROR(IF(ISBLANK(DATA!BB67),"",DATA!BB67),"")</f>
        <v/>
      </c>
      <c r="CY67" s="97" t="str">
        <f t="shared" si="34"/>
        <v/>
      </c>
      <c r="CZ67" s="106" t="str">
        <f>IFERROR(IF(CY67=0,"",ROUND((CY67/SUM(SETTINGS!$L$14:$L$17))*SETTINGS!$L$18,0)),"")</f>
        <v/>
      </c>
      <c r="DA67" s="190" t="str">
        <f>IFERROR(IF(ISBLANK(DATA!BC67),"",DATA!BC67),"")</f>
        <v/>
      </c>
      <c r="DB67" s="106" t="str">
        <f>IFERROR(IF(ISBLANK(DA67),"",ROUND((DA67/SETTINGS!$L$19)*SETTINGS!$L$20,0)),"")</f>
        <v/>
      </c>
      <c r="DC67" s="106" t="str">
        <f t="shared" si="35"/>
        <v/>
      </c>
      <c r="DD67" s="103" t="str">
        <f t="shared" si="8"/>
        <v/>
      </c>
      <c r="DE67" s="107" t="str">
        <f t="shared" si="36"/>
        <v/>
      </c>
      <c r="DF67" s="103" t="str">
        <f t="shared" si="9"/>
        <v/>
      </c>
      <c r="DG67" s="103" t="str">
        <f>IFERROR(IF(AND(K67,W67,AI67,AU67,BG67,BS67,CE67,CQ67,DC67)="","",SUM(K67,W67,AI67,AU67,LARGE((BG67,BS67,CE67,CQ67,DC67),{1,2}))),"")</f>
        <v/>
      </c>
      <c r="DH67" s="103" t="str">
        <f>IFERROR(IF(AND(M67,Y67,AK67,AW67,,BI67,BU67,CG67,CS67,DE67)="","",SUM(M67,Y67,AK67,AW67,SMALL((BI67,BU67,CG67,CS67,DE67),{1,2}))),"")</f>
        <v/>
      </c>
      <c r="DI67" s="109" t="str">
        <f>IFERROR(IF(ISBLANK($D67),"",pos&amp;IF(AND(MOD(ABS(pos),100)&gt;10,MOD(ABS(pos),100)&lt;14),"th",CHOOSE(MOD(ABS(pos),10)+1,"th","st","nd","rd","th","th","th","th","th","th"))),"")</f>
        <v/>
      </c>
      <c r="DJ67" s="62">
        <f>ROWS($B$12:$B67)</f>
        <v>56</v>
      </c>
      <c r="DK67" s="62" t="str">
        <f>IF($B67=REPORT_CARD!$M$12,$DJ67,"")</f>
        <v/>
      </c>
      <c r="DL67" s="62"/>
      <c r="DM67" s="186"/>
    </row>
    <row r="68" spans="1:117" ht="19.5" customHeight="1">
      <c r="A68" s="187" t="str">
        <f>IFERROR(IF(ISBLANK(DATA!$A68),"",DATA!$A68),"")</f>
        <v/>
      </c>
      <c r="B68" s="187" t="str">
        <f>IFERROR(IF(ISBLANK(DATA!$B68),"",DATA!$B68),"")</f>
        <v/>
      </c>
      <c r="C68" s="190" t="str">
        <f>IFERROR(IF(ISBLANK(DATA!C68),"",DATA!C68),"")</f>
        <v/>
      </c>
      <c r="D68" s="190" t="str">
        <f>IFERROR(IF(ISBLANK(DATA!D68),"",DATA!D68),"")</f>
        <v/>
      </c>
      <c r="E68" s="190" t="str">
        <f>IFERROR(IF(ISBLANK(DATA!E68),"",DATA!E68),"")</f>
        <v/>
      </c>
      <c r="F68" s="190" t="str">
        <f>IFERROR(IF(ISBLANK(DATA!F68),"",DATA!F68),"")</f>
        <v/>
      </c>
      <c r="G68" s="97" t="str">
        <f t="shared" si="37"/>
        <v/>
      </c>
      <c r="H68" s="106" t="str">
        <f>IFERROR(IF(G68=0,"",ROUND((G68/SUM(SETTINGS!$L$14:$L$17))*SETTINGS!$L$18,0)),"")</f>
        <v/>
      </c>
      <c r="I68" s="190" t="str">
        <f>IFERROR(IF(ISBLANK(DATA!G68),"",DATA!G68),"")</f>
        <v/>
      </c>
      <c r="J68" s="106" t="str">
        <f>IFERROR(IF(ISBLANK(I68),"",ROUND((I68/SETTINGS!$L$19)*SETTINGS!$L$20,0)),"")</f>
        <v/>
      </c>
      <c r="K68" s="106" t="str">
        <f t="shared" si="10"/>
        <v/>
      </c>
      <c r="L68" s="103" t="str">
        <f t="shared" si="0"/>
        <v/>
      </c>
      <c r="M68" s="107" t="str">
        <f t="shared" si="11"/>
        <v/>
      </c>
      <c r="N68" s="136"/>
      <c r="O68" s="190" t="str">
        <f>IFERROR(IF(ISBLANK(DATA!I68),"",DATA!I68),"")</f>
        <v/>
      </c>
      <c r="P68" s="190" t="str">
        <f>IFERROR(IF(ISBLANK(DATA!J68),"",DATA!J68),"")</f>
        <v/>
      </c>
      <c r="Q68" s="190" t="str">
        <f>IFERROR(IF(ISBLANK(DATA!K68),"",DATA!K68),"")</f>
        <v/>
      </c>
      <c r="R68" s="190" t="str">
        <f>IFERROR(IF(ISBLANK(DATA!L68),"",DATA!L68),"")</f>
        <v/>
      </c>
      <c r="S68" s="97" t="str">
        <f t="shared" si="38"/>
        <v/>
      </c>
      <c r="T68" s="106" t="str">
        <f>IFERROR(IF(S68=0,"",ROUND((S68/SUM(SETTINGS!$L$14:$L$17))*SETTINGS!$L$18,0)),"")</f>
        <v/>
      </c>
      <c r="U68" s="190" t="str">
        <f>IFERROR(IF(ISBLANK(DATA!M68),"",DATA!M68),"")</f>
        <v/>
      </c>
      <c r="V68" s="106" t="str">
        <f>IFERROR(IF(ISBLANK(U68),"",ROUND((U68/SETTINGS!$L$19)*SETTINGS!$L$20,0)),"")</f>
        <v/>
      </c>
      <c r="W68" s="106" t="str">
        <f t="shared" si="13"/>
        <v/>
      </c>
      <c r="X68" s="103" t="str">
        <f t="shared" si="14"/>
        <v/>
      </c>
      <c r="Y68" s="107" t="str">
        <f t="shared" si="15"/>
        <v/>
      </c>
      <c r="Z68" s="130"/>
      <c r="AA68" s="190" t="str">
        <f>IFERROR(IF(ISBLANK(DATA!O68),"",DATA!O68),"")</f>
        <v/>
      </c>
      <c r="AB68" s="190" t="str">
        <f>IFERROR(IF(ISBLANK(DATA!P68),"",DATA!P68),"")</f>
        <v/>
      </c>
      <c r="AC68" s="190" t="str">
        <f>IFERROR(IF(ISBLANK(DATA!Q68),"",DATA!Q68),"")</f>
        <v/>
      </c>
      <c r="AD68" s="190" t="str">
        <f>IFERROR(IF(ISBLANK(DATA!R68),"",DATA!R68),"")</f>
        <v/>
      </c>
      <c r="AE68" s="97" t="str">
        <f t="shared" si="39"/>
        <v/>
      </c>
      <c r="AF68" s="106" t="str">
        <f>IFERROR(IF(AE68=0,"",ROUND((AE68/SUM(SETTINGS!$L$14:$L$17))*SETTINGS!$L$18,0)),"")</f>
        <v/>
      </c>
      <c r="AG68" s="190" t="str">
        <f>IFERROR(IF(ISBLANK(DATA!S68),"",DATA!S68),"")</f>
        <v/>
      </c>
      <c r="AH68" s="106" t="str">
        <f>IFERROR(IF(ISBLANK(AG68),"",ROUND((AG68/SETTINGS!$L$19)*SETTINGS!$L$20,0)),"")</f>
        <v/>
      </c>
      <c r="AI68" s="106" t="str">
        <f t="shared" si="17"/>
        <v/>
      </c>
      <c r="AJ68" s="103" t="str">
        <f t="shared" si="2"/>
        <v/>
      </c>
      <c r="AK68" s="108" t="str">
        <f t="shared" si="18"/>
        <v/>
      </c>
      <c r="AL68" s="130"/>
      <c r="AM68" s="190" t="str">
        <f>IFERROR(IF(ISBLANK(DATA!U68),"",DATA!U68),"")</f>
        <v/>
      </c>
      <c r="AN68" s="190" t="str">
        <f>IFERROR(IF(ISBLANK(DATA!V68),"",DATA!V68),"")</f>
        <v/>
      </c>
      <c r="AO68" s="190" t="str">
        <f>IFERROR(IF(ISBLANK(DATA!W68),"",DATA!W68),"")</f>
        <v/>
      </c>
      <c r="AP68" s="190" t="str">
        <f>IFERROR(IF(ISBLANK(DATA!X68),"",DATA!X68),"")</f>
        <v/>
      </c>
      <c r="AQ68" s="97" t="str">
        <f t="shared" si="19"/>
        <v/>
      </c>
      <c r="AR68" s="106" t="str">
        <f>IFERROR(IF(AQ68=0,"",ROUND((AQ68/SUM(SETTINGS!$L$14:$L$17))*SETTINGS!$L$18,0)),"")</f>
        <v/>
      </c>
      <c r="AS68" s="190" t="str">
        <f>IFERROR(IF(ISBLANK(DATA!Y68),"",DATA!Y68),"")</f>
        <v/>
      </c>
      <c r="AT68" s="106" t="str">
        <f>IFERROR(IF(ISBLANK(AS68),"",ROUND((AS68/SETTINGS!$L$19)*SETTINGS!$L$20,0)),"")</f>
        <v/>
      </c>
      <c r="AU68" s="106" t="str">
        <f t="shared" si="20"/>
        <v/>
      </c>
      <c r="AV68" s="103" t="str">
        <f t="shared" si="3"/>
        <v/>
      </c>
      <c r="AW68" s="107" t="str">
        <f t="shared" si="21"/>
        <v/>
      </c>
      <c r="AX68" s="130"/>
      <c r="AY68" s="190" t="str">
        <f>IFERROR(IF(ISBLANK(DATA!AA68),"",DATA!AA68),"")</f>
        <v/>
      </c>
      <c r="AZ68" s="190" t="str">
        <f>IFERROR(IF(ISBLANK(DATA!AB68),"",DATA!AB68),"")</f>
        <v/>
      </c>
      <c r="BA68" s="190" t="str">
        <f>IFERROR(IF(ISBLANK(DATA!AC68),"",DATA!AC68),"")</f>
        <v/>
      </c>
      <c r="BB68" s="190" t="str">
        <f>IFERROR(IF(ISBLANK(DATA!AD68),"",DATA!AD68),"")</f>
        <v/>
      </c>
      <c r="BC68" s="97" t="str">
        <f t="shared" si="22"/>
        <v/>
      </c>
      <c r="BD68" s="106" t="str">
        <f>IFERROR(IF(BC68=0,"",ROUND((BC68/SUM(SETTINGS!$L$14:$L$17))*SETTINGS!$L$18,0)),"")</f>
        <v/>
      </c>
      <c r="BE68" s="190" t="str">
        <f>IFERROR(IF(ISBLANK(DATA!AE68),"",DATA!AE68),"")</f>
        <v/>
      </c>
      <c r="BF68" s="106" t="str">
        <f>IFERROR(IF(ISBLANK(BE68),"",ROUND((BE68/SETTINGS!$L$19)*SETTINGS!$L$20,0)),"")</f>
        <v/>
      </c>
      <c r="BG68" s="106" t="str">
        <f t="shared" si="23"/>
        <v/>
      </c>
      <c r="BH68" s="103" t="str">
        <f t="shared" si="4"/>
        <v/>
      </c>
      <c r="BI68" s="108" t="str">
        <f t="shared" si="24"/>
        <v/>
      </c>
      <c r="BJ68" s="130"/>
      <c r="BK68" s="190" t="str">
        <f>IFERROR(IF(ISBLANK(DATA!AG68),"",DATA!AG68),"")</f>
        <v/>
      </c>
      <c r="BL68" s="190" t="str">
        <f>IFERROR(IF(ISBLANK(DATA!AH68),"",DATA!AH68),"")</f>
        <v/>
      </c>
      <c r="BM68" s="190" t="str">
        <f>IFERROR(IF(ISBLANK(DATA!AI68),"",DATA!AI68),"")</f>
        <v/>
      </c>
      <c r="BN68" s="190" t="str">
        <f>IFERROR(IF(ISBLANK(DATA!AJ68),"",DATA!AJ68),"")</f>
        <v/>
      </c>
      <c r="BO68" s="97" t="str">
        <f t="shared" si="25"/>
        <v/>
      </c>
      <c r="BP68" s="106" t="str">
        <f>IFERROR(IF(BO68=0,"",ROUND((BO68/SUM(SETTINGS!$L$14:$L$17))*SETTINGS!$L$18,0)),"")</f>
        <v/>
      </c>
      <c r="BQ68" s="190" t="str">
        <f>IFERROR(IF(ISBLANK(DATA!AK68),"",DATA!AK68),"")</f>
        <v/>
      </c>
      <c r="BR68" s="106" t="str">
        <f>IFERROR(IF(ISBLANK(BQ68),"",ROUND((BQ68/SETTINGS!$L$19)*SETTINGS!$L$20,0)),"")</f>
        <v/>
      </c>
      <c r="BS68" s="106" t="str">
        <f t="shared" si="26"/>
        <v/>
      </c>
      <c r="BT68" s="103" t="str">
        <f t="shared" si="5"/>
        <v/>
      </c>
      <c r="BU68" s="107" t="str">
        <f t="shared" si="27"/>
        <v/>
      </c>
      <c r="BV68" s="130"/>
      <c r="BW68" s="190" t="str">
        <f>IFERROR(IF(ISBLANK(DATA!AM68),"",DATA!AM68),"")</f>
        <v/>
      </c>
      <c r="BX68" s="190" t="str">
        <f>IFERROR(IF(ISBLANK(DATA!AN68),"",DATA!AN68),"")</f>
        <v/>
      </c>
      <c r="BY68" s="190" t="str">
        <f>IFERROR(IF(ISBLANK(DATA!AO68),"",DATA!AO68),"")</f>
        <v/>
      </c>
      <c r="BZ68" s="190" t="str">
        <f>IFERROR(IF(ISBLANK(DATA!AP68),"",DATA!AP68),"")</f>
        <v/>
      </c>
      <c r="CA68" s="97" t="str">
        <f t="shared" si="28"/>
        <v/>
      </c>
      <c r="CB68" s="106" t="str">
        <f>IFERROR(IF(CA68=0,"",ROUND((CA68/SUM(SETTINGS!$L$14:$L$17))*SETTINGS!$L$18,0)),"")</f>
        <v/>
      </c>
      <c r="CC68" s="190" t="str">
        <f>IFERROR(IF(ISBLANK(DATA!AQ68),"",DATA!AQ68),"")</f>
        <v/>
      </c>
      <c r="CD68" s="106" t="str">
        <f>IFERROR(IF(ISBLANK(CC68),"",ROUND((CC68/SETTINGS!$L$19)*SETTINGS!$L$20,0)),"")</f>
        <v/>
      </c>
      <c r="CE68" s="106" t="str">
        <f t="shared" si="29"/>
        <v/>
      </c>
      <c r="CF68" s="103" t="str">
        <f t="shared" si="6"/>
        <v/>
      </c>
      <c r="CG68" s="107" t="str">
        <f t="shared" si="30"/>
        <v/>
      </c>
      <c r="CH68" s="130"/>
      <c r="CI68" s="190" t="str">
        <f>IFERROR(IF(ISBLANK(DATA!AS68),"",DATA!AS68),"")</f>
        <v/>
      </c>
      <c r="CJ68" s="190" t="str">
        <f>IFERROR(IF(ISBLANK(DATA!AT68),"",DATA!AT68),"")</f>
        <v/>
      </c>
      <c r="CK68" s="190" t="str">
        <f>IFERROR(IF(ISBLANK(DATA!AU68),"",DATA!AU68),"")</f>
        <v/>
      </c>
      <c r="CL68" s="190" t="str">
        <f>IFERROR(IF(ISBLANK(DATA!AV68),"",DATA!AV68),"")</f>
        <v/>
      </c>
      <c r="CM68" s="97" t="str">
        <f t="shared" si="31"/>
        <v/>
      </c>
      <c r="CN68" s="106" t="str">
        <f>IFERROR(IF(CM68=0,"",ROUND((CM68/SUM(SETTINGS!$L$14:$L$17))*SETTINGS!$L$18,0)),"")</f>
        <v/>
      </c>
      <c r="CO68" s="190" t="str">
        <f>IFERROR(IF(ISBLANK(DATA!AW68),"",DATA!AW68),"")</f>
        <v/>
      </c>
      <c r="CP68" s="106" t="str">
        <f>IFERROR(IF(ISBLANK(CO68),"",ROUND((CO68/SETTINGS!$L$19)*SETTINGS!$L$20,0)),"")</f>
        <v/>
      </c>
      <c r="CQ68" s="106" t="str">
        <f t="shared" si="32"/>
        <v/>
      </c>
      <c r="CR68" s="103" t="str">
        <f t="shared" si="7"/>
        <v/>
      </c>
      <c r="CS68" s="107" t="str">
        <f t="shared" si="33"/>
        <v/>
      </c>
      <c r="CT68" s="130"/>
      <c r="CU68" s="190" t="str">
        <f>IFERROR(IF(ISBLANK(DATA!AY68),"",DATA!AY68),"")</f>
        <v/>
      </c>
      <c r="CV68" s="190" t="str">
        <f>IFERROR(IF(ISBLANK(DATA!AZ68),"",DATA!AZ68),"")</f>
        <v/>
      </c>
      <c r="CW68" s="190" t="str">
        <f>IFERROR(IF(ISBLANK(DATA!BA68),"",DATA!BA68),"")</f>
        <v/>
      </c>
      <c r="CX68" s="190" t="str">
        <f>IFERROR(IF(ISBLANK(DATA!BB68),"",DATA!BB68),"")</f>
        <v/>
      </c>
      <c r="CY68" s="97" t="str">
        <f t="shared" si="34"/>
        <v/>
      </c>
      <c r="CZ68" s="106" t="str">
        <f>IFERROR(IF(CY68=0,"",ROUND((CY68/SUM(SETTINGS!$L$14:$L$17))*SETTINGS!$L$18,0)),"")</f>
        <v/>
      </c>
      <c r="DA68" s="190" t="str">
        <f>IFERROR(IF(ISBLANK(DATA!BC68),"",DATA!BC68),"")</f>
        <v/>
      </c>
      <c r="DB68" s="106" t="str">
        <f>IFERROR(IF(ISBLANK(DA68),"",ROUND((DA68/SETTINGS!$L$19)*SETTINGS!$L$20,0)),"")</f>
        <v/>
      </c>
      <c r="DC68" s="106" t="str">
        <f t="shared" si="35"/>
        <v/>
      </c>
      <c r="DD68" s="103" t="str">
        <f t="shared" si="8"/>
        <v/>
      </c>
      <c r="DE68" s="107" t="str">
        <f t="shared" si="36"/>
        <v/>
      </c>
      <c r="DF68" s="103" t="str">
        <f t="shared" si="9"/>
        <v/>
      </c>
      <c r="DG68" s="103" t="str">
        <f>IFERROR(IF(AND(K68,W68,AI68,AU68,BG68,BS68,CE68,CQ68,DC68)="","",SUM(K68,W68,AI68,AU68,LARGE((BG68,BS68,CE68,CQ68,DC68),{1,2}))),"")</f>
        <v/>
      </c>
      <c r="DH68" s="103" t="str">
        <f>IFERROR(IF(AND(M68,Y68,AK68,AW68,,BI68,BU68,CG68,CS68,DE68)="","",SUM(M68,Y68,AK68,AW68,SMALL((BI68,BU68,CG68,CS68,DE68),{1,2}))),"")</f>
        <v/>
      </c>
      <c r="DI68" s="109" t="str">
        <f>IFERROR(IF(ISBLANK($D68),"",pos&amp;IF(AND(MOD(ABS(pos),100)&gt;10,MOD(ABS(pos),100)&lt;14),"th",CHOOSE(MOD(ABS(pos),10)+1,"th","st","nd","rd","th","th","th","th","th","th"))),"")</f>
        <v/>
      </c>
      <c r="DJ68" s="62">
        <f>ROWS($B$12:$B68)</f>
        <v>57</v>
      </c>
      <c r="DK68" s="62" t="str">
        <f>IF($B68=REPORT_CARD!$M$12,$DJ68,"")</f>
        <v/>
      </c>
      <c r="DL68" s="62"/>
      <c r="DM68" s="186"/>
    </row>
    <row r="69" spans="1:117" ht="19.5" customHeight="1" thickBot="1">
      <c r="A69" s="187" t="str">
        <f>IFERROR(IF(ISBLANK(DATA!$A69),"",DATA!$A69),"")</f>
        <v/>
      </c>
      <c r="B69" s="187" t="str">
        <f>IFERROR(IF(ISBLANK(DATA!$B69),"",DATA!$B69),"")</f>
        <v/>
      </c>
      <c r="C69" s="190" t="str">
        <f>IFERROR(IF(ISBLANK(DATA!C69),"",DATA!C69),"")</f>
        <v/>
      </c>
      <c r="D69" s="190" t="str">
        <f>IFERROR(IF(ISBLANK(DATA!D69),"",DATA!D69),"")</f>
        <v/>
      </c>
      <c r="E69" s="190" t="str">
        <f>IFERROR(IF(ISBLANK(DATA!E69),"",DATA!E69),"")</f>
        <v/>
      </c>
      <c r="F69" s="190" t="str">
        <f>IFERROR(IF(ISBLANK(DATA!F69),"",DATA!F69),"")</f>
        <v/>
      </c>
      <c r="G69" s="97" t="str">
        <f t="shared" si="37"/>
        <v/>
      </c>
      <c r="H69" s="106" t="str">
        <f>IFERROR(IF(G69=0,"",ROUND((G69/SUM(SETTINGS!$L$14:$L$17))*SETTINGS!$L$18,0)),"")</f>
        <v/>
      </c>
      <c r="I69" s="190" t="str">
        <f>IFERROR(IF(ISBLANK(DATA!G69),"",DATA!G69),"")</f>
        <v/>
      </c>
      <c r="J69" s="106" t="str">
        <f>IFERROR(IF(ISBLANK(I69),"",ROUND((I69/SETTINGS!$L$19)*SETTINGS!$L$20,0)),"")</f>
        <v/>
      </c>
      <c r="K69" s="106" t="str">
        <f t="shared" si="10"/>
        <v/>
      </c>
      <c r="L69" s="103" t="str">
        <f t="shared" si="0"/>
        <v/>
      </c>
      <c r="M69" s="107" t="str">
        <f t="shared" si="11"/>
        <v/>
      </c>
      <c r="N69" s="136"/>
      <c r="O69" s="190" t="str">
        <f>IFERROR(IF(ISBLANK(DATA!I69),"",DATA!I69),"")</f>
        <v/>
      </c>
      <c r="P69" s="190" t="str">
        <f>IFERROR(IF(ISBLANK(DATA!J69),"",DATA!J69),"")</f>
        <v/>
      </c>
      <c r="Q69" s="190" t="str">
        <f>IFERROR(IF(ISBLANK(DATA!K69),"",DATA!K69),"")</f>
        <v/>
      </c>
      <c r="R69" s="190" t="str">
        <f>IFERROR(IF(ISBLANK(DATA!L69),"",DATA!L69),"")</f>
        <v/>
      </c>
      <c r="S69" s="97" t="str">
        <f t="shared" si="38"/>
        <v/>
      </c>
      <c r="T69" s="106" t="str">
        <f>IFERROR(IF(S69=0,"",ROUND((S69/SUM(SETTINGS!$L$14:$L$17))*SETTINGS!$L$18,0)),"")</f>
        <v/>
      </c>
      <c r="U69" s="190" t="str">
        <f>IFERROR(IF(ISBLANK(DATA!M69),"",DATA!M69),"")</f>
        <v/>
      </c>
      <c r="V69" s="106" t="str">
        <f>IFERROR(IF(ISBLANK(U69),"",ROUND((U69/SETTINGS!$L$19)*SETTINGS!$L$20,0)),"")</f>
        <v/>
      </c>
      <c r="W69" s="106" t="str">
        <f t="shared" si="13"/>
        <v/>
      </c>
      <c r="X69" s="103" t="str">
        <f t="shared" si="14"/>
        <v/>
      </c>
      <c r="Y69" s="107" t="str">
        <f t="shared" si="15"/>
        <v/>
      </c>
      <c r="Z69" s="130"/>
      <c r="AA69" s="190" t="str">
        <f>IFERROR(IF(ISBLANK(DATA!O69),"",DATA!O69),"")</f>
        <v/>
      </c>
      <c r="AB69" s="190" t="str">
        <f>IFERROR(IF(ISBLANK(DATA!P69),"",DATA!P69),"")</f>
        <v/>
      </c>
      <c r="AC69" s="190" t="str">
        <f>IFERROR(IF(ISBLANK(DATA!Q69),"",DATA!Q69),"")</f>
        <v/>
      </c>
      <c r="AD69" s="190" t="str">
        <f>IFERROR(IF(ISBLANK(DATA!R69),"",DATA!R69),"")</f>
        <v/>
      </c>
      <c r="AE69" s="97" t="str">
        <f t="shared" si="39"/>
        <v/>
      </c>
      <c r="AF69" s="106" t="str">
        <f>IFERROR(IF(AE69=0,"",ROUND((AE69/SUM(SETTINGS!$L$14:$L$17))*SETTINGS!$L$18,0)),"")</f>
        <v/>
      </c>
      <c r="AG69" s="190" t="str">
        <f>IFERROR(IF(ISBLANK(DATA!S69),"",DATA!S69),"")</f>
        <v/>
      </c>
      <c r="AH69" s="106" t="str">
        <f>IFERROR(IF(ISBLANK(AG69),"",ROUND((AG69/SETTINGS!$L$19)*SETTINGS!$L$20,0)),"")</f>
        <v/>
      </c>
      <c r="AI69" s="106" t="str">
        <f t="shared" si="17"/>
        <v/>
      </c>
      <c r="AJ69" s="103" t="str">
        <f t="shared" si="2"/>
        <v/>
      </c>
      <c r="AK69" s="108" t="str">
        <f t="shared" si="18"/>
        <v/>
      </c>
      <c r="AL69" s="130"/>
      <c r="AM69" s="190" t="str">
        <f>IFERROR(IF(ISBLANK(DATA!U69),"",DATA!U69),"")</f>
        <v/>
      </c>
      <c r="AN69" s="190" t="str">
        <f>IFERROR(IF(ISBLANK(DATA!V69),"",DATA!V69),"")</f>
        <v/>
      </c>
      <c r="AO69" s="190" t="str">
        <f>IFERROR(IF(ISBLANK(DATA!W69),"",DATA!W69),"")</f>
        <v/>
      </c>
      <c r="AP69" s="190" t="str">
        <f>IFERROR(IF(ISBLANK(DATA!X69),"",DATA!X69),"")</f>
        <v/>
      </c>
      <c r="AQ69" s="97" t="str">
        <f t="shared" si="19"/>
        <v/>
      </c>
      <c r="AR69" s="106" t="str">
        <f>IFERROR(IF(AQ69=0,"",ROUND((AQ69/SUM(SETTINGS!$L$14:$L$17))*SETTINGS!$L$18,0)),"")</f>
        <v/>
      </c>
      <c r="AS69" s="190" t="str">
        <f>IFERROR(IF(ISBLANK(DATA!Y69),"",DATA!Y69),"")</f>
        <v/>
      </c>
      <c r="AT69" s="106" t="str">
        <f>IFERROR(IF(ISBLANK(AS69),"",ROUND((AS69/SETTINGS!$L$19)*SETTINGS!$L$20,0)),"")</f>
        <v/>
      </c>
      <c r="AU69" s="106" t="str">
        <f t="shared" si="20"/>
        <v/>
      </c>
      <c r="AV69" s="103" t="str">
        <f t="shared" si="3"/>
        <v/>
      </c>
      <c r="AW69" s="107" t="str">
        <f t="shared" si="21"/>
        <v/>
      </c>
      <c r="AX69" s="130"/>
      <c r="AY69" s="190" t="str">
        <f>IFERROR(IF(ISBLANK(DATA!AA69),"",DATA!AA69),"")</f>
        <v/>
      </c>
      <c r="AZ69" s="190" t="str">
        <f>IFERROR(IF(ISBLANK(DATA!AB69),"",DATA!AB69),"")</f>
        <v/>
      </c>
      <c r="BA69" s="190" t="str">
        <f>IFERROR(IF(ISBLANK(DATA!AC69),"",DATA!AC69),"")</f>
        <v/>
      </c>
      <c r="BB69" s="190" t="str">
        <f>IFERROR(IF(ISBLANK(DATA!AD69),"",DATA!AD69),"")</f>
        <v/>
      </c>
      <c r="BC69" s="97" t="str">
        <f t="shared" si="22"/>
        <v/>
      </c>
      <c r="BD69" s="106" t="str">
        <f>IFERROR(IF(BC69=0,"",ROUND((BC69/SUM(SETTINGS!$L$14:$L$17))*SETTINGS!$L$18,0)),"")</f>
        <v/>
      </c>
      <c r="BE69" s="190" t="str">
        <f>IFERROR(IF(ISBLANK(DATA!AE69),"",DATA!AE69),"")</f>
        <v/>
      </c>
      <c r="BF69" s="106" t="str">
        <f>IFERROR(IF(ISBLANK(BE69),"",ROUND((BE69/SETTINGS!$L$19)*SETTINGS!$L$20,0)),"")</f>
        <v/>
      </c>
      <c r="BG69" s="106" t="str">
        <f t="shared" si="23"/>
        <v/>
      </c>
      <c r="BH69" s="103" t="str">
        <f t="shared" si="4"/>
        <v/>
      </c>
      <c r="BI69" s="108" t="str">
        <f t="shared" si="24"/>
        <v/>
      </c>
      <c r="BJ69" s="130"/>
      <c r="BK69" s="190" t="str">
        <f>IFERROR(IF(ISBLANK(DATA!AG69),"",DATA!AG69),"")</f>
        <v/>
      </c>
      <c r="BL69" s="190" t="str">
        <f>IFERROR(IF(ISBLANK(DATA!AH69),"",DATA!AH69),"")</f>
        <v/>
      </c>
      <c r="BM69" s="190" t="str">
        <f>IFERROR(IF(ISBLANK(DATA!AI69),"",DATA!AI69),"")</f>
        <v/>
      </c>
      <c r="BN69" s="190" t="str">
        <f>IFERROR(IF(ISBLANK(DATA!AJ69),"",DATA!AJ69),"")</f>
        <v/>
      </c>
      <c r="BO69" s="97" t="str">
        <f t="shared" si="25"/>
        <v/>
      </c>
      <c r="BP69" s="106" t="str">
        <f>IFERROR(IF(BO69=0,"",ROUND((BO69/SUM(SETTINGS!$L$14:$L$17))*SETTINGS!$L$18,0)),"")</f>
        <v/>
      </c>
      <c r="BQ69" s="190" t="str">
        <f>IFERROR(IF(ISBLANK(DATA!AK69),"",DATA!AK69),"")</f>
        <v/>
      </c>
      <c r="BR69" s="106" t="str">
        <f>IFERROR(IF(ISBLANK(BQ69),"",ROUND((BQ69/SETTINGS!$L$19)*SETTINGS!$L$20,0)),"")</f>
        <v/>
      </c>
      <c r="BS69" s="106" t="str">
        <f t="shared" si="26"/>
        <v/>
      </c>
      <c r="BT69" s="103" t="str">
        <f t="shared" si="5"/>
        <v/>
      </c>
      <c r="BU69" s="107" t="str">
        <f t="shared" si="27"/>
        <v/>
      </c>
      <c r="BV69" s="130"/>
      <c r="BW69" s="190" t="str">
        <f>IFERROR(IF(ISBLANK(DATA!AM69),"",DATA!AM69),"")</f>
        <v/>
      </c>
      <c r="BX69" s="190" t="str">
        <f>IFERROR(IF(ISBLANK(DATA!AN69),"",DATA!AN69),"")</f>
        <v/>
      </c>
      <c r="BY69" s="190" t="str">
        <f>IFERROR(IF(ISBLANK(DATA!AO69),"",DATA!AO69),"")</f>
        <v/>
      </c>
      <c r="BZ69" s="190" t="str">
        <f>IFERROR(IF(ISBLANK(DATA!AP69),"",DATA!AP69),"")</f>
        <v/>
      </c>
      <c r="CA69" s="97" t="str">
        <f t="shared" si="28"/>
        <v/>
      </c>
      <c r="CB69" s="106" t="str">
        <f>IFERROR(IF(CA69=0,"",ROUND((CA69/SUM(SETTINGS!$L$14:$L$17))*SETTINGS!$L$18,0)),"")</f>
        <v/>
      </c>
      <c r="CC69" s="190" t="str">
        <f>IFERROR(IF(ISBLANK(DATA!AQ69),"",DATA!AQ69),"")</f>
        <v/>
      </c>
      <c r="CD69" s="106" t="str">
        <f>IFERROR(IF(ISBLANK(CC69),"",ROUND((CC69/SETTINGS!$L$19)*SETTINGS!$L$20,0)),"")</f>
        <v/>
      </c>
      <c r="CE69" s="106" t="str">
        <f t="shared" si="29"/>
        <v/>
      </c>
      <c r="CF69" s="103" t="str">
        <f t="shared" si="6"/>
        <v/>
      </c>
      <c r="CG69" s="107" t="str">
        <f t="shared" si="30"/>
        <v/>
      </c>
      <c r="CH69" s="130"/>
      <c r="CI69" s="190" t="str">
        <f>IFERROR(IF(ISBLANK(DATA!AS69),"",DATA!AS69),"")</f>
        <v/>
      </c>
      <c r="CJ69" s="190" t="str">
        <f>IFERROR(IF(ISBLANK(DATA!AT69),"",DATA!AT69),"")</f>
        <v/>
      </c>
      <c r="CK69" s="190" t="str">
        <f>IFERROR(IF(ISBLANK(DATA!AU69),"",DATA!AU69),"")</f>
        <v/>
      </c>
      <c r="CL69" s="190" t="str">
        <f>IFERROR(IF(ISBLANK(DATA!AV69),"",DATA!AV69),"")</f>
        <v/>
      </c>
      <c r="CM69" s="97" t="str">
        <f t="shared" si="31"/>
        <v/>
      </c>
      <c r="CN69" s="106" t="str">
        <f>IFERROR(IF(CM69=0,"",ROUND((CM69/SUM(SETTINGS!$L$14:$L$17))*SETTINGS!$L$18,0)),"")</f>
        <v/>
      </c>
      <c r="CO69" s="190" t="str">
        <f>IFERROR(IF(ISBLANK(DATA!AW69),"",DATA!AW69),"")</f>
        <v/>
      </c>
      <c r="CP69" s="106" t="str">
        <f>IFERROR(IF(ISBLANK(CO69),"",ROUND((CO69/SETTINGS!$L$19)*SETTINGS!$L$20,0)),"")</f>
        <v/>
      </c>
      <c r="CQ69" s="106" t="str">
        <f t="shared" si="32"/>
        <v/>
      </c>
      <c r="CR69" s="103" t="str">
        <f t="shared" si="7"/>
        <v/>
      </c>
      <c r="CS69" s="107" t="str">
        <f t="shared" si="33"/>
        <v/>
      </c>
      <c r="CT69" s="130"/>
      <c r="CU69" s="190" t="str">
        <f>IFERROR(IF(ISBLANK(DATA!AY69),"",DATA!AY69),"")</f>
        <v/>
      </c>
      <c r="CV69" s="190" t="str">
        <f>IFERROR(IF(ISBLANK(DATA!AZ69),"",DATA!AZ69),"")</f>
        <v/>
      </c>
      <c r="CW69" s="190" t="str">
        <f>IFERROR(IF(ISBLANK(DATA!BA69),"",DATA!BA69),"")</f>
        <v/>
      </c>
      <c r="CX69" s="190" t="str">
        <f>IFERROR(IF(ISBLANK(DATA!BB69),"",DATA!BB69),"")</f>
        <v/>
      </c>
      <c r="CY69" s="97" t="str">
        <f t="shared" si="34"/>
        <v/>
      </c>
      <c r="CZ69" s="106" t="str">
        <f>IFERROR(IF(CY69=0,"",ROUND((CY69/SUM(SETTINGS!$L$14:$L$17))*SETTINGS!$L$18,0)),"")</f>
        <v/>
      </c>
      <c r="DA69" s="190" t="str">
        <f>IFERROR(IF(ISBLANK(DATA!BC69),"",DATA!BC69),"")</f>
        <v/>
      </c>
      <c r="DB69" s="106" t="str">
        <f>IFERROR(IF(ISBLANK(DA69),"",ROUND((DA69/SETTINGS!$L$19)*SETTINGS!$L$20,0)),"")</f>
        <v/>
      </c>
      <c r="DC69" s="106" t="str">
        <f t="shared" si="35"/>
        <v/>
      </c>
      <c r="DD69" s="103" t="str">
        <f t="shared" si="8"/>
        <v/>
      </c>
      <c r="DE69" s="107" t="str">
        <f t="shared" si="36"/>
        <v/>
      </c>
      <c r="DF69" s="103" t="str">
        <f t="shared" si="9"/>
        <v/>
      </c>
      <c r="DG69" s="103" t="str">
        <f>IFERROR(IF(AND(K69,W69,AI69,AU69,BG69,BS69,CE69,CQ69,DC69)="","",SUM(K69,W69,AI69,AU69,LARGE((BG69,BS69,CE69,CQ69,DC69),{1,2}))),"")</f>
        <v/>
      </c>
      <c r="DH69" s="103" t="str">
        <f>IFERROR(IF(AND(M69,Y69,AK69,AW69,,BI69,BU69,CG69,CS69,DE69)="","",SUM(M69,Y69,AK69,AW69,SMALL((BI69,BU69,CG69,CS69,DE69),{1,2}))),"")</f>
        <v/>
      </c>
      <c r="DI69" s="109" t="str">
        <f>IFERROR(IF(ISBLANK($D69),"",pos&amp;IF(AND(MOD(ABS(pos),100)&gt;10,MOD(ABS(pos),100)&lt;14),"th",CHOOSE(MOD(ABS(pos),10)+1,"th","st","nd","rd","th","th","th","th","th","th"))),"")</f>
        <v/>
      </c>
      <c r="DJ69" s="62">
        <f>ROWS($B$12:$B69)</f>
        <v>58</v>
      </c>
      <c r="DK69" s="62" t="str">
        <f>IF($B69=REPORT_CARD!$M$12,$DJ69,"")</f>
        <v/>
      </c>
      <c r="DL69" s="62"/>
      <c r="DM69" s="186"/>
    </row>
    <row r="70" spans="1:117" ht="19.5" customHeight="1">
      <c r="A70" s="187" t="str">
        <f>IFERROR(IF(ISBLANK(DATA!$A70),"",DATA!$A70),"")</f>
        <v/>
      </c>
      <c r="B70" s="187" t="str">
        <f>IFERROR(IF(ISBLANK(DATA!$B70),"",DATA!$B70),"")</f>
        <v/>
      </c>
      <c r="C70" s="190" t="str">
        <f>IFERROR(IF(ISBLANK(DATA!C70),"",DATA!C70),"")</f>
        <v/>
      </c>
      <c r="D70" s="190" t="str">
        <f>IFERROR(IF(ISBLANK(DATA!D70),"",DATA!D70),"")</f>
        <v/>
      </c>
      <c r="E70" s="190" t="str">
        <f>IFERROR(IF(ISBLANK(DATA!E70),"",DATA!E70),"")</f>
        <v/>
      </c>
      <c r="F70" s="190" t="str">
        <f>IFERROR(IF(ISBLANK(DATA!F70),"",DATA!F70),"")</f>
        <v/>
      </c>
      <c r="G70" s="97" t="str">
        <f t="shared" si="37"/>
        <v/>
      </c>
      <c r="H70" s="106" t="str">
        <f>IFERROR(IF(G70=0,"",ROUND((G70/SUM(SETTINGS!$L$14:$L$17))*SETTINGS!$L$18,0)),"")</f>
        <v/>
      </c>
      <c r="I70" s="190" t="str">
        <f>IFERROR(IF(ISBLANK(DATA!G70),"",DATA!G70),"")</f>
        <v/>
      </c>
      <c r="J70" s="106" t="str">
        <f>IFERROR(IF(ISBLANK(I70),"",ROUND((I70/SETTINGS!$L$19)*SETTINGS!$L$20,0)),"")</f>
        <v/>
      </c>
      <c r="K70" s="106" t="str">
        <f t="shared" si="10"/>
        <v/>
      </c>
      <c r="L70" s="103" t="str">
        <f t="shared" si="0"/>
        <v/>
      </c>
      <c r="M70" s="107" t="str">
        <f t="shared" si="11"/>
        <v/>
      </c>
      <c r="N70" s="136"/>
      <c r="O70" s="190" t="str">
        <f>IFERROR(IF(ISBLANK(DATA!I70),"",DATA!I70),"")</f>
        <v/>
      </c>
      <c r="P70" s="190" t="str">
        <f>IFERROR(IF(ISBLANK(DATA!J70),"",DATA!J70),"")</f>
        <v/>
      </c>
      <c r="Q70" s="190" t="str">
        <f>IFERROR(IF(ISBLANK(DATA!K70),"",DATA!K70),"")</f>
        <v/>
      </c>
      <c r="R70" s="190" t="str">
        <f>IFERROR(IF(ISBLANK(DATA!L70),"",DATA!L70),"")</f>
        <v/>
      </c>
      <c r="S70" s="97" t="str">
        <f t="shared" si="38"/>
        <v/>
      </c>
      <c r="T70" s="106" t="str">
        <f>IFERROR(IF(S70=0,"",ROUND((S70/SUM(SETTINGS!$L$14:$L$17))*SETTINGS!$L$18,0)),"")</f>
        <v/>
      </c>
      <c r="U70" s="190" t="str">
        <f>IFERROR(IF(ISBLANK(DATA!M70),"",DATA!M70),"")</f>
        <v/>
      </c>
      <c r="V70" s="106" t="str">
        <f>IFERROR(IF(ISBLANK(U70),"",ROUND((U70/SETTINGS!$L$19)*SETTINGS!$L$20,0)),"")</f>
        <v/>
      </c>
      <c r="W70" s="106" t="str">
        <f t="shared" si="13"/>
        <v/>
      </c>
      <c r="X70" s="103" t="str">
        <f t="shared" si="14"/>
        <v/>
      </c>
      <c r="Y70" s="107" t="str">
        <f t="shared" si="15"/>
        <v/>
      </c>
      <c r="Z70" s="130"/>
      <c r="AA70" s="190" t="str">
        <f>IFERROR(IF(ISBLANK(DATA!O70),"",DATA!O70),"")</f>
        <v/>
      </c>
      <c r="AB70" s="190" t="str">
        <f>IFERROR(IF(ISBLANK(DATA!P70),"",DATA!P70),"")</f>
        <v/>
      </c>
      <c r="AC70" s="190" t="str">
        <f>IFERROR(IF(ISBLANK(DATA!Q70),"",DATA!Q70),"")</f>
        <v/>
      </c>
      <c r="AD70" s="190" t="str">
        <f>IFERROR(IF(ISBLANK(DATA!R70),"",DATA!R70),"")</f>
        <v/>
      </c>
      <c r="AE70" s="97" t="str">
        <f t="shared" si="39"/>
        <v/>
      </c>
      <c r="AF70" s="106" t="str">
        <f>IFERROR(IF(AE70=0,"",ROUND((AE70/SUM(SETTINGS!$L$14:$L$17))*SETTINGS!$L$18,0)),"")</f>
        <v/>
      </c>
      <c r="AG70" s="190" t="str">
        <f>IFERROR(IF(ISBLANK(DATA!S70),"",DATA!S70),"")</f>
        <v/>
      </c>
      <c r="AH70" s="106" t="str">
        <f>IFERROR(IF(ISBLANK(AG70),"",ROUND((AG70/SETTINGS!$L$19)*SETTINGS!$L$20,0)),"")</f>
        <v/>
      </c>
      <c r="AI70" s="106" t="str">
        <f t="shared" si="17"/>
        <v/>
      </c>
      <c r="AJ70" s="103" t="str">
        <f t="shared" si="2"/>
        <v/>
      </c>
      <c r="AK70" s="108" t="str">
        <f t="shared" si="18"/>
        <v/>
      </c>
      <c r="AL70" s="130"/>
      <c r="AM70" s="190" t="str">
        <f>IFERROR(IF(ISBLANK(DATA!U70),"",DATA!U70),"")</f>
        <v/>
      </c>
      <c r="AN70" s="190" t="str">
        <f>IFERROR(IF(ISBLANK(DATA!V70),"",DATA!V70),"")</f>
        <v/>
      </c>
      <c r="AO70" s="190" t="str">
        <f>IFERROR(IF(ISBLANK(DATA!W70),"",DATA!W70),"")</f>
        <v/>
      </c>
      <c r="AP70" s="190" t="str">
        <f>IFERROR(IF(ISBLANK(DATA!X70),"",DATA!X70),"")</f>
        <v/>
      </c>
      <c r="AQ70" s="97" t="str">
        <f t="shared" si="19"/>
        <v/>
      </c>
      <c r="AR70" s="106" t="str">
        <f>IFERROR(IF(AQ70=0,"",ROUND((AQ70/SUM(SETTINGS!$L$14:$L$17))*SETTINGS!$L$18,0)),"")</f>
        <v/>
      </c>
      <c r="AS70" s="190" t="str">
        <f>IFERROR(IF(ISBLANK(DATA!Y70),"",DATA!Y70),"")</f>
        <v/>
      </c>
      <c r="AT70" s="106" t="str">
        <f>IFERROR(IF(ISBLANK(AS70),"",ROUND((AS70/SETTINGS!$L$19)*SETTINGS!$L$20,0)),"")</f>
        <v/>
      </c>
      <c r="AU70" s="106" t="str">
        <f t="shared" si="20"/>
        <v/>
      </c>
      <c r="AV70" s="103" t="str">
        <f t="shared" si="3"/>
        <v/>
      </c>
      <c r="AW70" s="107" t="str">
        <f t="shared" si="21"/>
        <v/>
      </c>
      <c r="AX70" s="130"/>
      <c r="AY70" s="190" t="str">
        <f>IFERROR(IF(ISBLANK(DATA!AA70),"",DATA!AA70),"")</f>
        <v/>
      </c>
      <c r="AZ70" s="190" t="str">
        <f>IFERROR(IF(ISBLANK(DATA!AB70),"",DATA!AB70),"")</f>
        <v/>
      </c>
      <c r="BA70" s="190" t="str">
        <f>IFERROR(IF(ISBLANK(DATA!AC70),"",DATA!AC70),"")</f>
        <v/>
      </c>
      <c r="BB70" s="190" t="str">
        <f>IFERROR(IF(ISBLANK(DATA!AD70),"",DATA!AD70),"")</f>
        <v/>
      </c>
      <c r="BC70" s="97" t="str">
        <f t="shared" si="22"/>
        <v/>
      </c>
      <c r="BD70" s="106" t="str">
        <f>IFERROR(IF(BC70=0,"",ROUND((BC70/SUM(SETTINGS!$L$14:$L$17))*SETTINGS!$L$18,0)),"")</f>
        <v/>
      </c>
      <c r="BE70" s="190" t="str">
        <f>IFERROR(IF(ISBLANK(DATA!AE70),"",DATA!AE70),"")</f>
        <v/>
      </c>
      <c r="BF70" s="106" t="str">
        <f>IFERROR(IF(ISBLANK(BE70),"",ROUND((BE70/SETTINGS!$L$19)*SETTINGS!$L$20,0)),"")</f>
        <v/>
      </c>
      <c r="BG70" s="106" t="str">
        <f t="shared" si="23"/>
        <v/>
      </c>
      <c r="BH70" s="103" t="str">
        <f t="shared" si="4"/>
        <v/>
      </c>
      <c r="BI70" s="108" t="str">
        <f t="shared" si="24"/>
        <v/>
      </c>
      <c r="BJ70" s="130"/>
      <c r="BK70" s="190" t="str">
        <f>IFERROR(IF(ISBLANK(DATA!AG70),"",DATA!AG70),"")</f>
        <v/>
      </c>
      <c r="BL70" s="190" t="str">
        <f>IFERROR(IF(ISBLANK(DATA!AH70),"",DATA!AH70),"")</f>
        <v/>
      </c>
      <c r="BM70" s="190" t="str">
        <f>IFERROR(IF(ISBLANK(DATA!AI70),"",DATA!AI70),"")</f>
        <v/>
      </c>
      <c r="BN70" s="190" t="str">
        <f>IFERROR(IF(ISBLANK(DATA!AJ70),"",DATA!AJ70),"")</f>
        <v/>
      </c>
      <c r="BO70" s="97" t="str">
        <f t="shared" si="25"/>
        <v/>
      </c>
      <c r="BP70" s="106" t="str">
        <f>IFERROR(IF(BO70=0,"",ROUND((BO70/SUM(SETTINGS!$L$14:$L$17))*SETTINGS!$L$18,0)),"")</f>
        <v/>
      </c>
      <c r="BQ70" s="190" t="str">
        <f>IFERROR(IF(ISBLANK(DATA!AK70),"",DATA!AK70),"")</f>
        <v/>
      </c>
      <c r="BR70" s="106" t="str">
        <f>IFERROR(IF(ISBLANK(BQ70),"",ROUND((BQ70/SETTINGS!$L$19)*SETTINGS!$L$20,0)),"")</f>
        <v/>
      </c>
      <c r="BS70" s="106" t="str">
        <f t="shared" si="26"/>
        <v/>
      </c>
      <c r="BT70" s="103" t="str">
        <f t="shared" si="5"/>
        <v/>
      </c>
      <c r="BU70" s="107" t="str">
        <f t="shared" si="27"/>
        <v/>
      </c>
      <c r="BV70" s="130"/>
      <c r="BW70" s="190" t="str">
        <f>IFERROR(IF(ISBLANK(DATA!AM70),"",DATA!AM70),"")</f>
        <v/>
      </c>
      <c r="BX70" s="190" t="str">
        <f>IFERROR(IF(ISBLANK(DATA!AN70),"",DATA!AN70),"")</f>
        <v/>
      </c>
      <c r="BY70" s="190" t="str">
        <f>IFERROR(IF(ISBLANK(DATA!AO70),"",DATA!AO70),"")</f>
        <v/>
      </c>
      <c r="BZ70" s="190" t="str">
        <f>IFERROR(IF(ISBLANK(DATA!AP70),"",DATA!AP70),"")</f>
        <v/>
      </c>
      <c r="CA70" s="97" t="str">
        <f t="shared" si="28"/>
        <v/>
      </c>
      <c r="CB70" s="106" t="str">
        <f>IFERROR(IF(CA70=0,"",ROUND((CA70/SUM(SETTINGS!$L$14:$L$17))*SETTINGS!$L$18,0)),"")</f>
        <v/>
      </c>
      <c r="CC70" s="190" t="str">
        <f>IFERROR(IF(ISBLANK(DATA!AQ70),"",DATA!AQ70),"")</f>
        <v/>
      </c>
      <c r="CD70" s="106" t="str">
        <f>IFERROR(IF(ISBLANK(CC70),"",ROUND((CC70/SETTINGS!$L$19)*SETTINGS!$L$20,0)),"")</f>
        <v/>
      </c>
      <c r="CE70" s="106" t="str">
        <f t="shared" si="29"/>
        <v/>
      </c>
      <c r="CF70" s="103" t="str">
        <f t="shared" si="6"/>
        <v/>
      </c>
      <c r="CG70" s="107" t="str">
        <f t="shared" si="30"/>
        <v/>
      </c>
      <c r="CH70" s="130"/>
      <c r="CI70" s="190" t="str">
        <f>IFERROR(IF(ISBLANK(DATA!AS70),"",DATA!AS70),"")</f>
        <v/>
      </c>
      <c r="CJ70" s="190" t="str">
        <f>IFERROR(IF(ISBLANK(DATA!AT70),"",DATA!AT70),"")</f>
        <v/>
      </c>
      <c r="CK70" s="190" t="str">
        <f>IFERROR(IF(ISBLANK(DATA!AU70),"",DATA!AU70),"")</f>
        <v/>
      </c>
      <c r="CL70" s="190" t="str">
        <f>IFERROR(IF(ISBLANK(DATA!AV70),"",DATA!AV70),"")</f>
        <v/>
      </c>
      <c r="CM70" s="97" t="str">
        <f t="shared" si="31"/>
        <v/>
      </c>
      <c r="CN70" s="106" t="str">
        <f>IFERROR(IF(CM70=0,"",ROUND((CM70/SUM(SETTINGS!$L$14:$L$17))*SETTINGS!$L$18,0)),"")</f>
        <v/>
      </c>
      <c r="CO70" s="190" t="str">
        <f>IFERROR(IF(ISBLANK(DATA!AW70),"",DATA!AW70),"")</f>
        <v/>
      </c>
      <c r="CP70" s="106" t="str">
        <f>IFERROR(IF(ISBLANK(CO70),"",ROUND((CO70/SETTINGS!$L$19)*SETTINGS!$L$20,0)),"")</f>
        <v/>
      </c>
      <c r="CQ70" s="106" t="str">
        <f t="shared" si="32"/>
        <v/>
      </c>
      <c r="CR70" s="103" t="str">
        <f t="shared" si="7"/>
        <v/>
      </c>
      <c r="CS70" s="107" t="str">
        <f t="shared" si="33"/>
        <v/>
      </c>
      <c r="CT70" s="130"/>
      <c r="CU70" s="188" t="str">
        <f>IFERROR(IF(ISBLANK(DATA!AY70),"",DATA!AY70),"")</f>
        <v/>
      </c>
      <c r="CV70" s="188" t="str">
        <f>IFERROR(IF(ISBLANK(DATA!AZ70),"",DATA!AZ70),"")</f>
        <v/>
      </c>
      <c r="CW70" s="188" t="str">
        <f>IFERROR(IF(ISBLANK(DATA!BA70),"",DATA!BA70),"")</f>
        <v/>
      </c>
      <c r="CX70" s="188" t="str">
        <f>IFERROR(IF(ISBLANK(DATA!BB70),"",DATA!BB70),"")</f>
        <v/>
      </c>
      <c r="CY70" s="97" t="str">
        <f t="shared" si="34"/>
        <v/>
      </c>
      <c r="CZ70" s="106" t="str">
        <f>IFERROR(IF(CY70=0,"",ROUND((CY70/SUM(SETTINGS!$L$14:$L$17))*SETTINGS!$L$18,0)),"")</f>
        <v/>
      </c>
      <c r="DA70" s="190" t="str">
        <f>IFERROR(IF(ISBLANK(DATA!BC70),"",DATA!BC70),"")</f>
        <v/>
      </c>
      <c r="DB70" s="106" t="str">
        <f>IFERROR(IF(ISBLANK(DA70),"",ROUND((DA70/SETTINGS!$L$19)*SETTINGS!$L$20,0)),"")</f>
        <v/>
      </c>
      <c r="DC70" s="106" t="str">
        <f t="shared" si="35"/>
        <v/>
      </c>
      <c r="DD70" s="103" t="str">
        <f t="shared" si="8"/>
        <v/>
      </c>
      <c r="DE70" s="107" t="str">
        <f t="shared" si="36"/>
        <v/>
      </c>
      <c r="DF70" s="103" t="str">
        <f t="shared" si="9"/>
        <v/>
      </c>
      <c r="DG70" s="103" t="str">
        <f>IFERROR(IF(AND(K70,W70,AI70,AU70,BG70,BS70,CE70,CQ70,DC70)="","",SUM(K70,W70,AI70,AU70,LARGE((BG70,BS70,CE70,CQ70,DC70),{1,2}))),"")</f>
        <v/>
      </c>
      <c r="DH70" s="103" t="str">
        <f>IFERROR(IF(AND(M70,Y70,AK70,AW70,,BI70,BU70,CG70,CS70,DE70)="","",SUM(M70,Y70,AK70,AW70,SMALL((BI70,BU70,CG70,CS70,DE70),{1,2}))),"")</f>
        <v/>
      </c>
      <c r="DI70" s="109" t="str">
        <f>IFERROR(IF(ISBLANK($D70),"",pos&amp;IF(AND(MOD(ABS(pos),100)&gt;10,MOD(ABS(pos),100)&lt;14),"th",CHOOSE(MOD(ABS(pos),10)+1,"th","st","nd","rd","th","th","th","th","th","th"))),"")</f>
        <v/>
      </c>
      <c r="DJ70" s="62">
        <f>ROWS($B$12:$B70)</f>
        <v>59</v>
      </c>
      <c r="DK70" s="62" t="str">
        <f>IF($B70=REPORT_CARD!$M$12,$DJ70,"")</f>
        <v/>
      </c>
      <c r="DL70" s="62"/>
      <c r="DM70" s="186" t="str">
        <f t="shared" ref="DM70:DM76" si="40">IFERROR(IF($DF70="","",RANK($DF70,$DF$12:$DF$76)),"")</f>
        <v/>
      </c>
    </row>
    <row r="71" spans="1:117" ht="19.5" customHeight="1">
      <c r="A71" s="187" t="str">
        <f>IFERROR(IF(ISBLANK(DATA!$A71),"",DATA!$A71),"")</f>
        <v/>
      </c>
      <c r="B71" s="187" t="str">
        <f>IFERROR(IF(ISBLANK(DATA!$B71),"",DATA!$B71),"")</f>
        <v/>
      </c>
      <c r="C71" s="190" t="str">
        <f>IFERROR(IF(ISBLANK(DATA!C71),"",DATA!C71),"")</f>
        <v/>
      </c>
      <c r="D71" s="190" t="str">
        <f>IFERROR(IF(ISBLANK(DATA!D71),"",DATA!D71),"")</f>
        <v/>
      </c>
      <c r="E71" s="190" t="str">
        <f>IFERROR(IF(ISBLANK(DATA!E71),"",DATA!E71),"")</f>
        <v/>
      </c>
      <c r="F71" s="190" t="str">
        <f>IFERROR(IF(ISBLANK(DATA!F71),"",DATA!F71),"")</f>
        <v/>
      </c>
      <c r="G71" s="97" t="str">
        <f t="shared" si="37"/>
        <v/>
      </c>
      <c r="H71" s="106" t="str">
        <f>IFERROR(IF(G71=0,"",ROUND((G71/SUM(SETTINGS!$L$14:$L$17))*SETTINGS!$L$18,0)),"")</f>
        <v/>
      </c>
      <c r="I71" s="190" t="str">
        <f>IFERROR(IF(ISBLANK(DATA!G71),"",DATA!G71),"")</f>
        <v/>
      </c>
      <c r="J71" s="106" t="str">
        <f>IFERROR(IF(ISBLANK(I71),"",ROUND((I71/SETTINGS!$L$19)*SETTINGS!$L$20,0)),"")</f>
        <v/>
      </c>
      <c r="K71" s="106" t="str">
        <f t="shared" si="10"/>
        <v/>
      </c>
      <c r="L71" s="103" t="str">
        <f t="shared" si="0"/>
        <v/>
      </c>
      <c r="M71" s="107" t="str">
        <f t="shared" si="11"/>
        <v/>
      </c>
      <c r="N71" s="136"/>
      <c r="O71" s="190" t="str">
        <f>IFERROR(IF(ISBLANK(DATA!I71),"",DATA!I71),"")</f>
        <v/>
      </c>
      <c r="P71" s="190" t="str">
        <f>IFERROR(IF(ISBLANK(DATA!J71),"",DATA!J71),"")</f>
        <v/>
      </c>
      <c r="Q71" s="190" t="str">
        <f>IFERROR(IF(ISBLANK(DATA!K71),"",DATA!K71),"")</f>
        <v/>
      </c>
      <c r="R71" s="190" t="str">
        <f>IFERROR(IF(ISBLANK(DATA!L71),"",DATA!L71),"")</f>
        <v/>
      </c>
      <c r="S71" s="97" t="str">
        <f t="shared" si="38"/>
        <v/>
      </c>
      <c r="T71" s="106" t="str">
        <f>IFERROR(IF(S71=0,"",ROUND((S71/SUM(SETTINGS!$L$14:$L$17))*SETTINGS!$L$18,0)),"")</f>
        <v/>
      </c>
      <c r="U71" s="190" t="str">
        <f>IFERROR(IF(ISBLANK(DATA!M71),"",DATA!M71),"")</f>
        <v/>
      </c>
      <c r="V71" s="106" t="str">
        <f>IFERROR(IF(ISBLANK(U71),"",ROUND((U71/SETTINGS!$L$19)*SETTINGS!$L$20,0)),"")</f>
        <v/>
      </c>
      <c r="W71" s="106" t="str">
        <f t="shared" si="13"/>
        <v/>
      </c>
      <c r="X71" s="103" t="str">
        <f t="shared" si="14"/>
        <v/>
      </c>
      <c r="Y71" s="107" t="str">
        <f t="shared" si="15"/>
        <v/>
      </c>
      <c r="Z71" s="130"/>
      <c r="AA71" s="190" t="str">
        <f>IFERROR(IF(ISBLANK(DATA!O71),"",DATA!O71),"")</f>
        <v/>
      </c>
      <c r="AB71" s="190" t="str">
        <f>IFERROR(IF(ISBLANK(DATA!P71),"",DATA!P71),"")</f>
        <v/>
      </c>
      <c r="AC71" s="190" t="str">
        <f>IFERROR(IF(ISBLANK(DATA!Q71),"",DATA!Q71),"")</f>
        <v/>
      </c>
      <c r="AD71" s="190" t="str">
        <f>IFERROR(IF(ISBLANK(DATA!R71),"",DATA!R71),"")</f>
        <v/>
      </c>
      <c r="AE71" s="97" t="str">
        <f t="shared" si="39"/>
        <v/>
      </c>
      <c r="AF71" s="106" t="str">
        <f>IFERROR(IF(AE71=0,"",ROUND((AE71/SUM(SETTINGS!$L$14:$L$17))*SETTINGS!$L$18,0)),"")</f>
        <v/>
      </c>
      <c r="AG71" s="190" t="str">
        <f>IFERROR(IF(ISBLANK(DATA!S71),"",DATA!S71),"")</f>
        <v/>
      </c>
      <c r="AH71" s="106" t="str">
        <f>IFERROR(IF(ISBLANK(AG71),"",ROUND((AG71/SETTINGS!$L$19)*SETTINGS!$L$20,0)),"")</f>
        <v/>
      </c>
      <c r="AI71" s="106" t="str">
        <f t="shared" si="17"/>
        <v/>
      </c>
      <c r="AJ71" s="103" t="str">
        <f t="shared" si="2"/>
        <v/>
      </c>
      <c r="AK71" s="108" t="str">
        <f t="shared" si="18"/>
        <v/>
      </c>
      <c r="AL71" s="130"/>
      <c r="AM71" s="190" t="str">
        <f>IFERROR(IF(ISBLANK(DATA!U71),"",DATA!U71),"")</f>
        <v/>
      </c>
      <c r="AN71" s="190" t="str">
        <f>IFERROR(IF(ISBLANK(DATA!V71),"",DATA!V71),"")</f>
        <v/>
      </c>
      <c r="AO71" s="190" t="str">
        <f>IFERROR(IF(ISBLANK(DATA!W71),"",DATA!W71),"")</f>
        <v/>
      </c>
      <c r="AP71" s="190" t="str">
        <f>IFERROR(IF(ISBLANK(DATA!X71),"",DATA!X71),"")</f>
        <v/>
      </c>
      <c r="AQ71" s="97" t="str">
        <f t="shared" si="19"/>
        <v/>
      </c>
      <c r="AR71" s="106" t="str">
        <f>IFERROR(IF(AQ71=0,"",ROUND((AQ71/SUM(SETTINGS!$L$14:$L$17))*SETTINGS!$L$18,0)),"")</f>
        <v/>
      </c>
      <c r="AS71" s="190" t="str">
        <f>IFERROR(IF(ISBLANK(DATA!Y71),"",DATA!Y71),"")</f>
        <v/>
      </c>
      <c r="AT71" s="106" t="str">
        <f>IFERROR(IF(ISBLANK(AS71),"",ROUND((AS71/SETTINGS!$L$19)*SETTINGS!$L$20,0)),"")</f>
        <v/>
      </c>
      <c r="AU71" s="106" t="str">
        <f t="shared" si="20"/>
        <v/>
      </c>
      <c r="AV71" s="103" t="str">
        <f t="shared" si="3"/>
        <v/>
      </c>
      <c r="AW71" s="107" t="str">
        <f t="shared" si="21"/>
        <v/>
      </c>
      <c r="AX71" s="130"/>
      <c r="AY71" s="190" t="str">
        <f>IFERROR(IF(ISBLANK(DATA!AA71),"",DATA!AA71),"")</f>
        <v/>
      </c>
      <c r="AZ71" s="190" t="str">
        <f>IFERROR(IF(ISBLANK(DATA!AB71),"",DATA!AB71),"")</f>
        <v/>
      </c>
      <c r="BA71" s="190" t="str">
        <f>IFERROR(IF(ISBLANK(DATA!AC71),"",DATA!AC71),"")</f>
        <v/>
      </c>
      <c r="BB71" s="190" t="str">
        <f>IFERROR(IF(ISBLANK(DATA!AD71),"",DATA!AD71),"")</f>
        <v/>
      </c>
      <c r="BC71" s="97" t="str">
        <f t="shared" si="22"/>
        <v/>
      </c>
      <c r="BD71" s="106" t="str">
        <f>IFERROR(IF(BC71=0,"",ROUND((BC71/SUM(SETTINGS!$L$14:$L$17))*SETTINGS!$L$18,0)),"")</f>
        <v/>
      </c>
      <c r="BE71" s="190" t="str">
        <f>IFERROR(IF(ISBLANK(DATA!AE71),"",DATA!AE71),"")</f>
        <v/>
      </c>
      <c r="BF71" s="106" t="str">
        <f>IFERROR(IF(ISBLANK(BE71),"",ROUND((BE71/SETTINGS!$L$19)*SETTINGS!$L$20,0)),"")</f>
        <v/>
      </c>
      <c r="BG71" s="106" t="str">
        <f t="shared" si="23"/>
        <v/>
      </c>
      <c r="BH71" s="103" t="str">
        <f t="shared" si="4"/>
        <v/>
      </c>
      <c r="BI71" s="108" t="str">
        <f t="shared" si="24"/>
        <v/>
      </c>
      <c r="BJ71" s="130"/>
      <c r="BK71" s="190" t="str">
        <f>IFERROR(IF(ISBLANK(DATA!AG71),"",DATA!AG71),"")</f>
        <v/>
      </c>
      <c r="BL71" s="190" t="str">
        <f>IFERROR(IF(ISBLANK(DATA!AH71),"",DATA!AH71),"")</f>
        <v/>
      </c>
      <c r="BM71" s="190" t="str">
        <f>IFERROR(IF(ISBLANK(DATA!AI71),"",DATA!AI71),"")</f>
        <v/>
      </c>
      <c r="BN71" s="190" t="str">
        <f>IFERROR(IF(ISBLANK(DATA!AJ71),"",DATA!AJ71),"")</f>
        <v/>
      </c>
      <c r="BO71" s="97" t="str">
        <f t="shared" si="25"/>
        <v/>
      </c>
      <c r="BP71" s="106" t="str">
        <f>IFERROR(IF(BO71=0,"",ROUND((BO71/SUM(SETTINGS!$L$14:$L$17))*SETTINGS!$L$18,0)),"")</f>
        <v/>
      </c>
      <c r="BQ71" s="190" t="str">
        <f>IFERROR(IF(ISBLANK(DATA!AK71),"",DATA!AK71),"")</f>
        <v/>
      </c>
      <c r="BR71" s="106" t="str">
        <f>IFERROR(IF(ISBLANK(BQ71),"",ROUND((BQ71/SETTINGS!$L$19)*SETTINGS!$L$20,0)),"")</f>
        <v/>
      </c>
      <c r="BS71" s="106" t="str">
        <f t="shared" si="26"/>
        <v/>
      </c>
      <c r="BT71" s="103" t="str">
        <f t="shared" si="5"/>
        <v/>
      </c>
      <c r="BU71" s="107" t="str">
        <f t="shared" si="27"/>
        <v/>
      </c>
      <c r="BV71" s="130"/>
      <c r="BW71" s="190" t="str">
        <f>IFERROR(IF(ISBLANK(DATA!AM71),"",DATA!AM71),"")</f>
        <v/>
      </c>
      <c r="BX71" s="190" t="str">
        <f>IFERROR(IF(ISBLANK(DATA!AN71),"",DATA!AN71),"")</f>
        <v/>
      </c>
      <c r="BY71" s="190" t="str">
        <f>IFERROR(IF(ISBLANK(DATA!AO71),"",DATA!AO71),"")</f>
        <v/>
      </c>
      <c r="BZ71" s="190" t="str">
        <f>IFERROR(IF(ISBLANK(DATA!AP71),"",DATA!AP71),"")</f>
        <v/>
      </c>
      <c r="CA71" s="97" t="str">
        <f t="shared" si="28"/>
        <v/>
      </c>
      <c r="CB71" s="106" t="str">
        <f>IFERROR(IF(CA71=0,"",ROUND((CA71/SUM(SETTINGS!$L$14:$L$17))*SETTINGS!$L$18,0)),"")</f>
        <v/>
      </c>
      <c r="CC71" s="190" t="str">
        <f>IFERROR(IF(ISBLANK(DATA!AQ71),"",DATA!AQ71),"")</f>
        <v/>
      </c>
      <c r="CD71" s="106" t="str">
        <f>IFERROR(IF(ISBLANK(CC71),"",ROUND((CC71/SETTINGS!$L$19)*SETTINGS!$L$20,0)),"")</f>
        <v/>
      </c>
      <c r="CE71" s="106" t="str">
        <f t="shared" si="29"/>
        <v/>
      </c>
      <c r="CF71" s="103" t="str">
        <f t="shared" si="6"/>
        <v/>
      </c>
      <c r="CG71" s="107" t="str">
        <f t="shared" si="30"/>
        <v/>
      </c>
      <c r="CH71" s="130"/>
      <c r="CI71" s="190" t="str">
        <f>IFERROR(IF(ISBLANK(DATA!AS71),"",DATA!AS71),"")</f>
        <v/>
      </c>
      <c r="CJ71" s="190" t="str">
        <f>IFERROR(IF(ISBLANK(DATA!AT71),"",DATA!AT71),"")</f>
        <v/>
      </c>
      <c r="CK71" s="190" t="str">
        <f>IFERROR(IF(ISBLANK(DATA!AU71),"",DATA!AU71),"")</f>
        <v/>
      </c>
      <c r="CL71" s="190" t="str">
        <f>IFERROR(IF(ISBLANK(DATA!AV71),"",DATA!AV71),"")</f>
        <v/>
      </c>
      <c r="CM71" s="97" t="str">
        <f t="shared" si="31"/>
        <v/>
      </c>
      <c r="CN71" s="106" t="str">
        <f>IFERROR(IF(CM71=0,"",ROUND((CM71/SUM(SETTINGS!$L$14:$L$17))*SETTINGS!$L$18,0)),"")</f>
        <v/>
      </c>
      <c r="CO71" s="190" t="str">
        <f>IFERROR(IF(ISBLANK(DATA!AW71),"",DATA!AW71),"")</f>
        <v/>
      </c>
      <c r="CP71" s="106" t="str">
        <f>IFERROR(IF(ISBLANK(CO71),"",ROUND((CO71/SETTINGS!$L$19)*SETTINGS!$L$20,0)),"")</f>
        <v/>
      </c>
      <c r="CQ71" s="106" t="str">
        <f t="shared" si="32"/>
        <v/>
      </c>
      <c r="CR71" s="103" t="str">
        <f t="shared" si="7"/>
        <v/>
      </c>
      <c r="CS71" s="107" t="str">
        <f t="shared" si="33"/>
        <v/>
      </c>
      <c r="CT71" s="130"/>
      <c r="CU71" s="190" t="str">
        <f>IFERROR(IF(ISBLANK(DATA!AY71),"",DATA!AY71),"")</f>
        <v/>
      </c>
      <c r="CV71" s="190" t="str">
        <f>IFERROR(IF(ISBLANK(DATA!AZ71),"",DATA!AZ71),"")</f>
        <v/>
      </c>
      <c r="CW71" s="190" t="str">
        <f>IFERROR(IF(ISBLANK(DATA!BA71),"",DATA!BA71),"")</f>
        <v/>
      </c>
      <c r="CX71" s="190" t="str">
        <f>IFERROR(IF(ISBLANK(DATA!BB71),"",DATA!BB71),"")</f>
        <v/>
      </c>
      <c r="CY71" s="97" t="str">
        <f t="shared" si="34"/>
        <v/>
      </c>
      <c r="CZ71" s="106" t="str">
        <f>IFERROR(IF(CY71=0,"",ROUND((CY71/SUM(SETTINGS!$L$14:$L$17))*SETTINGS!$L$18,0)),"")</f>
        <v/>
      </c>
      <c r="DA71" s="190" t="str">
        <f>IFERROR(IF(ISBLANK(DATA!BC71),"",DATA!BC71),"")</f>
        <v/>
      </c>
      <c r="DB71" s="106" t="str">
        <f>IFERROR(IF(ISBLANK(DA71),"",ROUND((DA71/SETTINGS!$L$19)*SETTINGS!$L$20,0)),"")</f>
        <v/>
      </c>
      <c r="DC71" s="106" t="str">
        <f t="shared" si="35"/>
        <v/>
      </c>
      <c r="DD71" s="103" t="str">
        <f t="shared" si="8"/>
        <v/>
      </c>
      <c r="DE71" s="107" t="str">
        <f t="shared" si="36"/>
        <v/>
      </c>
      <c r="DF71" s="103" t="str">
        <f t="shared" si="9"/>
        <v/>
      </c>
      <c r="DG71" s="103" t="str">
        <f>IFERROR(IF(AND(K71,W71,AI71,AU71,BG71,BS71,CE71,CQ71,DC71)="","",SUM(K71,W71,AI71,AU71,LARGE((BG71,BS71,CE71,CQ71,DC71),{1,2}))),"")</f>
        <v/>
      </c>
      <c r="DH71" s="103" t="str">
        <f>IFERROR(IF(AND(M71,Y71,AK71,AW71,,BI71,BU71,CG71,CS71,DE71)="","",SUM(M71,Y71,AK71,AW71,SMALL((BI71,BU71,CG71,CS71,DE71),{1,2}))),"")</f>
        <v/>
      </c>
      <c r="DI71" s="109" t="str">
        <f>IFERROR(IF(ISBLANK($D71),"",pos&amp;IF(AND(MOD(ABS(pos),100)&gt;10,MOD(ABS(pos),100)&lt;14),"th",CHOOSE(MOD(ABS(pos),10)+1,"th","st","nd","rd","th","th","th","th","th","th"))),"")</f>
        <v/>
      </c>
      <c r="DJ71" s="62">
        <f>ROWS($B$12:$B71)</f>
        <v>60</v>
      </c>
      <c r="DK71" s="62" t="str">
        <f>IF($B71=REPORT_CARD!$M$12,$DJ71,"")</f>
        <v/>
      </c>
      <c r="DL71" s="62"/>
      <c r="DM71" s="186" t="str">
        <f t="shared" si="40"/>
        <v/>
      </c>
    </row>
    <row r="72" spans="1:117" ht="19.5" customHeight="1">
      <c r="A72" s="187" t="str">
        <f>IFERROR(IF(ISBLANK(DATA!$A72),"",DATA!$A72),"")</f>
        <v/>
      </c>
      <c r="B72" s="187" t="str">
        <f>IFERROR(IF(ISBLANK(DATA!$B72),"",DATA!$B72),"")</f>
        <v/>
      </c>
      <c r="C72" s="190" t="str">
        <f>IFERROR(IF(ISBLANK(DATA!C72),"",DATA!C72),"")</f>
        <v/>
      </c>
      <c r="D72" s="190" t="str">
        <f>IFERROR(IF(ISBLANK(DATA!D72),"",DATA!D72),"")</f>
        <v/>
      </c>
      <c r="E72" s="190" t="str">
        <f>IFERROR(IF(ISBLANK(DATA!E72),"",DATA!E72),"")</f>
        <v/>
      </c>
      <c r="F72" s="190" t="str">
        <f>IFERROR(IF(ISBLANK(DATA!F72),"",DATA!F72),"")</f>
        <v/>
      </c>
      <c r="G72" s="97" t="str">
        <f t="shared" si="37"/>
        <v/>
      </c>
      <c r="H72" s="106" t="str">
        <f>IFERROR(IF(G72=0,"",ROUND((G72/SUM(SETTINGS!$L$14:$L$17))*SETTINGS!$L$18,0)),"")</f>
        <v/>
      </c>
      <c r="I72" s="190" t="str">
        <f>IFERROR(IF(ISBLANK(DATA!G72),"",DATA!G72),"")</f>
        <v/>
      </c>
      <c r="J72" s="106" t="str">
        <f>IFERROR(IF(ISBLANK(I72),"",ROUND((I72/SETTINGS!$L$19)*SETTINGS!$L$20,0)),"")</f>
        <v/>
      </c>
      <c r="K72" s="106" t="str">
        <f t="shared" si="10"/>
        <v/>
      </c>
      <c r="L72" s="103" t="str">
        <f t="shared" si="0"/>
        <v/>
      </c>
      <c r="M72" s="107" t="str">
        <f t="shared" si="11"/>
        <v/>
      </c>
      <c r="N72" s="136"/>
      <c r="O72" s="190" t="str">
        <f>IFERROR(IF(ISBLANK(DATA!I72),"",DATA!I72),"")</f>
        <v/>
      </c>
      <c r="P72" s="190" t="str">
        <f>IFERROR(IF(ISBLANK(DATA!J72),"",DATA!J72),"")</f>
        <v/>
      </c>
      <c r="Q72" s="190" t="str">
        <f>IFERROR(IF(ISBLANK(DATA!K72),"",DATA!K72),"")</f>
        <v/>
      </c>
      <c r="R72" s="190" t="str">
        <f>IFERROR(IF(ISBLANK(DATA!L72),"",DATA!L72),"")</f>
        <v/>
      </c>
      <c r="S72" s="97" t="str">
        <f t="shared" si="38"/>
        <v/>
      </c>
      <c r="T72" s="106" t="str">
        <f>IFERROR(IF(S72=0,"",ROUND((S72/SUM(SETTINGS!$L$14:$L$17))*SETTINGS!$L$18,0)),"")</f>
        <v/>
      </c>
      <c r="U72" s="190" t="str">
        <f>IFERROR(IF(ISBLANK(DATA!M72),"",DATA!M72),"")</f>
        <v/>
      </c>
      <c r="V72" s="106" t="str">
        <f>IFERROR(IF(ISBLANK(U72),"",ROUND((U72/SETTINGS!$L$19)*SETTINGS!$L$20,0)),"")</f>
        <v/>
      </c>
      <c r="W72" s="106" t="str">
        <f t="shared" si="13"/>
        <v/>
      </c>
      <c r="X72" s="103" t="str">
        <f t="shared" si="14"/>
        <v/>
      </c>
      <c r="Y72" s="107" t="str">
        <f t="shared" si="15"/>
        <v/>
      </c>
      <c r="Z72" s="130"/>
      <c r="AA72" s="190" t="str">
        <f>IFERROR(IF(ISBLANK(DATA!O72),"",DATA!O72),"")</f>
        <v/>
      </c>
      <c r="AB72" s="190" t="str">
        <f>IFERROR(IF(ISBLANK(DATA!P72),"",DATA!P72),"")</f>
        <v/>
      </c>
      <c r="AC72" s="190" t="str">
        <f>IFERROR(IF(ISBLANK(DATA!Q72),"",DATA!Q72),"")</f>
        <v/>
      </c>
      <c r="AD72" s="190" t="str">
        <f>IFERROR(IF(ISBLANK(DATA!R72),"",DATA!R72),"")</f>
        <v/>
      </c>
      <c r="AE72" s="97" t="str">
        <f t="shared" si="39"/>
        <v/>
      </c>
      <c r="AF72" s="106" t="str">
        <f>IFERROR(IF(AE72=0,"",ROUND((AE72/SUM(SETTINGS!$L$14:$L$17))*SETTINGS!$L$18,0)),"")</f>
        <v/>
      </c>
      <c r="AG72" s="190" t="str">
        <f>IFERROR(IF(ISBLANK(DATA!S72),"",DATA!S72),"")</f>
        <v/>
      </c>
      <c r="AH72" s="106" t="str">
        <f>IFERROR(IF(ISBLANK(AG72),"",ROUND((AG72/SETTINGS!$L$19)*SETTINGS!$L$20,0)),"")</f>
        <v/>
      </c>
      <c r="AI72" s="106" t="str">
        <f t="shared" si="17"/>
        <v/>
      </c>
      <c r="AJ72" s="103" t="str">
        <f t="shared" si="2"/>
        <v/>
      </c>
      <c r="AK72" s="108" t="str">
        <f t="shared" si="18"/>
        <v/>
      </c>
      <c r="AL72" s="130"/>
      <c r="AM72" s="190" t="str">
        <f>IFERROR(IF(ISBLANK(DATA!U72),"",DATA!U72),"")</f>
        <v/>
      </c>
      <c r="AN72" s="190" t="str">
        <f>IFERROR(IF(ISBLANK(DATA!V72),"",DATA!V72),"")</f>
        <v/>
      </c>
      <c r="AO72" s="190" t="str">
        <f>IFERROR(IF(ISBLANK(DATA!W72),"",DATA!W72),"")</f>
        <v/>
      </c>
      <c r="AP72" s="190" t="str">
        <f>IFERROR(IF(ISBLANK(DATA!X72),"",DATA!X72),"")</f>
        <v/>
      </c>
      <c r="AQ72" s="97" t="str">
        <f t="shared" si="19"/>
        <v/>
      </c>
      <c r="AR72" s="106" t="str">
        <f>IFERROR(IF(AQ72=0,"",ROUND((AQ72/SUM(SETTINGS!$L$14:$L$17))*SETTINGS!$L$18,0)),"")</f>
        <v/>
      </c>
      <c r="AS72" s="190" t="str">
        <f>IFERROR(IF(ISBLANK(DATA!Y72),"",DATA!Y72),"")</f>
        <v/>
      </c>
      <c r="AT72" s="106" t="str">
        <f>IFERROR(IF(ISBLANK(AS72),"",ROUND((AS72/SETTINGS!$L$19)*SETTINGS!$L$20,0)),"")</f>
        <v/>
      </c>
      <c r="AU72" s="106" t="str">
        <f t="shared" si="20"/>
        <v/>
      </c>
      <c r="AV72" s="103" t="str">
        <f t="shared" si="3"/>
        <v/>
      </c>
      <c r="AW72" s="107" t="str">
        <f t="shared" si="21"/>
        <v/>
      </c>
      <c r="AX72" s="130"/>
      <c r="AY72" s="190" t="str">
        <f>IFERROR(IF(ISBLANK(DATA!AA72),"",DATA!AA72),"")</f>
        <v/>
      </c>
      <c r="AZ72" s="190" t="str">
        <f>IFERROR(IF(ISBLANK(DATA!AB72),"",DATA!AB72),"")</f>
        <v/>
      </c>
      <c r="BA72" s="190" t="str">
        <f>IFERROR(IF(ISBLANK(DATA!AC72),"",DATA!AC72),"")</f>
        <v/>
      </c>
      <c r="BB72" s="190" t="str">
        <f>IFERROR(IF(ISBLANK(DATA!AD72),"",DATA!AD72),"")</f>
        <v/>
      </c>
      <c r="BC72" s="97" t="str">
        <f t="shared" si="22"/>
        <v/>
      </c>
      <c r="BD72" s="106" t="str">
        <f>IFERROR(IF(BC72=0,"",ROUND((BC72/SUM(SETTINGS!$L$14:$L$17))*SETTINGS!$L$18,0)),"")</f>
        <v/>
      </c>
      <c r="BE72" s="190" t="str">
        <f>IFERROR(IF(ISBLANK(DATA!AE72),"",DATA!AE72),"")</f>
        <v/>
      </c>
      <c r="BF72" s="106" t="str">
        <f>IFERROR(IF(ISBLANK(BE72),"",ROUND((BE72/SETTINGS!$L$19)*SETTINGS!$L$20,0)),"")</f>
        <v/>
      </c>
      <c r="BG72" s="106" t="str">
        <f t="shared" si="23"/>
        <v/>
      </c>
      <c r="BH72" s="103" t="str">
        <f t="shared" si="4"/>
        <v/>
      </c>
      <c r="BI72" s="108" t="str">
        <f t="shared" si="24"/>
        <v/>
      </c>
      <c r="BJ72" s="130"/>
      <c r="BK72" s="190" t="str">
        <f>IFERROR(IF(ISBLANK(DATA!AG72),"",DATA!AG72),"")</f>
        <v/>
      </c>
      <c r="BL72" s="190" t="str">
        <f>IFERROR(IF(ISBLANK(DATA!AH72),"",DATA!AH72),"")</f>
        <v/>
      </c>
      <c r="BM72" s="190" t="str">
        <f>IFERROR(IF(ISBLANK(DATA!AI72),"",DATA!AI72),"")</f>
        <v/>
      </c>
      <c r="BN72" s="190" t="str">
        <f>IFERROR(IF(ISBLANK(DATA!AJ72),"",DATA!AJ72),"")</f>
        <v/>
      </c>
      <c r="BO72" s="97" t="str">
        <f t="shared" si="25"/>
        <v/>
      </c>
      <c r="BP72" s="106" t="str">
        <f>IFERROR(IF(BO72=0,"",ROUND((BO72/SUM(SETTINGS!$L$14:$L$17))*SETTINGS!$L$18,0)),"")</f>
        <v/>
      </c>
      <c r="BQ72" s="190" t="str">
        <f>IFERROR(IF(ISBLANK(DATA!AK72),"",DATA!AK72),"")</f>
        <v/>
      </c>
      <c r="BR72" s="106" t="str">
        <f>IFERROR(IF(ISBLANK(BQ72),"",ROUND((BQ72/SETTINGS!$L$19)*SETTINGS!$L$20,0)),"")</f>
        <v/>
      </c>
      <c r="BS72" s="106" t="str">
        <f t="shared" si="26"/>
        <v/>
      </c>
      <c r="BT72" s="103" t="str">
        <f t="shared" si="5"/>
        <v/>
      </c>
      <c r="BU72" s="107" t="str">
        <f t="shared" si="27"/>
        <v/>
      </c>
      <c r="BV72" s="130"/>
      <c r="BW72" s="190" t="str">
        <f>IFERROR(IF(ISBLANK(DATA!AM72),"",DATA!AM72),"")</f>
        <v/>
      </c>
      <c r="BX72" s="190" t="str">
        <f>IFERROR(IF(ISBLANK(DATA!AN72),"",DATA!AN72),"")</f>
        <v/>
      </c>
      <c r="BY72" s="190" t="str">
        <f>IFERROR(IF(ISBLANK(DATA!AO72),"",DATA!AO72),"")</f>
        <v/>
      </c>
      <c r="BZ72" s="190" t="str">
        <f>IFERROR(IF(ISBLANK(DATA!AP72),"",DATA!AP72),"")</f>
        <v/>
      </c>
      <c r="CA72" s="97" t="str">
        <f t="shared" si="28"/>
        <v/>
      </c>
      <c r="CB72" s="106" t="str">
        <f>IFERROR(IF(CA72=0,"",ROUND((CA72/SUM(SETTINGS!$L$14:$L$17))*SETTINGS!$L$18,0)),"")</f>
        <v/>
      </c>
      <c r="CC72" s="190" t="str">
        <f>IFERROR(IF(ISBLANK(DATA!AQ72),"",DATA!AQ72),"")</f>
        <v/>
      </c>
      <c r="CD72" s="106" t="str">
        <f>IFERROR(IF(ISBLANK(CC72),"",ROUND((CC72/SETTINGS!$L$19)*SETTINGS!$L$20,0)),"")</f>
        <v/>
      </c>
      <c r="CE72" s="106" t="str">
        <f t="shared" si="29"/>
        <v/>
      </c>
      <c r="CF72" s="103" t="str">
        <f t="shared" si="6"/>
        <v/>
      </c>
      <c r="CG72" s="107" t="str">
        <f t="shared" si="30"/>
        <v/>
      </c>
      <c r="CH72" s="130"/>
      <c r="CI72" s="190" t="str">
        <f>IFERROR(IF(ISBLANK(DATA!AS72),"",DATA!AS72),"")</f>
        <v/>
      </c>
      <c r="CJ72" s="190" t="str">
        <f>IFERROR(IF(ISBLANK(DATA!AT72),"",DATA!AT72),"")</f>
        <v/>
      </c>
      <c r="CK72" s="190" t="str">
        <f>IFERROR(IF(ISBLANK(DATA!AU72),"",DATA!AU72),"")</f>
        <v/>
      </c>
      <c r="CL72" s="190" t="str">
        <f>IFERROR(IF(ISBLANK(DATA!AV72),"",DATA!AV72),"")</f>
        <v/>
      </c>
      <c r="CM72" s="97" t="str">
        <f t="shared" si="31"/>
        <v/>
      </c>
      <c r="CN72" s="106" t="str">
        <f>IFERROR(IF(CM72=0,"",ROUND((CM72/SUM(SETTINGS!$L$14:$L$17))*SETTINGS!$L$18,0)),"")</f>
        <v/>
      </c>
      <c r="CO72" s="190" t="str">
        <f>IFERROR(IF(ISBLANK(DATA!AW72),"",DATA!AW72),"")</f>
        <v/>
      </c>
      <c r="CP72" s="106" t="str">
        <f>IFERROR(IF(ISBLANK(CO72),"",ROUND((CO72/SETTINGS!$L$19)*SETTINGS!$L$20,0)),"")</f>
        <v/>
      </c>
      <c r="CQ72" s="106" t="str">
        <f t="shared" si="32"/>
        <v/>
      </c>
      <c r="CR72" s="103" t="str">
        <f t="shared" si="7"/>
        <v/>
      </c>
      <c r="CS72" s="107" t="str">
        <f t="shared" si="33"/>
        <v/>
      </c>
      <c r="CT72" s="130"/>
      <c r="CU72" s="190" t="str">
        <f>IFERROR(IF(ISBLANK(DATA!AY72),"",DATA!AY72),"")</f>
        <v/>
      </c>
      <c r="CV72" s="190" t="str">
        <f>IFERROR(IF(ISBLANK(DATA!AZ72),"",DATA!AZ72),"")</f>
        <v/>
      </c>
      <c r="CW72" s="190" t="str">
        <f>IFERROR(IF(ISBLANK(DATA!BA72),"",DATA!BA72),"")</f>
        <v/>
      </c>
      <c r="CX72" s="190" t="str">
        <f>IFERROR(IF(ISBLANK(DATA!BB72),"",DATA!BB72),"")</f>
        <v/>
      </c>
      <c r="CY72" s="97" t="str">
        <f t="shared" si="34"/>
        <v/>
      </c>
      <c r="CZ72" s="106" t="str">
        <f>IFERROR(IF(CY72=0,"",ROUND((CY72/SUM(SETTINGS!$L$14:$L$17))*SETTINGS!$L$18,0)),"")</f>
        <v/>
      </c>
      <c r="DA72" s="190" t="str">
        <f>IFERROR(IF(ISBLANK(DATA!BC72),"",DATA!BC72),"")</f>
        <v/>
      </c>
      <c r="DB72" s="106" t="str">
        <f>IFERROR(IF(ISBLANK(DA72),"",ROUND((DA72/SETTINGS!$L$19)*SETTINGS!$L$20,0)),"")</f>
        <v/>
      </c>
      <c r="DC72" s="106" t="str">
        <f t="shared" si="35"/>
        <v/>
      </c>
      <c r="DD72" s="103" t="str">
        <f t="shared" si="8"/>
        <v/>
      </c>
      <c r="DE72" s="107" t="str">
        <f t="shared" si="36"/>
        <v/>
      </c>
      <c r="DF72" s="103" t="str">
        <f t="shared" si="9"/>
        <v/>
      </c>
      <c r="DG72" s="103" t="str">
        <f>IFERROR(IF(AND(K72,W72,AI72,AU72,BG72,BS72,CE72,CQ72,DC72)="","",SUM(K72,W72,AI72,AU72,LARGE((BG72,BS72,CE72,CQ72,DC72),{1,2}))),"")</f>
        <v/>
      </c>
      <c r="DH72" s="103" t="str">
        <f>IFERROR(IF(AND(M72,Y72,AK72,AW72,,BI72,BU72,CG72,CS72,DE72)="","",SUM(M72,Y72,AK72,AW72,SMALL((BI72,BU72,CG72,CS72,DE72),{1,2}))),"")</f>
        <v/>
      </c>
      <c r="DI72" s="109" t="str">
        <f>IFERROR(IF(ISBLANK($D72),"",pos&amp;IF(AND(MOD(ABS(pos),100)&gt;10,MOD(ABS(pos),100)&lt;14),"th",CHOOSE(MOD(ABS(pos),10)+1,"th","st","nd","rd","th","th","th","th","th","th"))),"")</f>
        <v/>
      </c>
      <c r="DJ72" s="62">
        <f>ROWS($B$12:$B72)</f>
        <v>61</v>
      </c>
      <c r="DK72" s="62" t="str">
        <f>IF($B72=REPORT_CARD!$M$12,$DJ72,"")</f>
        <v/>
      </c>
      <c r="DL72" s="62"/>
      <c r="DM72" s="186" t="str">
        <f t="shared" si="40"/>
        <v/>
      </c>
    </row>
    <row r="73" spans="1:117" ht="19.5" customHeight="1">
      <c r="A73" s="187" t="str">
        <f>IFERROR(IF(ISBLANK(DATA!$A73),"",DATA!$A73),"")</f>
        <v/>
      </c>
      <c r="B73" s="187" t="str">
        <f>IFERROR(IF(ISBLANK(DATA!$B73),"",DATA!$B73),"")</f>
        <v/>
      </c>
      <c r="C73" s="190" t="str">
        <f>IFERROR(IF(ISBLANK(DATA!C73),"",DATA!C73),"")</f>
        <v/>
      </c>
      <c r="D73" s="190" t="str">
        <f>IFERROR(IF(ISBLANK(DATA!D73),"",DATA!D73),"")</f>
        <v/>
      </c>
      <c r="E73" s="190" t="str">
        <f>IFERROR(IF(ISBLANK(DATA!E73),"",DATA!E73),"")</f>
        <v/>
      </c>
      <c r="F73" s="190" t="str">
        <f>IFERROR(IF(ISBLANK(DATA!F73),"",DATA!F73),"")</f>
        <v/>
      </c>
      <c r="G73" s="97" t="str">
        <f t="shared" si="37"/>
        <v/>
      </c>
      <c r="H73" s="106" t="str">
        <f>IFERROR(IF(G73=0,"",ROUND((G73/SUM(SETTINGS!$L$14:$L$17))*SETTINGS!$L$18,0)),"")</f>
        <v/>
      </c>
      <c r="I73" s="190" t="str">
        <f>IFERROR(IF(ISBLANK(DATA!G73),"",DATA!G73),"")</f>
        <v/>
      </c>
      <c r="J73" s="106" t="str">
        <f>IFERROR(IF(ISBLANK(I73),"",ROUND((I73/SETTINGS!$L$19)*SETTINGS!$L$20,0)),"")</f>
        <v/>
      </c>
      <c r="K73" s="106" t="str">
        <f t="shared" si="10"/>
        <v/>
      </c>
      <c r="L73" s="103" t="str">
        <f t="shared" si="0"/>
        <v/>
      </c>
      <c r="M73" s="107" t="str">
        <f t="shared" si="11"/>
        <v/>
      </c>
      <c r="N73" s="135"/>
      <c r="O73" s="190" t="str">
        <f>IFERROR(IF(ISBLANK(DATA!I73),"",DATA!I73),"")</f>
        <v/>
      </c>
      <c r="P73" s="190" t="str">
        <f>IFERROR(IF(ISBLANK(DATA!J73),"",DATA!J73),"")</f>
        <v/>
      </c>
      <c r="Q73" s="190" t="str">
        <f>IFERROR(IF(ISBLANK(DATA!K73),"",DATA!K73),"")</f>
        <v/>
      </c>
      <c r="R73" s="190" t="str">
        <f>IFERROR(IF(ISBLANK(DATA!L73),"",DATA!L73),"")</f>
        <v/>
      </c>
      <c r="S73" s="97" t="str">
        <f t="shared" si="38"/>
        <v/>
      </c>
      <c r="T73" s="106" t="str">
        <f>IFERROR(IF(S73=0,"",ROUND((S73/SUM(SETTINGS!$L$14:$L$17))*SETTINGS!$L$18,0)),"")</f>
        <v/>
      </c>
      <c r="U73" s="190" t="str">
        <f>IFERROR(IF(ISBLANK(DATA!M73),"",DATA!M73),"")</f>
        <v/>
      </c>
      <c r="V73" s="106" t="str">
        <f>IFERROR(IF(ISBLANK(U73),"",ROUND((U73/SETTINGS!$L$19)*SETTINGS!$L$20,0)),"")</f>
        <v/>
      </c>
      <c r="W73" s="106" t="str">
        <f t="shared" si="13"/>
        <v/>
      </c>
      <c r="X73" s="103" t="str">
        <f t="shared" si="14"/>
        <v/>
      </c>
      <c r="Y73" s="107" t="str">
        <f t="shared" si="15"/>
        <v/>
      </c>
      <c r="Z73" s="135"/>
      <c r="AA73" s="190" t="str">
        <f>IFERROR(IF(ISBLANK(DATA!O73),"",DATA!O73),"")</f>
        <v/>
      </c>
      <c r="AB73" s="190" t="str">
        <f>IFERROR(IF(ISBLANK(DATA!P73),"",DATA!P73),"")</f>
        <v/>
      </c>
      <c r="AC73" s="190" t="str">
        <f>IFERROR(IF(ISBLANK(DATA!Q73),"",DATA!Q73),"")</f>
        <v/>
      </c>
      <c r="AD73" s="190" t="str">
        <f>IFERROR(IF(ISBLANK(DATA!R73),"",DATA!R73),"")</f>
        <v/>
      </c>
      <c r="AE73" s="97" t="str">
        <f t="shared" si="39"/>
        <v/>
      </c>
      <c r="AF73" s="106" t="str">
        <f>IFERROR(IF(AE73=0,"",ROUND((AE73/SUM(SETTINGS!$L$14:$L$17))*SETTINGS!$L$18,0)),"")</f>
        <v/>
      </c>
      <c r="AG73" s="190" t="str">
        <f>IFERROR(IF(ISBLANK(DATA!S73),"",DATA!S73),"")</f>
        <v/>
      </c>
      <c r="AH73" s="106" t="str">
        <f>IFERROR(IF(ISBLANK(AG73),"",ROUND((AG73/SETTINGS!$L$19)*SETTINGS!$L$20,0)),"")</f>
        <v/>
      </c>
      <c r="AI73" s="106" t="str">
        <f t="shared" si="17"/>
        <v/>
      </c>
      <c r="AJ73" s="103" t="str">
        <f t="shared" si="2"/>
        <v/>
      </c>
      <c r="AK73" s="108" t="str">
        <f t="shared" si="18"/>
        <v/>
      </c>
      <c r="AL73" s="135"/>
      <c r="AM73" s="190" t="str">
        <f>IFERROR(IF(ISBLANK(DATA!U73),"",DATA!U73),"")</f>
        <v/>
      </c>
      <c r="AN73" s="190" t="str">
        <f>IFERROR(IF(ISBLANK(DATA!V73),"",DATA!V73),"")</f>
        <v/>
      </c>
      <c r="AO73" s="190" t="str">
        <f>IFERROR(IF(ISBLANK(DATA!W73),"",DATA!W73),"")</f>
        <v/>
      </c>
      <c r="AP73" s="190" t="str">
        <f>IFERROR(IF(ISBLANK(DATA!X73),"",DATA!X73),"")</f>
        <v/>
      </c>
      <c r="AQ73" s="97" t="str">
        <f t="shared" si="19"/>
        <v/>
      </c>
      <c r="AR73" s="106" t="str">
        <f>IFERROR(IF(AQ73=0,"",ROUND((AQ73/SUM(SETTINGS!$L$14:$L$17))*SETTINGS!$L$18,0)),"")</f>
        <v/>
      </c>
      <c r="AS73" s="190" t="str">
        <f>IFERROR(IF(ISBLANK(DATA!Y73),"",DATA!Y73),"")</f>
        <v/>
      </c>
      <c r="AT73" s="106" t="str">
        <f>IFERROR(IF(ISBLANK(AS73),"",ROUND((AS73/SETTINGS!$L$19)*SETTINGS!$L$20,0)),"")</f>
        <v/>
      </c>
      <c r="AU73" s="106" t="str">
        <f t="shared" si="20"/>
        <v/>
      </c>
      <c r="AV73" s="103" t="str">
        <f t="shared" si="3"/>
        <v/>
      </c>
      <c r="AW73" s="107" t="str">
        <f t="shared" si="21"/>
        <v/>
      </c>
      <c r="AX73" s="130"/>
      <c r="AY73" s="190" t="str">
        <f>IFERROR(IF(ISBLANK(DATA!AA73),"",DATA!AA73),"")</f>
        <v/>
      </c>
      <c r="AZ73" s="190" t="str">
        <f>IFERROR(IF(ISBLANK(DATA!AB73),"",DATA!AB73),"")</f>
        <v/>
      </c>
      <c r="BA73" s="190" t="str">
        <f>IFERROR(IF(ISBLANK(DATA!AC73),"",DATA!AC73),"")</f>
        <v/>
      </c>
      <c r="BB73" s="190" t="str">
        <f>IFERROR(IF(ISBLANK(DATA!AD73),"",DATA!AD73),"")</f>
        <v/>
      </c>
      <c r="BC73" s="97" t="str">
        <f t="shared" si="22"/>
        <v/>
      </c>
      <c r="BD73" s="106" t="str">
        <f>IFERROR(IF(BC73=0,"",ROUND((BC73/SUM(SETTINGS!$L$14:$L$17))*SETTINGS!$L$18,0)),"")</f>
        <v/>
      </c>
      <c r="BE73" s="190" t="str">
        <f>IFERROR(IF(ISBLANK(DATA!AE73),"",DATA!AE73),"")</f>
        <v/>
      </c>
      <c r="BF73" s="106" t="str">
        <f>IFERROR(IF(ISBLANK(BE73),"",ROUND((BE73/SETTINGS!$L$19)*SETTINGS!$L$20,0)),"")</f>
        <v/>
      </c>
      <c r="BG73" s="106" t="str">
        <f t="shared" si="23"/>
        <v/>
      </c>
      <c r="BH73" s="103" t="str">
        <f t="shared" si="4"/>
        <v/>
      </c>
      <c r="BI73" s="108" t="str">
        <f t="shared" si="24"/>
        <v/>
      </c>
      <c r="BJ73" s="130"/>
      <c r="BK73" s="190" t="str">
        <f>IFERROR(IF(ISBLANK(DATA!AG73),"",DATA!AG73),"")</f>
        <v/>
      </c>
      <c r="BL73" s="190" t="str">
        <f>IFERROR(IF(ISBLANK(DATA!AH73),"",DATA!AH73),"")</f>
        <v/>
      </c>
      <c r="BM73" s="190" t="str">
        <f>IFERROR(IF(ISBLANK(DATA!AI73),"",DATA!AI73),"")</f>
        <v/>
      </c>
      <c r="BN73" s="190" t="str">
        <f>IFERROR(IF(ISBLANK(DATA!AJ73),"",DATA!AJ73),"")</f>
        <v/>
      </c>
      <c r="BO73" s="97" t="str">
        <f t="shared" si="25"/>
        <v/>
      </c>
      <c r="BP73" s="106" t="str">
        <f>IFERROR(IF(BO73=0,"",ROUND((BO73/SUM(SETTINGS!$L$14:$L$17))*SETTINGS!$L$18,0)),"")</f>
        <v/>
      </c>
      <c r="BQ73" s="190" t="str">
        <f>IFERROR(IF(ISBLANK(DATA!AK73),"",DATA!AK73),"")</f>
        <v/>
      </c>
      <c r="BR73" s="106" t="str">
        <f>IFERROR(IF(ISBLANK(BQ73),"",ROUND((BQ73/SETTINGS!$L$19)*SETTINGS!$L$20,0)),"")</f>
        <v/>
      </c>
      <c r="BS73" s="106" t="str">
        <f t="shared" si="26"/>
        <v/>
      </c>
      <c r="BT73" s="103" t="str">
        <f t="shared" si="5"/>
        <v/>
      </c>
      <c r="BU73" s="107" t="str">
        <f t="shared" si="27"/>
        <v/>
      </c>
      <c r="BV73" s="130"/>
      <c r="BW73" s="190" t="str">
        <f>IFERROR(IF(ISBLANK(DATA!AM73),"",DATA!AM73),"")</f>
        <v/>
      </c>
      <c r="BX73" s="190" t="str">
        <f>IFERROR(IF(ISBLANK(DATA!AN73),"",DATA!AN73),"")</f>
        <v/>
      </c>
      <c r="BY73" s="190" t="str">
        <f>IFERROR(IF(ISBLANK(DATA!AO73),"",DATA!AO73),"")</f>
        <v/>
      </c>
      <c r="BZ73" s="190" t="str">
        <f>IFERROR(IF(ISBLANK(DATA!AP73),"",DATA!AP73),"")</f>
        <v/>
      </c>
      <c r="CA73" s="97" t="str">
        <f t="shared" si="28"/>
        <v/>
      </c>
      <c r="CB73" s="106" t="str">
        <f>IFERROR(IF(CA73=0,"",ROUND((CA73/SUM(SETTINGS!$L$14:$L$17))*SETTINGS!$L$18,0)),"")</f>
        <v/>
      </c>
      <c r="CC73" s="190" t="str">
        <f>IFERROR(IF(ISBLANK(DATA!AQ73),"",DATA!AQ73),"")</f>
        <v/>
      </c>
      <c r="CD73" s="106" t="str">
        <f>IFERROR(IF(ISBLANK(CC73),"",ROUND((CC73/SETTINGS!$L$19)*SETTINGS!$L$20,0)),"")</f>
        <v/>
      </c>
      <c r="CE73" s="106" t="str">
        <f t="shared" si="29"/>
        <v/>
      </c>
      <c r="CF73" s="103" t="str">
        <f t="shared" si="6"/>
        <v/>
      </c>
      <c r="CG73" s="107" t="str">
        <f t="shared" si="30"/>
        <v/>
      </c>
      <c r="CH73" s="130"/>
      <c r="CI73" s="190" t="str">
        <f>IFERROR(IF(ISBLANK(DATA!AS73),"",DATA!AS73),"")</f>
        <v/>
      </c>
      <c r="CJ73" s="190" t="str">
        <f>IFERROR(IF(ISBLANK(DATA!AT73),"",DATA!AT73),"")</f>
        <v/>
      </c>
      <c r="CK73" s="190" t="str">
        <f>IFERROR(IF(ISBLANK(DATA!AU73),"",DATA!AU73),"")</f>
        <v/>
      </c>
      <c r="CL73" s="190" t="str">
        <f>IFERROR(IF(ISBLANK(DATA!AV73),"",DATA!AV73),"")</f>
        <v/>
      </c>
      <c r="CM73" s="97" t="str">
        <f t="shared" si="31"/>
        <v/>
      </c>
      <c r="CN73" s="106" t="str">
        <f>IFERROR(IF(CM73=0,"",ROUND((CM73/SUM(SETTINGS!$L$14:$L$17))*SETTINGS!$L$18,0)),"")</f>
        <v/>
      </c>
      <c r="CO73" s="190" t="str">
        <f>IFERROR(IF(ISBLANK(DATA!AW73),"",DATA!AW73),"")</f>
        <v/>
      </c>
      <c r="CP73" s="106" t="str">
        <f>IFERROR(IF(ISBLANK(CO73),"",ROUND((CO73/SETTINGS!$L$19)*SETTINGS!$L$20,0)),"")</f>
        <v/>
      </c>
      <c r="CQ73" s="106" t="str">
        <f t="shared" si="32"/>
        <v/>
      </c>
      <c r="CR73" s="103" t="str">
        <f t="shared" si="7"/>
        <v/>
      </c>
      <c r="CS73" s="107" t="str">
        <f t="shared" si="33"/>
        <v/>
      </c>
      <c r="CT73" s="130"/>
      <c r="CU73" s="190" t="str">
        <f>IFERROR(IF(ISBLANK(DATA!AY73),"",DATA!AY73),"")</f>
        <v/>
      </c>
      <c r="CV73" s="190" t="str">
        <f>IFERROR(IF(ISBLANK(DATA!AZ73),"",DATA!AZ73),"")</f>
        <v/>
      </c>
      <c r="CW73" s="190" t="str">
        <f>IFERROR(IF(ISBLANK(DATA!BA73),"",DATA!BA73),"")</f>
        <v/>
      </c>
      <c r="CX73" s="190" t="str">
        <f>IFERROR(IF(ISBLANK(DATA!BB73),"",DATA!BB73),"")</f>
        <v/>
      </c>
      <c r="CY73" s="97" t="str">
        <f t="shared" si="34"/>
        <v/>
      </c>
      <c r="CZ73" s="106" t="str">
        <f>IFERROR(IF(CY73=0,"",ROUND((CY73/SUM(SETTINGS!$L$14:$L$17))*SETTINGS!$L$18,0)),"")</f>
        <v/>
      </c>
      <c r="DA73" s="190" t="str">
        <f>IFERROR(IF(ISBLANK(DATA!BC73),"",DATA!BC73),"")</f>
        <v/>
      </c>
      <c r="DB73" s="106" t="str">
        <f>IFERROR(IF(ISBLANK(DA73),"",ROUND((DA73/SETTINGS!$L$19)*SETTINGS!$L$20,0)),"")</f>
        <v/>
      </c>
      <c r="DC73" s="106" t="str">
        <f t="shared" si="35"/>
        <v/>
      </c>
      <c r="DD73" s="103" t="str">
        <f t="shared" si="8"/>
        <v/>
      </c>
      <c r="DE73" s="107" t="str">
        <f t="shared" si="36"/>
        <v/>
      </c>
      <c r="DF73" s="103" t="str">
        <f t="shared" si="9"/>
        <v/>
      </c>
      <c r="DG73" s="103" t="str">
        <f>IFERROR(IF(AND(K73,W73,AI73,AU73,BG73,BS73,CE73,CQ73,DC73)="","",SUM(K73,W73,AI73,AU73,LARGE((BG73,BS73,CE73,CQ73,DC73),{1,2}))),"")</f>
        <v/>
      </c>
      <c r="DH73" s="103" t="str">
        <f>IFERROR(IF(AND(M73,Y73,AK73,AW73,,BI73,BU73,CG73,CS73,DE73)="","",SUM(M73,Y73,AK73,AW73,SMALL((BI73,BU73,CG73,CS73,DE73),{1,2}))),"")</f>
        <v/>
      </c>
      <c r="DI73" s="109" t="str">
        <f>IFERROR(IF(ISBLANK($D73),"",pos&amp;IF(AND(MOD(ABS(pos),100)&gt;10,MOD(ABS(pos),100)&lt;14),"th",CHOOSE(MOD(ABS(pos),10)+1,"th","st","nd","rd","th","th","th","th","th","th"))),"")</f>
        <v/>
      </c>
      <c r="DJ73" s="62">
        <f>ROWS($B$12:$B73)</f>
        <v>62</v>
      </c>
      <c r="DK73" s="62" t="str">
        <f>IF($B73=REPORT_CARD!$M$12,$DJ73,"")</f>
        <v/>
      </c>
      <c r="DL73" s="62"/>
      <c r="DM73" s="186" t="str">
        <f t="shared" si="40"/>
        <v/>
      </c>
    </row>
    <row r="74" spans="1:117" ht="19.5" customHeight="1">
      <c r="A74" s="187" t="str">
        <f>IFERROR(IF(ISBLANK(DATA!$A74),"",DATA!$A74),"")</f>
        <v/>
      </c>
      <c r="B74" s="187" t="str">
        <f>IFERROR(IF(ISBLANK(DATA!$B74),"",DATA!$B74),"")</f>
        <v/>
      </c>
      <c r="C74" s="190" t="str">
        <f>IFERROR(IF(ISBLANK(DATA!C74),"",DATA!C74),"")</f>
        <v/>
      </c>
      <c r="D74" s="190" t="str">
        <f>IFERROR(IF(ISBLANK(DATA!D74),"",DATA!D74),"")</f>
        <v/>
      </c>
      <c r="E74" s="190" t="str">
        <f>IFERROR(IF(ISBLANK(DATA!E74),"",DATA!E74),"")</f>
        <v/>
      </c>
      <c r="F74" s="190" t="str">
        <f>IFERROR(IF(ISBLANK(DATA!F74),"",DATA!F74),"")</f>
        <v/>
      </c>
      <c r="G74" s="97" t="str">
        <f t="shared" si="37"/>
        <v/>
      </c>
      <c r="H74" s="106" t="str">
        <f>IFERROR(IF(G74=0,"",ROUND((G74/SUM(SETTINGS!$L$14:$L$17))*SETTINGS!$L$18,0)),"")</f>
        <v/>
      </c>
      <c r="I74" s="190" t="str">
        <f>IFERROR(IF(ISBLANK(DATA!G74),"",DATA!G74),"")</f>
        <v/>
      </c>
      <c r="J74" s="106" t="str">
        <f>IFERROR(IF(ISBLANK(I74),"",ROUND((I74/SETTINGS!$L$19)*SETTINGS!$L$20,0)),"")</f>
        <v/>
      </c>
      <c r="K74" s="106" t="str">
        <f t="shared" si="10"/>
        <v/>
      </c>
      <c r="L74" s="103" t="str">
        <f t="shared" si="0"/>
        <v/>
      </c>
      <c r="M74" s="107" t="str">
        <f t="shared" si="11"/>
        <v/>
      </c>
      <c r="N74" s="135"/>
      <c r="O74" s="190" t="str">
        <f>IFERROR(IF(ISBLANK(DATA!I74),"",DATA!I74),"")</f>
        <v/>
      </c>
      <c r="P74" s="190" t="str">
        <f>IFERROR(IF(ISBLANK(DATA!J74),"",DATA!J74),"")</f>
        <v/>
      </c>
      <c r="Q74" s="190" t="str">
        <f>IFERROR(IF(ISBLANK(DATA!K74),"",DATA!K74),"")</f>
        <v/>
      </c>
      <c r="R74" s="190" t="str">
        <f>IFERROR(IF(ISBLANK(DATA!L74),"",DATA!L74),"")</f>
        <v/>
      </c>
      <c r="S74" s="97" t="str">
        <f t="shared" si="38"/>
        <v/>
      </c>
      <c r="T74" s="106" t="str">
        <f>IFERROR(IF(S74=0,"",ROUND((S74/SUM(SETTINGS!$L$14:$L$17))*SETTINGS!$L$18,0)),"")</f>
        <v/>
      </c>
      <c r="U74" s="190" t="str">
        <f>IFERROR(IF(ISBLANK(DATA!M74),"",DATA!M74),"")</f>
        <v/>
      </c>
      <c r="V74" s="106" t="str">
        <f>IFERROR(IF(ISBLANK(U74),"",ROUND((U74/SETTINGS!$L$19)*SETTINGS!$L$20,0)),"")</f>
        <v/>
      </c>
      <c r="W74" s="106" t="str">
        <f t="shared" si="13"/>
        <v/>
      </c>
      <c r="X74" s="103" t="str">
        <f t="shared" si="14"/>
        <v/>
      </c>
      <c r="Y74" s="107" t="str">
        <f t="shared" si="15"/>
        <v/>
      </c>
      <c r="Z74" s="135"/>
      <c r="AA74" s="190" t="str">
        <f>IFERROR(IF(ISBLANK(DATA!O74),"",DATA!O74),"")</f>
        <v/>
      </c>
      <c r="AB74" s="190" t="str">
        <f>IFERROR(IF(ISBLANK(DATA!P74),"",DATA!P74),"")</f>
        <v/>
      </c>
      <c r="AC74" s="190" t="str">
        <f>IFERROR(IF(ISBLANK(DATA!Q74),"",DATA!Q74),"")</f>
        <v/>
      </c>
      <c r="AD74" s="190" t="str">
        <f>IFERROR(IF(ISBLANK(DATA!R74),"",DATA!R74),"")</f>
        <v/>
      </c>
      <c r="AE74" s="97" t="str">
        <f t="shared" si="39"/>
        <v/>
      </c>
      <c r="AF74" s="106" t="str">
        <f>IFERROR(IF(AE74=0,"",ROUND((AE74/SUM(SETTINGS!$L$14:$L$17))*SETTINGS!$L$18,0)),"")</f>
        <v/>
      </c>
      <c r="AG74" s="190" t="str">
        <f>IFERROR(IF(ISBLANK(DATA!S74),"",DATA!S74),"")</f>
        <v/>
      </c>
      <c r="AH74" s="106" t="str">
        <f>IFERROR(IF(ISBLANK(AG74),"",ROUND((AG74/SETTINGS!$L$19)*SETTINGS!$L$20,0)),"")</f>
        <v/>
      </c>
      <c r="AI74" s="106" t="str">
        <f t="shared" si="17"/>
        <v/>
      </c>
      <c r="AJ74" s="103" t="str">
        <f t="shared" si="2"/>
        <v/>
      </c>
      <c r="AK74" s="108" t="str">
        <f t="shared" si="18"/>
        <v/>
      </c>
      <c r="AL74" s="135"/>
      <c r="AM74" s="190" t="str">
        <f>IFERROR(IF(ISBLANK(DATA!U74),"",DATA!U74),"")</f>
        <v/>
      </c>
      <c r="AN74" s="190" t="str">
        <f>IFERROR(IF(ISBLANK(DATA!V74),"",DATA!V74),"")</f>
        <v/>
      </c>
      <c r="AO74" s="190" t="str">
        <f>IFERROR(IF(ISBLANK(DATA!W74),"",DATA!W74),"")</f>
        <v/>
      </c>
      <c r="AP74" s="190" t="str">
        <f>IFERROR(IF(ISBLANK(DATA!X74),"",DATA!X74),"")</f>
        <v/>
      </c>
      <c r="AQ74" s="97" t="str">
        <f t="shared" si="19"/>
        <v/>
      </c>
      <c r="AR74" s="106" t="str">
        <f>IFERROR(IF(AQ74=0,"",ROUND((AQ74/SUM(SETTINGS!$L$14:$L$17))*SETTINGS!$L$18,0)),"")</f>
        <v/>
      </c>
      <c r="AS74" s="190" t="str">
        <f>IFERROR(IF(ISBLANK(DATA!Y74),"",DATA!Y74),"")</f>
        <v/>
      </c>
      <c r="AT74" s="106" t="str">
        <f>IFERROR(IF(ISBLANK(AS74),"",ROUND((AS74/SETTINGS!$L$19)*SETTINGS!$L$20,0)),"")</f>
        <v/>
      </c>
      <c r="AU74" s="106" t="str">
        <f t="shared" si="20"/>
        <v/>
      </c>
      <c r="AV74" s="103" t="str">
        <f t="shared" si="3"/>
        <v/>
      </c>
      <c r="AW74" s="107" t="str">
        <f t="shared" si="21"/>
        <v/>
      </c>
      <c r="AX74" s="130"/>
      <c r="AY74" s="190" t="str">
        <f>IFERROR(IF(ISBLANK(DATA!AA74),"",DATA!AA74),"")</f>
        <v/>
      </c>
      <c r="AZ74" s="190" t="str">
        <f>IFERROR(IF(ISBLANK(DATA!AB74),"",DATA!AB74),"")</f>
        <v/>
      </c>
      <c r="BA74" s="190" t="str">
        <f>IFERROR(IF(ISBLANK(DATA!AC74),"",DATA!AC74),"")</f>
        <v/>
      </c>
      <c r="BB74" s="190" t="str">
        <f>IFERROR(IF(ISBLANK(DATA!AD74),"",DATA!AD74),"")</f>
        <v/>
      </c>
      <c r="BC74" s="97" t="str">
        <f t="shared" si="22"/>
        <v/>
      </c>
      <c r="BD74" s="106" t="str">
        <f>IFERROR(IF(BC74=0,"",ROUND((BC74/SUM(SETTINGS!$L$14:$L$17))*SETTINGS!$L$18,0)),"")</f>
        <v/>
      </c>
      <c r="BE74" s="190" t="str">
        <f>IFERROR(IF(ISBLANK(DATA!AE74),"",DATA!AE74),"")</f>
        <v/>
      </c>
      <c r="BF74" s="106" t="str">
        <f>IFERROR(IF(ISBLANK(BE74),"",ROUND((BE74/SETTINGS!$L$19)*SETTINGS!$L$20,0)),"")</f>
        <v/>
      </c>
      <c r="BG74" s="106" t="str">
        <f t="shared" si="23"/>
        <v/>
      </c>
      <c r="BH74" s="103" t="str">
        <f t="shared" si="4"/>
        <v/>
      </c>
      <c r="BI74" s="108" t="str">
        <f t="shared" si="24"/>
        <v/>
      </c>
      <c r="BJ74" s="130"/>
      <c r="BK74" s="190" t="str">
        <f>IFERROR(IF(ISBLANK(DATA!AG74),"",DATA!AG74),"")</f>
        <v/>
      </c>
      <c r="BL74" s="190" t="str">
        <f>IFERROR(IF(ISBLANK(DATA!AH74),"",DATA!AH74),"")</f>
        <v/>
      </c>
      <c r="BM74" s="190" t="str">
        <f>IFERROR(IF(ISBLANK(DATA!AI74),"",DATA!AI74),"")</f>
        <v/>
      </c>
      <c r="BN74" s="190" t="str">
        <f>IFERROR(IF(ISBLANK(DATA!AJ74),"",DATA!AJ74),"")</f>
        <v/>
      </c>
      <c r="BO74" s="97" t="str">
        <f t="shared" si="25"/>
        <v/>
      </c>
      <c r="BP74" s="106" t="str">
        <f>IFERROR(IF(BO74=0,"",ROUND((BO74/SUM(SETTINGS!$L$14:$L$17))*SETTINGS!$L$18,0)),"")</f>
        <v/>
      </c>
      <c r="BQ74" s="190" t="str">
        <f>IFERROR(IF(ISBLANK(DATA!AK74),"",DATA!AK74),"")</f>
        <v/>
      </c>
      <c r="BR74" s="106" t="str">
        <f>IFERROR(IF(ISBLANK(BQ74),"",ROUND((BQ74/SETTINGS!$L$19)*SETTINGS!$L$20,0)),"")</f>
        <v/>
      </c>
      <c r="BS74" s="106" t="str">
        <f t="shared" si="26"/>
        <v/>
      </c>
      <c r="BT74" s="103" t="str">
        <f t="shared" si="5"/>
        <v/>
      </c>
      <c r="BU74" s="107" t="str">
        <f t="shared" si="27"/>
        <v/>
      </c>
      <c r="BV74" s="130"/>
      <c r="BW74" s="190" t="str">
        <f>IFERROR(IF(ISBLANK(DATA!AM74),"",DATA!AM74),"")</f>
        <v/>
      </c>
      <c r="BX74" s="190" t="str">
        <f>IFERROR(IF(ISBLANK(DATA!AN74),"",DATA!AN74),"")</f>
        <v/>
      </c>
      <c r="BY74" s="190" t="str">
        <f>IFERROR(IF(ISBLANK(DATA!AO74),"",DATA!AO74),"")</f>
        <v/>
      </c>
      <c r="BZ74" s="190" t="str">
        <f>IFERROR(IF(ISBLANK(DATA!AP74),"",DATA!AP74),"")</f>
        <v/>
      </c>
      <c r="CA74" s="97" t="str">
        <f t="shared" si="28"/>
        <v/>
      </c>
      <c r="CB74" s="106" t="str">
        <f>IFERROR(IF(CA74=0,"",ROUND((CA74/SUM(SETTINGS!$L$14:$L$17))*SETTINGS!$L$18,0)),"")</f>
        <v/>
      </c>
      <c r="CC74" s="190" t="str">
        <f>IFERROR(IF(ISBLANK(DATA!AQ74),"",DATA!AQ74),"")</f>
        <v/>
      </c>
      <c r="CD74" s="106" t="str">
        <f>IFERROR(IF(ISBLANK(CC74),"",ROUND((CC74/SETTINGS!$L$19)*SETTINGS!$L$20,0)),"")</f>
        <v/>
      </c>
      <c r="CE74" s="106" t="str">
        <f t="shared" si="29"/>
        <v/>
      </c>
      <c r="CF74" s="103" t="str">
        <f t="shared" si="6"/>
        <v/>
      </c>
      <c r="CG74" s="107" t="str">
        <f t="shared" si="30"/>
        <v/>
      </c>
      <c r="CH74" s="130"/>
      <c r="CI74" s="190" t="str">
        <f>IFERROR(IF(ISBLANK(DATA!AS74),"",DATA!AS74),"")</f>
        <v/>
      </c>
      <c r="CJ74" s="190" t="str">
        <f>IFERROR(IF(ISBLANK(DATA!AT74),"",DATA!AT74),"")</f>
        <v/>
      </c>
      <c r="CK74" s="190" t="str">
        <f>IFERROR(IF(ISBLANK(DATA!AU74),"",DATA!AU74),"")</f>
        <v/>
      </c>
      <c r="CL74" s="190" t="str">
        <f>IFERROR(IF(ISBLANK(DATA!AV74),"",DATA!AV74),"")</f>
        <v/>
      </c>
      <c r="CM74" s="97" t="str">
        <f t="shared" si="31"/>
        <v/>
      </c>
      <c r="CN74" s="106" t="str">
        <f>IFERROR(IF(CM74=0,"",ROUND((CM74/SUM(SETTINGS!$L$14:$L$17))*SETTINGS!$L$18,0)),"")</f>
        <v/>
      </c>
      <c r="CO74" s="190" t="str">
        <f>IFERROR(IF(ISBLANK(DATA!AW74),"",DATA!AW74),"")</f>
        <v/>
      </c>
      <c r="CP74" s="106" t="str">
        <f>IFERROR(IF(ISBLANK(CO74),"",ROUND((CO74/SETTINGS!$L$19)*SETTINGS!$L$20,0)),"")</f>
        <v/>
      </c>
      <c r="CQ74" s="106" t="str">
        <f t="shared" si="32"/>
        <v/>
      </c>
      <c r="CR74" s="103" t="str">
        <f t="shared" si="7"/>
        <v/>
      </c>
      <c r="CS74" s="107" t="str">
        <f t="shared" si="33"/>
        <v/>
      </c>
      <c r="CT74" s="130"/>
      <c r="CU74" s="190" t="str">
        <f>IFERROR(IF(ISBLANK(DATA!AY74),"",DATA!AY74),"")</f>
        <v/>
      </c>
      <c r="CV74" s="190" t="str">
        <f>IFERROR(IF(ISBLANK(DATA!AZ74),"",DATA!AZ74),"")</f>
        <v/>
      </c>
      <c r="CW74" s="190" t="str">
        <f>IFERROR(IF(ISBLANK(DATA!BA74),"",DATA!BA74),"")</f>
        <v/>
      </c>
      <c r="CX74" s="190" t="str">
        <f>IFERROR(IF(ISBLANK(DATA!BB74),"",DATA!BB74),"")</f>
        <v/>
      </c>
      <c r="CY74" s="97" t="str">
        <f t="shared" si="34"/>
        <v/>
      </c>
      <c r="CZ74" s="106" t="str">
        <f>IFERROR(IF(CY74=0,"",ROUND((CY74/SUM(SETTINGS!$L$14:$L$17))*SETTINGS!$L$18,0)),"")</f>
        <v/>
      </c>
      <c r="DA74" s="190" t="str">
        <f>IFERROR(IF(ISBLANK(DATA!BC74),"",DATA!BC74),"")</f>
        <v/>
      </c>
      <c r="DB74" s="106" t="str">
        <f>IFERROR(IF(ISBLANK(DA74),"",ROUND((DA74/SETTINGS!$L$19)*SETTINGS!$L$20,0)),"")</f>
        <v/>
      </c>
      <c r="DC74" s="106" t="str">
        <f t="shared" si="35"/>
        <v/>
      </c>
      <c r="DD74" s="103" t="str">
        <f t="shared" si="8"/>
        <v/>
      </c>
      <c r="DE74" s="107" t="str">
        <f t="shared" si="36"/>
        <v/>
      </c>
      <c r="DF74" s="103" t="str">
        <f t="shared" si="9"/>
        <v/>
      </c>
      <c r="DG74" s="103" t="str">
        <f>IFERROR(IF(AND(K74,W74,AI74,AU74,BG74,BS74,CE74,CQ74,DC74)="","",SUM(K74,W74,AI74,AU74,LARGE((BG74,BS74,CE74,CQ74,DC74),{1,2}))),"")</f>
        <v/>
      </c>
      <c r="DH74" s="103" t="str">
        <f>IFERROR(IF(AND(M74,Y74,AK74,AW74,,BI74,BU74,CG74,CS74,DE74)="","",SUM(M74,Y74,AK74,AW74,SMALL((BI74,BU74,CG74,CS74,DE74),{1,2}))),"")</f>
        <v/>
      </c>
      <c r="DI74" s="109" t="str">
        <f>IFERROR(IF(ISBLANK($D74),"",pos&amp;IF(AND(MOD(ABS(pos),100)&gt;10,MOD(ABS(pos),100)&lt;14),"th",CHOOSE(MOD(ABS(pos),10)+1,"th","st","nd","rd","th","th","th","th","th","th"))),"")</f>
        <v/>
      </c>
      <c r="DJ74" s="62">
        <f>ROWS($B$12:$B74)</f>
        <v>63</v>
      </c>
      <c r="DK74" s="62" t="str">
        <f>IF($B74=REPORT_CARD!$M$12,$DJ74,"")</f>
        <v/>
      </c>
      <c r="DL74" s="62"/>
      <c r="DM74" s="186" t="str">
        <f t="shared" si="40"/>
        <v/>
      </c>
    </row>
    <row r="75" spans="1:117" ht="19.5" customHeight="1">
      <c r="A75" s="187" t="str">
        <f>IFERROR(IF(ISBLANK(DATA!$A75),"",DATA!$A75),"")</f>
        <v/>
      </c>
      <c r="B75" s="187" t="str">
        <f>IFERROR(IF(ISBLANK(DATA!$B75),"",DATA!$B75),"")</f>
        <v/>
      </c>
      <c r="C75" s="190" t="str">
        <f>IFERROR(IF(ISBLANK(DATA!C75),"",DATA!C75),"")</f>
        <v/>
      </c>
      <c r="D75" s="190" t="str">
        <f>IFERROR(IF(ISBLANK(DATA!D75),"",DATA!D75),"")</f>
        <v/>
      </c>
      <c r="E75" s="190" t="str">
        <f>IFERROR(IF(ISBLANK(DATA!E75),"",DATA!E75),"")</f>
        <v/>
      </c>
      <c r="F75" s="190" t="str">
        <f>IFERROR(IF(ISBLANK(DATA!F75),"",DATA!F75),"")</f>
        <v/>
      </c>
      <c r="G75" s="97" t="str">
        <f t="shared" si="37"/>
        <v/>
      </c>
      <c r="H75" s="106" t="str">
        <f>IFERROR(IF(G75=0,"",ROUND((G75/SUM(SETTINGS!$L$14:$L$17))*SETTINGS!$L$18,0)),"")</f>
        <v/>
      </c>
      <c r="I75" s="190" t="str">
        <f>IFERROR(IF(ISBLANK(DATA!G75),"",DATA!G75),"")</f>
        <v/>
      </c>
      <c r="J75" s="106" t="str">
        <f>IFERROR(IF(ISBLANK(I75),"",ROUND((I75/SETTINGS!$L$19)*SETTINGS!$L$20,0)),"")</f>
        <v/>
      </c>
      <c r="K75" s="106" t="str">
        <f t="shared" si="10"/>
        <v/>
      </c>
      <c r="L75" s="103" t="str">
        <f t="shared" si="0"/>
        <v/>
      </c>
      <c r="M75" s="107" t="str">
        <f t="shared" si="11"/>
        <v/>
      </c>
      <c r="N75" s="135"/>
      <c r="O75" s="190" t="str">
        <f>IFERROR(IF(ISBLANK(DATA!I75),"",DATA!I75),"")</f>
        <v/>
      </c>
      <c r="P75" s="190" t="str">
        <f>IFERROR(IF(ISBLANK(DATA!J75),"",DATA!J75),"")</f>
        <v/>
      </c>
      <c r="Q75" s="190" t="str">
        <f>IFERROR(IF(ISBLANK(DATA!K75),"",DATA!K75),"")</f>
        <v/>
      </c>
      <c r="R75" s="190" t="str">
        <f>IFERROR(IF(ISBLANK(DATA!L75),"",DATA!L75),"")</f>
        <v/>
      </c>
      <c r="S75" s="97" t="str">
        <f t="shared" si="38"/>
        <v/>
      </c>
      <c r="T75" s="106" t="str">
        <f>IFERROR(IF(S75=0,"",ROUND((S75/SUM(SETTINGS!$L$14:$L$17))*SETTINGS!$L$18,0)),"")</f>
        <v/>
      </c>
      <c r="U75" s="190" t="str">
        <f>IFERROR(IF(ISBLANK(DATA!M75),"",DATA!M75),"")</f>
        <v/>
      </c>
      <c r="V75" s="106" t="str">
        <f>IFERROR(IF(ISBLANK(U75),"",ROUND((U75/SETTINGS!$L$19)*SETTINGS!$L$20,0)),"")</f>
        <v/>
      </c>
      <c r="W75" s="106" t="str">
        <f t="shared" si="13"/>
        <v/>
      </c>
      <c r="X75" s="103" t="str">
        <f t="shared" si="14"/>
        <v/>
      </c>
      <c r="Y75" s="107" t="str">
        <f t="shared" si="15"/>
        <v/>
      </c>
      <c r="Z75" s="135"/>
      <c r="AA75" s="190" t="str">
        <f>IFERROR(IF(ISBLANK(DATA!O75),"",DATA!O75),"")</f>
        <v/>
      </c>
      <c r="AB75" s="190" t="str">
        <f>IFERROR(IF(ISBLANK(DATA!P75),"",DATA!P75),"")</f>
        <v/>
      </c>
      <c r="AC75" s="190" t="str">
        <f>IFERROR(IF(ISBLANK(DATA!Q75),"",DATA!Q75),"")</f>
        <v/>
      </c>
      <c r="AD75" s="190" t="str">
        <f>IFERROR(IF(ISBLANK(DATA!R75),"",DATA!R75),"")</f>
        <v/>
      </c>
      <c r="AE75" s="97" t="str">
        <f t="shared" si="39"/>
        <v/>
      </c>
      <c r="AF75" s="106" t="str">
        <f>IFERROR(IF(AE75=0,"",ROUND((AE75/SUM(SETTINGS!$L$14:$L$17))*SETTINGS!$L$18,0)),"")</f>
        <v/>
      </c>
      <c r="AG75" s="190" t="str">
        <f>IFERROR(IF(ISBLANK(DATA!S75),"",DATA!S75),"")</f>
        <v/>
      </c>
      <c r="AH75" s="106" t="str">
        <f>IFERROR(IF(ISBLANK(AG75),"",ROUND((AG75/SETTINGS!$L$19)*SETTINGS!$L$20,0)),"")</f>
        <v/>
      </c>
      <c r="AI75" s="106" t="str">
        <f t="shared" si="17"/>
        <v/>
      </c>
      <c r="AJ75" s="103" t="str">
        <f t="shared" si="2"/>
        <v/>
      </c>
      <c r="AK75" s="108" t="str">
        <f t="shared" si="18"/>
        <v/>
      </c>
      <c r="AL75" s="135"/>
      <c r="AM75" s="190" t="str">
        <f>IFERROR(IF(ISBLANK(DATA!U75),"",DATA!U75),"")</f>
        <v/>
      </c>
      <c r="AN75" s="190" t="str">
        <f>IFERROR(IF(ISBLANK(DATA!V75),"",DATA!V75),"")</f>
        <v/>
      </c>
      <c r="AO75" s="190" t="str">
        <f>IFERROR(IF(ISBLANK(DATA!W75),"",DATA!W75),"")</f>
        <v/>
      </c>
      <c r="AP75" s="190" t="str">
        <f>IFERROR(IF(ISBLANK(DATA!X75),"",DATA!X75),"")</f>
        <v/>
      </c>
      <c r="AQ75" s="97" t="str">
        <f t="shared" si="19"/>
        <v/>
      </c>
      <c r="AR75" s="106" t="str">
        <f>IFERROR(IF(AQ75=0,"",ROUND((AQ75/SUM(SETTINGS!$L$14:$L$17))*SETTINGS!$L$18,0)),"")</f>
        <v/>
      </c>
      <c r="AS75" s="190" t="str">
        <f>IFERROR(IF(ISBLANK(DATA!Y75),"",DATA!Y75),"")</f>
        <v/>
      </c>
      <c r="AT75" s="106" t="str">
        <f>IFERROR(IF(ISBLANK(AS75),"",ROUND((AS75/SETTINGS!$L$19)*SETTINGS!$L$20,0)),"")</f>
        <v/>
      </c>
      <c r="AU75" s="106" t="str">
        <f t="shared" si="20"/>
        <v/>
      </c>
      <c r="AV75" s="103" t="str">
        <f t="shared" si="3"/>
        <v/>
      </c>
      <c r="AW75" s="107" t="str">
        <f t="shared" si="21"/>
        <v/>
      </c>
      <c r="AX75" s="130"/>
      <c r="AY75" s="190" t="str">
        <f>IFERROR(IF(ISBLANK(DATA!AA75),"",DATA!AA75),"")</f>
        <v/>
      </c>
      <c r="AZ75" s="190" t="str">
        <f>IFERROR(IF(ISBLANK(DATA!AB75),"",DATA!AB75),"")</f>
        <v/>
      </c>
      <c r="BA75" s="190" t="str">
        <f>IFERROR(IF(ISBLANK(DATA!AC75),"",DATA!AC75),"")</f>
        <v/>
      </c>
      <c r="BB75" s="190" t="str">
        <f>IFERROR(IF(ISBLANK(DATA!AD75),"",DATA!AD75),"")</f>
        <v/>
      </c>
      <c r="BC75" s="97" t="str">
        <f t="shared" si="22"/>
        <v/>
      </c>
      <c r="BD75" s="106" t="str">
        <f>IFERROR(IF(BC75=0,"",ROUND((BC75/SUM(SETTINGS!$L$14:$L$17))*SETTINGS!$L$18,0)),"")</f>
        <v/>
      </c>
      <c r="BE75" s="190" t="str">
        <f>IFERROR(IF(ISBLANK(DATA!AE75),"",DATA!AE75),"")</f>
        <v/>
      </c>
      <c r="BF75" s="106" t="str">
        <f>IFERROR(IF(ISBLANK(BE75),"",ROUND((BE75/SETTINGS!$L$19)*SETTINGS!$L$20,0)),"")</f>
        <v/>
      </c>
      <c r="BG75" s="106" t="str">
        <f t="shared" si="23"/>
        <v/>
      </c>
      <c r="BH75" s="103" t="str">
        <f t="shared" si="4"/>
        <v/>
      </c>
      <c r="BI75" s="108" t="str">
        <f t="shared" si="24"/>
        <v/>
      </c>
      <c r="BJ75" s="130"/>
      <c r="BK75" s="190" t="str">
        <f>IFERROR(IF(ISBLANK(DATA!AG75),"",DATA!AG75),"")</f>
        <v/>
      </c>
      <c r="BL75" s="190" t="str">
        <f>IFERROR(IF(ISBLANK(DATA!AH75),"",DATA!AH75),"")</f>
        <v/>
      </c>
      <c r="BM75" s="190" t="str">
        <f>IFERROR(IF(ISBLANK(DATA!AI75),"",DATA!AI75),"")</f>
        <v/>
      </c>
      <c r="BN75" s="190" t="str">
        <f>IFERROR(IF(ISBLANK(DATA!AJ75),"",DATA!AJ75),"")</f>
        <v/>
      </c>
      <c r="BO75" s="97" t="str">
        <f t="shared" si="25"/>
        <v/>
      </c>
      <c r="BP75" s="106" t="str">
        <f>IFERROR(IF(BO75=0,"",ROUND((BO75/SUM(SETTINGS!$L$14:$L$17))*SETTINGS!$L$18,0)),"")</f>
        <v/>
      </c>
      <c r="BQ75" s="190" t="str">
        <f>IFERROR(IF(ISBLANK(DATA!AK75),"",DATA!AK75),"")</f>
        <v/>
      </c>
      <c r="BR75" s="106" t="str">
        <f>IFERROR(IF(ISBLANK(BQ75),"",ROUND((BQ75/SETTINGS!$L$19)*SETTINGS!$L$20,0)),"")</f>
        <v/>
      </c>
      <c r="BS75" s="106" t="str">
        <f t="shared" si="26"/>
        <v/>
      </c>
      <c r="BT75" s="103" t="str">
        <f t="shared" si="5"/>
        <v/>
      </c>
      <c r="BU75" s="107" t="str">
        <f t="shared" si="27"/>
        <v/>
      </c>
      <c r="BV75" s="130"/>
      <c r="BW75" s="190" t="str">
        <f>IFERROR(IF(ISBLANK(DATA!AM75),"",DATA!AM75),"")</f>
        <v/>
      </c>
      <c r="BX75" s="190" t="str">
        <f>IFERROR(IF(ISBLANK(DATA!AN75),"",DATA!AN75),"")</f>
        <v/>
      </c>
      <c r="BY75" s="190" t="str">
        <f>IFERROR(IF(ISBLANK(DATA!AO75),"",DATA!AO75),"")</f>
        <v/>
      </c>
      <c r="BZ75" s="190" t="str">
        <f>IFERROR(IF(ISBLANK(DATA!AP75),"",DATA!AP75),"")</f>
        <v/>
      </c>
      <c r="CA75" s="97" t="str">
        <f t="shared" si="28"/>
        <v/>
      </c>
      <c r="CB75" s="106" t="str">
        <f>IFERROR(IF(CA75=0,"",ROUND((CA75/SUM(SETTINGS!$L$14:$L$17))*SETTINGS!$L$18,0)),"")</f>
        <v/>
      </c>
      <c r="CC75" s="190" t="str">
        <f>IFERROR(IF(ISBLANK(DATA!AQ75),"",DATA!AQ75),"")</f>
        <v/>
      </c>
      <c r="CD75" s="106" t="str">
        <f>IFERROR(IF(ISBLANK(CC75),"",ROUND((CC75/SETTINGS!$L$19)*SETTINGS!$L$20,0)),"")</f>
        <v/>
      </c>
      <c r="CE75" s="106" t="str">
        <f t="shared" si="29"/>
        <v/>
      </c>
      <c r="CF75" s="103" t="str">
        <f t="shared" si="6"/>
        <v/>
      </c>
      <c r="CG75" s="107" t="str">
        <f t="shared" si="30"/>
        <v/>
      </c>
      <c r="CH75" s="130"/>
      <c r="CI75" s="190" t="str">
        <f>IFERROR(IF(ISBLANK(DATA!AS75),"",DATA!AS75),"")</f>
        <v/>
      </c>
      <c r="CJ75" s="190" t="str">
        <f>IFERROR(IF(ISBLANK(DATA!AT75),"",DATA!AT75),"")</f>
        <v/>
      </c>
      <c r="CK75" s="190" t="str">
        <f>IFERROR(IF(ISBLANK(DATA!AU75),"",DATA!AU75),"")</f>
        <v/>
      </c>
      <c r="CL75" s="190" t="str">
        <f>IFERROR(IF(ISBLANK(DATA!AV75),"",DATA!AV75),"")</f>
        <v/>
      </c>
      <c r="CM75" s="97" t="str">
        <f t="shared" si="31"/>
        <v/>
      </c>
      <c r="CN75" s="106" t="str">
        <f>IFERROR(IF(CM75=0,"",ROUND((CM75/SUM(SETTINGS!$L$14:$L$17))*SETTINGS!$L$18,0)),"")</f>
        <v/>
      </c>
      <c r="CO75" s="190" t="str">
        <f>IFERROR(IF(ISBLANK(DATA!AW75),"",DATA!AW75),"")</f>
        <v/>
      </c>
      <c r="CP75" s="106" t="str">
        <f>IFERROR(IF(ISBLANK(CO75),"",ROUND((CO75/SETTINGS!$L$19)*SETTINGS!$L$20,0)),"")</f>
        <v/>
      </c>
      <c r="CQ75" s="106" t="str">
        <f t="shared" si="32"/>
        <v/>
      </c>
      <c r="CR75" s="103" t="str">
        <f t="shared" si="7"/>
        <v/>
      </c>
      <c r="CS75" s="107" t="str">
        <f t="shared" si="33"/>
        <v/>
      </c>
      <c r="CT75" s="130"/>
      <c r="CU75" s="190" t="str">
        <f>IFERROR(IF(ISBLANK(DATA!AY75),"",DATA!AY75),"")</f>
        <v/>
      </c>
      <c r="CV75" s="190" t="str">
        <f>IFERROR(IF(ISBLANK(DATA!AZ75),"",DATA!AZ75),"")</f>
        <v/>
      </c>
      <c r="CW75" s="190" t="str">
        <f>IFERROR(IF(ISBLANK(DATA!BA75),"",DATA!BA75),"")</f>
        <v/>
      </c>
      <c r="CX75" s="190" t="str">
        <f>IFERROR(IF(ISBLANK(DATA!BB75),"",DATA!BB75),"")</f>
        <v/>
      </c>
      <c r="CY75" s="97" t="str">
        <f t="shared" si="34"/>
        <v/>
      </c>
      <c r="CZ75" s="106" t="str">
        <f>IFERROR(IF(CY75=0,"",ROUND((CY75/SUM(SETTINGS!$L$14:$L$17))*SETTINGS!$L$18,0)),"")</f>
        <v/>
      </c>
      <c r="DA75" s="190" t="str">
        <f>IFERROR(IF(ISBLANK(DATA!BC75),"",DATA!BC75),"")</f>
        <v/>
      </c>
      <c r="DB75" s="106" t="str">
        <f>IFERROR(IF(ISBLANK(DA75),"",ROUND((DA75/SETTINGS!$L$19)*SETTINGS!$L$20,0)),"")</f>
        <v/>
      </c>
      <c r="DC75" s="106" t="str">
        <f t="shared" si="35"/>
        <v/>
      </c>
      <c r="DD75" s="103" t="str">
        <f t="shared" si="8"/>
        <v/>
      </c>
      <c r="DE75" s="107" t="str">
        <f t="shared" si="36"/>
        <v/>
      </c>
      <c r="DF75" s="103" t="str">
        <f t="shared" si="9"/>
        <v/>
      </c>
      <c r="DG75" s="103" t="str">
        <f>IFERROR(IF(AND(K75,W75,AI75,AU75,BG75,BS75,CE75,CQ75,DC75)="","",SUM(K75,W75,AI75,AU75,LARGE((BG75,BS75,CE75,CQ75,DC75),{1,2}))),"")</f>
        <v/>
      </c>
      <c r="DH75" s="103" t="str">
        <f>IFERROR(IF(AND(M75,Y75,AK75,AW75,,BI75,BU75,CG75,CS75,DE75)="","",SUM(M75,Y75,AK75,AW75,SMALL((BI75,BU75,CG75,CS75,DE75),{1,2}))),"")</f>
        <v/>
      </c>
      <c r="DI75" s="109" t="str">
        <f>IFERROR(IF(ISBLANK($D75),"",pos&amp;IF(AND(MOD(ABS(pos),100)&gt;10,MOD(ABS(pos),100)&lt;14),"th",CHOOSE(MOD(ABS(pos),10)+1,"th","st","nd","rd","th","th","th","th","th","th"))),"")</f>
        <v/>
      </c>
      <c r="DJ75" s="62">
        <f>ROWS($B$12:$B75)</f>
        <v>64</v>
      </c>
      <c r="DK75" s="62" t="str">
        <f>IF($B75=REPORT_CARD!$M$12,$DJ75,"")</f>
        <v/>
      </c>
      <c r="DL75" s="62"/>
      <c r="DM75" s="186" t="str">
        <f t="shared" si="40"/>
        <v/>
      </c>
    </row>
    <row r="76" spans="1:117" ht="19.5" customHeight="1" thickBot="1">
      <c r="A76" s="187" t="str">
        <f>IFERROR(IF(ISBLANK(DATA!$A76),"",DATA!$A76),"")</f>
        <v/>
      </c>
      <c r="B76" s="187" t="str">
        <f>IFERROR(IF(ISBLANK(DATA!$B76),"",DATA!$B76),"")</f>
        <v/>
      </c>
      <c r="C76" s="190" t="str">
        <f>IFERROR(IF(ISBLANK(DATA!C76),"",DATA!C76),"")</f>
        <v/>
      </c>
      <c r="D76" s="190" t="str">
        <f>IFERROR(IF(ISBLANK(DATA!D76),"",DATA!D76),"")</f>
        <v/>
      </c>
      <c r="E76" s="190" t="str">
        <f>IFERROR(IF(ISBLANK(DATA!E76),"",DATA!E76),"")</f>
        <v/>
      </c>
      <c r="F76" s="190" t="str">
        <f>IFERROR(IF(ISBLANK(DATA!F76),"",DATA!F76),"")</f>
        <v/>
      </c>
      <c r="G76" s="113" t="str">
        <f t="shared" si="37"/>
        <v/>
      </c>
      <c r="H76" s="106" t="str">
        <f>IFERROR(IF(G76=0,"",ROUND((G76/SUM(SETTINGS!$L$14:$L$17))*SETTINGS!$L$18,0)),"")</f>
        <v/>
      </c>
      <c r="I76" s="190" t="str">
        <f>IFERROR(IF(ISBLANK(DATA!G76),"",DATA!G76),"")</f>
        <v/>
      </c>
      <c r="J76" s="106" t="str">
        <f>IFERROR(IF(ISBLANK(I76),"",ROUND((I76/SETTINGS!$L$19)*SETTINGS!$L$20,0)),"")</f>
        <v/>
      </c>
      <c r="K76" s="114" t="str">
        <f t="shared" si="10"/>
        <v/>
      </c>
      <c r="L76" s="116" t="str">
        <f t="shared" ref="L76" si="41">IFERROR(IF(K76="","",RANK(K76,K$12:K$76)),"")</f>
        <v/>
      </c>
      <c r="M76" s="117" t="str">
        <f t="shared" si="11"/>
        <v/>
      </c>
      <c r="N76" s="135"/>
      <c r="O76" s="191" t="str">
        <f>IFERROR(IF(ISBLANK(DATA!I76),"",DATA!I76),"")</f>
        <v/>
      </c>
      <c r="P76" s="191" t="str">
        <f>IFERROR(IF(ISBLANK(DATA!J76),"",DATA!J76),"")</f>
        <v/>
      </c>
      <c r="Q76" s="191" t="str">
        <f>IFERROR(IF(ISBLANK(DATA!K76),"",DATA!K76),"")</f>
        <v/>
      </c>
      <c r="R76" s="191" t="str">
        <f>IFERROR(IF(ISBLANK(DATA!L76),"",DATA!L76),"")</f>
        <v/>
      </c>
      <c r="S76" s="113" t="str">
        <f t="shared" ref="S76" si="42">IFERROR(IF(AND(O76:R76)="","",SUM(O76:R76)),"")</f>
        <v/>
      </c>
      <c r="T76" s="106" t="str">
        <f>IFERROR(IF(S76=0,"",ROUND((S76/SUM(SETTINGS!$L$14:$L$17))*SETTINGS!$L$18,0)),"")</f>
        <v/>
      </c>
      <c r="U76" s="191" t="str">
        <f>IFERROR(IF(ISBLANK(DATA!M76),"",DATA!M76),"")</f>
        <v/>
      </c>
      <c r="V76" s="106" t="str">
        <f>IFERROR(IF(ISBLANK(U76),"",ROUND((U76/SETTINGS!$L$19)*SETTINGS!$L$20,0)),"")</f>
        <v/>
      </c>
      <c r="W76" s="114" t="str">
        <f t="shared" ref="W76" si="43">IFERROR(IF(AND(T76,V76)="","",SUM(T76,V76)),"")</f>
        <v/>
      </c>
      <c r="X76" s="116" t="str">
        <f t="shared" ref="X76" si="44">IFERROR(IF(W76="","",RANK(W76,W$12:W$76)),"")</f>
        <v/>
      </c>
      <c r="Y76" s="117" t="str">
        <f t="shared" ref="Y76" si="45">IFERROR(IF(W76="","",IF(W76&gt;=75,VALUE(1),IF(W76&gt;=70,VALUE(2),IF(W76&gt;=65,VALUE(3),IF(W76&gt;=60,VALUE(4),IF(W76&gt;=55,VALUE(5),IF(W76&gt;=50,VALUE(6),IF(W76&gt;=45,VALUE(7),IF(W76&gt;=40,VALUE(8),VALUE(9)))))))))),"")</f>
        <v/>
      </c>
      <c r="Z76" s="135"/>
      <c r="AA76" s="191" t="str">
        <f>IFERROR(IF(ISBLANK(DATA!O76),"",DATA!O76),"")</f>
        <v/>
      </c>
      <c r="AB76" s="191" t="str">
        <f>IFERROR(IF(ISBLANK(DATA!P76),"",DATA!P76),"")</f>
        <v/>
      </c>
      <c r="AC76" s="191" t="str">
        <f>IFERROR(IF(ISBLANK(DATA!Q76),"",DATA!Q76),"")</f>
        <v/>
      </c>
      <c r="AD76" s="191" t="str">
        <f>IFERROR(IF(ISBLANK(DATA!R76),"",DATA!R76),"")</f>
        <v/>
      </c>
      <c r="AE76" s="113" t="str">
        <f t="shared" ref="AE76" si="46">IFERROR(IF(AND(AA76:AD76)="","",SUM(AA76:AD76)),"")</f>
        <v/>
      </c>
      <c r="AF76" s="106" t="str">
        <f>IFERROR(IF(AE76=0,"",ROUND((AE76/SUM(SETTINGS!$L$14:$L$17))*SETTINGS!$L$18,0)),"")</f>
        <v/>
      </c>
      <c r="AG76" s="191" t="str">
        <f>IFERROR(IF(ISBLANK(DATA!S76),"",DATA!S76),"")</f>
        <v/>
      </c>
      <c r="AH76" s="106" t="str">
        <f>IFERROR(IF(ISBLANK(AG76),"",ROUND((AG76/SETTINGS!$L$19)*SETTINGS!$L$20,0)),"")</f>
        <v/>
      </c>
      <c r="AI76" s="114" t="str">
        <f t="shared" si="17"/>
        <v/>
      </c>
      <c r="AJ76" s="116" t="str">
        <f t="shared" ref="AJ76" si="47">IFERROR(IF(AI76="","",RANK(AI76,AI$12:AI$76)),"")</f>
        <v/>
      </c>
      <c r="AK76" s="118" t="str">
        <f t="shared" si="18"/>
        <v/>
      </c>
      <c r="AL76" s="135"/>
      <c r="AM76" s="190" t="str">
        <f>IFERROR(IF(ISBLANK(DATA!U76),"",DATA!U76),"")</f>
        <v/>
      </c>
      <c r="AN76" s="190" t="str">
        <f>IFERROR(IF(ISBLANK(DATA!V76),"",DATA!V76),"")</f>
        <v/>
      </c>
      <c r="AO76" s="190" t="str">
        <f>IFERROR(IF(ISBLANK(DATA!W76),"",DATA!W76),"")</f>
        <v/>
      </c>
      <c r="AP76" s="190" t="str">
        <f>IFERROR(IF(ISBLANK(DATA!X76),"",DATA!X76),"")</f>
        <v/>
      </c>
      <c r="AQ76" s="113" t="str">
        <f t="shared" ref="AQ76" si="48">IFERROR(IF(AND(AM76:AP76)="","",SUM(AM76:AP76)),"")</f>
        <v/>
      </c>
      <c r="AR76" s="106" t="str">
        <f>IFERROR(IF(AQ76=0,"",ROUND((AQ76/SUM(SETTINGS!$L$14:$L$17))*SETTINGS!$L$18,0)),"")</f>
        <v/>
      </c>
      <c r="AS76" s="191" t="str">
        <f>IFERROR(IF(ISBLANK(DATA!Y76),"",DATA!Y76),"")</f>
        <v/>
      </c>
      <c r="AT76" s="106" t="str">
        <f>IFERROR(IF(ISBLANK(AS76),"",ROUND((AS76/SETTINGS!$L$19)*SETTINGS!$L$20,0)),"")</f>
        <v/>
      </c>
      <c r="AU76" s="114" t="str">
        <f t="shared" si="20"/>
        <v/>
      </c>
      <c r="AV76" s="116" t="str">
        <f t="shared" ref="AV76" si="49">IFERROR(IF(AU76="","",RANK(AU76,AU$12:AU$76)),"")</f>
        <v/>
      </c>
      <c r="AW76" s="117" t="str">
        <f t="shared" si="21"/>
        <v/>
      </c>
      <c r="AX76" s="130"/>
      <c r="AY76" s="190" t="str">
        <f>IFERROR(IF(ISBLANK(DATA!AA76),"",DATA!AA76),"")</f>
        <v/>
      </c>
      <c r="AZ76" s="190" t="str">
        <f>IFERROR(IF(ISBLANK(DATA!AB76),"",DATA!AB76),"")</f>
        <v/>
      </c>
      <c r="BA76" s="190" t="str">
        <f>IFERROR(IF(ISBLANK(DATA!AC76),"",DATA!AC76),"")</f>
        <v/>
      </c>
      <c r="BB76" s="190" t="str">
        <f>IFERROR(IF(ISBLANK(DATA!AD76),"",DATA!AD76),"")</f>
        <v/>
      </c>
      <c r="BC76" s="113" t="str">
        <f t="shared" ref="BC76" si="50">IFERROR(IF(AND(AY76:BB76)="","",SUM(AY76:BB76)),"")</f>
        <v/>
      </c>
      <c r="BD76" s="106" t="str">
        <f>IFERROR(IF(BC76=0,"",ROUND((BC76/SUM(SETTINGS!$L$14:$L$17))*SETTINGS!$L$18,0)),"")</f>
        <v/>
      </c>
      <c r="BE76" s="191" t="str">
        <f>IFERROR(IF(ISBLANK(DATA!AE76),"",DATA!AE76),"")</f>
        <v/>
      </c>
      <c r="BF76" s="106" t="str">
        <f>IFERROR(IF(ISBLANK(BE76),"",ROUND((BE76/SETTINGS!$L$19)*SETTINGS!$L$20,0)),"")</f>
        <v/>
      </c>
      <c r="BG76" s="114" t="str">
        <f t="shared" si="23"/>
        <v/>
      </c>
      <c r="BH76" s="116" t="str">
        <f t="shared" ref="BH76" si="51">IFERROR(IF(BG76="","",RANK(BG76,BG$12:BG$76)),"")</f>
        <v/>
      </c>
      <c r="BI76" s="118" t="str">
        <f t="shared" si="24"/>
        <v/>
      </c>
      <c r="BJ76" s="130"/>
      <c r="BK76" s="190" t="str">
        <f>IFERROR(IF(ISBLANK(DATA!AG76),"",DATA!AG76),"")</f>
        <v/>
      </c>
      <c r="BL76" s="190" t="str">
        <f>IFERROR(IF(ISBLANK(DATA!AH76),"",DATA!AH76),"")</f>
        <v/>
      </c>
      <c r="BM76" s="190" t="str">
        <f>IFERROR(IF(ISBLANK(DATA!AI76),"",DATA!AI76),"")</f>
        <v/>
      </c>
      <c r="BN76" s="190" t="str">
        <f>IFERROR(IF(ISBLANK(DATA!AJ76),"",DATA!AJ76),"")</f>
        <v/>
      </c>
      <c r="BO76" s="113" t="str">
        <f t="shared" ref="BO76" si="52">IFERROR(IF(AND(BK76:BN76)="","",SUM(BK76:BN76)),"")</f>
        <v/>
      </c>
      <c r="BP76" s="106" t="str">
        <f>IFERROR(IF(BO76=0,"",ROUND((BO76/SUM(SETTINGS!$L$14:$L$17))*SETTINGS!$L$18,0)),"")</f>
        <v/>
      </c>
      <c r="BQ76" s="190" t="str">
        <f>IFERROR(IF(ISBLANK(DATA!AK76),"",DATA!AK76),"")</f>
        <v/>
      </c>
      <c r="BR76" s="106" t="str">
        <f>IFERROR(IF(ISBLANK(BQ76),"",ROUND((BQ76/SETTINGS!$L$19)*SETTINGS!$L$20,0)),"")</f>
        <v/>
      </c>
      <c r="BS76" s="114" t="str">
        <f t="shared" si="26"/>
        <v/>
      </c>
      <c r="BT76" s="116" t="str">
        <f t="shared" ref="BT76" si="53">IFERROR(IF(BS76="","",RANK(BS76,BS$12:BS$76)),"")</f>
        <v/>
      </c>
      <c r="BU76" s="117" t="str">
        <f t="shared" si="27"/>
        <v/>
      </c>
      <c r="BV76" s="130"/>
      <c r="BW76" s="190" t="str">
        <f>IFERROR(IF(ISBLANK(DATA!AM76),"",DATA!AM76),"")</f>
        <v/>
      </c>
      <c r="BX76" s="190" t="str">
        <f>IFERROR(IF(ISBLANK(DATA!AN76),"",DATA!AN76),"")</f>
        <v/>
      </c>
      <c r="BY76" s="190" t="str">
        <f>IFERROR(IF(ISBLANK(DATA!AO76),"",DATA!AO76),"")</f>
        <v/>
      </c>
      <c r="BZ76" s="190" t="str">
        <f>IFERROR(IF(ISBLANK(DATA!AP76),"",DATA!AP76),"")</f>
        <v/>
      </c>
      <c r="CA76" s="113" t="str">
        <f t="shared" ref="CA76" si="54">IFERROR(IF(AND(BW76:BZ76)="","",SUM(BW76:BZ76)),"")</f>
        <v/>
      </c>
      <c r="CB76" s="106" t="str">
        <f>IFERROR(IF(CA76=0,"",ROUND((CA76/SUM(SETTINGS!$L$14:$L$17))*SETTINGS!$L$18,0)),"")</f>
        <v/>
      </c>
      <c r="CC76" s="190" t="str">
        <f>IFERROR(IF(ISBLANK(DATA!AQ76),"",DATA!AQ76),"")</f>
        <v/>
      </c>
      <c r="CD76" s="106" t="str">
        <f>IFERROR(IF(ISBLANK(CC76),"",ROUND((CC76/SETTINGS!$L$19)*SETTINGS!$L$20,0)),"")</f>
        <v/>
      </c>
      <c r="CE76" s="114" t="str">
        <f t="shared" si="29"/>
        <v/>
      </c>
      <c r="CF76" s="116" t="str">
        <f t="shared" ref="CF76" si="55">IFERROR(IF(CE76="","",RANK(CE76,CE$12:CE$76)),"")</f>
        <v/>
      </c>
      <c r="CG76" s="117" t="str">
        <f t="shared" si="30"/>
        <v/>
      </c>
      <c r="CH76" s="130"/>
      <c r="CI76" s="190" t="str">
        <f>IFERROR(IF(ISBLANK(DATA!AS76),"",DATA!AS76),"")</f>
        <v/>
      </c>
      <c r="CJ76" s="190" t="str">
        <f>IFERROR(IF(ISBLANK(DATA!AT76),"",DATA!AT76),"")</f>
        <v/>
      </c>
      <c r="CK76" s="190" t="str">
        <f>IFERROR(IF(ISBLANK(DATA!AU76),"",DATA!AU76),"")</f>
        <v/>
      </c>
      <c r="CL76" s="190" t="str">
        <f>IFERROR(IF(ISBLANK(DATA!AV76),"",DATA!AV76),"")</f>
        <v/>
      </c>
      <c r="CM76" s="113" t="str">
        <f t="shared" ref="CM76" si="56">IFERROR(IF(AND(CI76:CL76)="","",SUM(CI76:CL76)),"")</f>
        <v/>
      </c>
      <c r="CN76" s="106" t="str">
        <f>IFERROR(IF(CM76=0,"",ROUND((CM76/SUM(SETTINGS!$L$14:$L$17))*SETTINGS!$L$18,0)),"")</f>
        <v/>
      </c>
      <c r="CO76" s="190" t="str">
        <f>IFERROR(IF(ISBLANK(DATA!AW76),"",DATA!AW76),"")</f>
        <v/>
      </c>
      <c r="CP76" s="106" t="str">
        <f>IFERROR(IF(ISBLANK(CO76),"",ROUND((CO76/SETTINGS!$L$19)*SETTINGS!$L$20,0)),"")</f>
        <v/>
      </c>
      <c r="CQ76" s="114" t="str">
        <f t="shared" si="32"/>
        <v/>
      </c>
      <c r="CR76" s="116" t="str">
        <f t="shared" ref="CR76" si="57">IFERROR(IF(CQ76="","",RANK(CQ76,CQ$12:CQ$76)),"")</f>
        <v/>
      </c>
      <c r="CS76" s="117" t="str">
        <f t="shared" si="33"/>
        <v/>
      </c>
      <c r="CT76" s="130"/>
      <c r="CU76" s="190" t="str">
        <f>IFERROR(IF(ISBLANK(DATA!AY76),"",DATA!AY76),"")</f>
        <v/>
      </c>
      <c r="CV76" s="190" t="str">
        <f>IFERROR(IF(ISBLANK(DATA!AZ76),"",DATA!AZ76),"")</f>
        <v/>
      </c>
      <c r="CW76" s="190" t="str">
        <f>IFERROR(IF(ISBLANK(DATA!BA76),"",DATA!BA76),"")</f>
        <v/>
      </c>
      <c r="CX76" s="190" t="str">
        <f>IFERROR(IF(ISBLANK(DATA!BB76),"",DATA!BB76),"")</f>
        <v/>
      </c>
      <c r="CY76" s="113" t="str">
        <f t="shared" ref="CY76" si="58">IFERROR(IF(AND(CU76:CX76)="","",SUM(CU76:CX76)),"")</f>
        <v/>
      </c>
      <c r="CZ76" s="106" t="str">
        <f>IFERROR(IF(CY76=0,"",ROUND((CY76/SUM(SETTINGS!$L$14:$L$17))*SETTINGS!$L$18,0)),"")</f>
        <v/>
      </c>
      <c r="DA76" s="190" t="str">
        <f>IFERROR(IF(ISBLANK(DATA!BC76),"",DATA!BC76),"")</f>
        <v/>
      </c>
      <c r="DB76" s="106" t="str">
        <f>IFERROR(IF(ISBLANK(DA76),"",ROUND((DA76/SETTINGS!$L$19)*SETTINGS!$L$20,0)),"")</f>
        <v/>
      </c>
      <c r="DC76" s="114" t="str">
        <f t="shared" si="35"/>
        <v/>
      </c>
      <c r="DD76" s="116" t="str">
        <f t="shared" ref="DD76" si="59">IFERROR(IF(DC76="","",RANK(DC76,DC$12:DC$76)),"")</f>
        <v/>
      </c>
      <c r="DE76" s="117" t="str">
        <f t="shared" si="36"/>
        <v/>
      </c>
      <c r="DF76" s="116" t="str">
        <f t="shared" ref="DF76" si="60">IFERROR(IF(AND(K76,W76,AI76,AU76,BG76,BS76,CE76,CQ76,DC76)="","",SUM(K76,W76,AI76,AU76,BG76,BS76,CE76,CQ76,DC76)),"")</f>
        <v/>
      </c>
      <c r="DG76" s="103" t="str">
        <f>IFERROR(IF(AND(K76,W76,AI76,AU76,BG76,BS76,CE76,CQ76,DC76)="","",SUM(K76,W76,AI76,AU76,LARGE((BG76,BS76,CE76,CQ76,DC76),{1,2}))),"")</f>
        <v/>
      </c>
      <c r="DH76" s="103" t="str">
        <f>IFERROR(IF(AND(M76,Y76,AK76,AW76,,BI76,BU76,CG76,CS76,DE76)="","",SUM(M76,Y76,AK76,AW76,SMALL((BI76,BU76,CG76,CS76,DE76),{1,2}))),"")</f>
        <v/>
      </c>
      <c r="DI76" s="109" t="str">
        <f>IFERROR(IF(ISBLANK($D76),"",pos&amp;IF(AND(MOD(ABS(pos),100)&gt;10,MOD(ABS(pos),100)&lt;14),"th",CHOOSE(MOD(ABS(pos),10)+1,"th","st","nd","rd","th","th","th","th","th","th"))),"")</f>
        <v/>
      </c>
      <c r="DJ76" s="62">
        <f>ROWS($B$12:$B76)</f>
        <v>65</v>
      </c>
      <c r="DK76" s="62" t="str">
        <f>IF($B76=REPORT_CARD!$M$12,$DJ76,"")</f>
        <v/>
      </c>
      <c r="DL76" s="62"/>
      <c r="DM76" s="186" t="str">
        <f t="shared" si="40"/>
        <v/>
      </c>
    </row>
    <row r="77" spans="1:117" ht="19.5" customHeight="1" thickBot="1">
      <c r="A77" s="66"/>
      <c r="B77" s="120" t="s">
        <v>50</v>
      </c>
      <c r="C77" s="66" t="str">
        <f>IFERROR(IF(OR(C12:C76)="","",SUM(C12:C76)),"")</f>
        <v/>
      </c>
      <c r="D77" s="66" t="str">
        <f t="shared" ref="D77:K77" si="61">IFERROR(IF(OR(D12:D76)="","",SUM(D12:D76)),"")</f>
        <v/>
      </c>
      <c r="E77" s="66" t="str">
        <f t="shared" si="61"/>
        <v/>
      </c>
      <c r="F77" s="66" t="str">
        <f t="shared" si="61"/>
        <v/>
      </c>
      <c r="G77" s="66" t="str">
        <f>IFERROR(IF(OR(G12:G76)="","",SUM(G12:G76)),"")</f>
        <v/>
      </c>
      <c r="H77" s="66" t="str">
        <f t="shared" ref="H77:J77" si="62">IFERROR(IF(OR(H12:H76)="","",SUM(H12:H76)),"")</f>
        <v/>
      </c>
      <c r="I77" s="66" t="str">
        <f t="shared" si="62"/>
        <v/>
      </c>
      <c r="J77" s="66" t="str">
        <f t="shared" si="62"/>
        <v/>
      </c>
      <c r="K77" s="66" t="str">
        <f t="shared" si="61"/>
        <v/>
      </c>
      <c r="L77" s="66"/>
      <c r="M77" s="66"/>
      <c r="N77" s="128"/>
      <c r="O77" s="66" t="str">
        <f>IFERROR(IF(OR(O12:O76)="","",SUM(O12:O76)),"")</f>
        <v/>
      </c>
      <c r="P77" s="66" t="str">
        <f t="shared" ref="P77:W77" si="63">IFERROR(IF(OR(P12:P76)="","",SUM(P12:P76)),"")</f>
        <v/>
      </c>
      <c r="Q77" s="66" t="str">
        <f t="shared" si="63"/>
        <v/>
      </c>
      <c r="R77" s="66" t="str">
        <f t="shared" si="63"/>
        <v/>
      </c>
      <c r="S77" s="66" t="str">
        <f t="shared" si="63"/>
        <v/>
      </c>
      <c r="T77" s="66" t="str">
        <f t="shared" si="63"/>
        <v/>
      </c>
      <c r="U77" s="66" t="str">
        <f t="shared" si="63"/>
        <v/>
      </c>
      <c r="V77" s="66" t="str">
        <f t="shared" si="63"/>
        <v/>
      </c>
      <c r="W77" s="66" t="str">
        <f t="shared" si="63"/>
        <v/>
      </c>
      <c r="X77" s="66"/>
      <c r="Y77" s="66"/>
      <c r="Z77" s="128"/>
      <c r="AA77" s="66" t="str">
        <f>IFERROR(IF(OR(AA12:AA76)="","",SUM(AA12:AA76)),"")</f>
        <v/>
      </c>
      <c r="AB77" s="66" t="str">
        <f t="shared" ref="AB77:AI77" si="64">IFERROR(IF(OR(AB12:AB76)="","",SUM(AB12:AB76)),"")</f>
        <v/>
      </c>
      <c r="AC77" s="66" t="str">
        <f t="shared" si="64"/>
        <v/>
      </c>
      <c r="AD77" s="66" t="str">
        <f t="shared" si="64"/>
        <v/>
      </c>
      <c r="AE77" s="66" t="str">
        <f t="shared" si="64"/>
        <v/>
      </c>
      <c r="AF77" s="66" t="str">
        <f t="shared" si="64"/>
        <v/>
      </c>
      <c r="AG77" s="66" t="str">
        <f t="shared" si="64"/>
        <v/>
      </c>
      <c r="AH77" s="66" t="str">
        <f t="shared" si="64"/>
        <v/>
      </c>
      <c r="AI77" s="66" t="str">
        <f t="shared" si="64"/>
        <v/>
      </c>
      <c r="AJ77" s="66"/>
      <c r="AK77" s="66"/>
      <c r="AL77" s="128"/>
      <c r="AM77" s="66" t="str">
        <f>IFERROR(IF(OR(AM12:AM76)="","",SUM(AM12:AM76)),"")</f>
        <v/>
      </c>
      <c r="AN77" s="66" t="str">
        <f t="shared" ref="AN77:AU77" si="65">IFERROR(IF(OR(AN12:AN76)="","",SUM(AN12:AN76)),"")</f>
        <v/>
      </c>
      <c r="AO77" s="66" t="str">
        <f t="shared" si="65"/>
        <v/>
      </c>
      <c r="AP77" s="66" t="str">
        <f t="shared" si="65"/>
        <v/>
      </c>
      <c r="AQ77" s="66" t="str">
        <f t="shared" si="65"/>
        <v/>
      </c>
      <c r="AR77" s="66" t="str">
        <f t="shared" si="65"/>
        <v/>
      </c>
      <c r="AS77" s="66" t="str">
        <f t="shared" si="65"/>
        <v/>
      </c>
      <c r="AT77" s="66" t="str">
        <f t="shared" si="65"/>
        <v/>
      </c>
      <c r="AU77" s="66" t="str">
        <f t="shared" si="65"/>
        <v/>
      </c>
      <c r="AV77" s="66"/>
      <c r="AW77" s="66"/>
      <c r="AX77" s="125"/>
      <c r="AY77" s="66" t="str">
        <f>IFERROR(IF(OR(AY12:AY76)="","",SUM(AY12:AY76)),"")</f>
        <v/>
      </c>
      <c r="AZ77" s="66" t="str">
        <f t="shared" ref="AZ77:BG77" si="66">IFERROR(IF(OR(AZ12:AZ76)="","",SUM(AZ12:AZ76)),"")</f>
        <v/>
      </c>
      <c r="BA77" s="66" t="str">
        <f t="shared" si="66"/>
        <v/>
      </c>
      <c r="BB77" s="66" t="str">
        <f t="shared" si="66"/>
        <v/>
      </c>
      <c r="BC77" s="66" t="str">
        <f t="shared" si="66"/>
        <v/>
      </c>
      <c r="BD77" s="66" t="str">
        <f t="shared" si="66"/>
        <v/>
      </c>
      <c r="BE77" s="66" t="str">
        <f t="shared" si="66"/>
        <v/>
      </c>
      <c r="BF77" s="66" t="str">
        <f t="shared" si="66"/>
        <v/>
      </c>
      <c r="BG77" s="66" t="str">
        <f t="shared" si="66"/>
        <v/>
      </c>
      <c r="BH77" s="66"/>
      <c r="BI77" s="66"/>
      <c r="BJ77" s="125"/>
      <c r="BK77" s="66" t="str">
        <f>IFERROR(IF(OR(BK12:BK76)="","",SUM(BK12:BK76)),"")</f>
        <v/>
      </c>
      <c r="BL77" s="66" t="str">
        <f t="shared" ref="BL77:BS77" si="67">IFERROR(IF(OR(BL12:BL76)="","",SUM(BL12:BL76)),"")</f>
        <v/>
      </c>
      <c r="BM77" s="66" t="str">
        <f t="shared" si="67"/>
        <v/>
      </c>
      <c r="BN77" s="66" t="str">
        <f t="shared" si="67"/>
        <v/>
      </c>
      <c r="BO77" s="66" t="str">
        <f t="shared" si="67"/>
        <v/>
      </c>
      <c r="BP77" s="66" t="str">
        <f t="shared" si="67"/>
        <v/>
      </c>
      <c r="BQ77" s="66" t="str">
        <f t="shared" si="67"/>
        <v/>
      </c>
      <c r="BR77" s="66" t="str">
        <f t="shared" si="67"/>
        <v/>
      </c>
      <c r="BS77" s="66" t="str">
        <f t="shared" si="67"/>
        <v/>
      </c>
      <c r="BT77" s="66"/>
      <c r="BU77" s="66"/>
      <c r="BV77" s="125"/>
      <c r="BW77" s="66" t="str">
        <f>IFERROR(IF(OR(BW12:BW76)="","",SUM(BW12:BW76)),"")</f>
        <v/>
      </c>
      <c r="BX77" s="66" t="str">
        <f t="shared" ref="BX77:CE77" si="68">IFERROR(IF(OR(BX12:BX76)="","",SUM(BX12:BX76)),"")</f>
        <v/>
      </c>
      <c r="BY77" s="66" t="str">
        <f t="shared" si="68"/>
        <v/>
      </c>
      <c r="BZ77" s="66" t="str">
        <f t="shared" si="68"/>
        <v/>
      </c>
      <c r="CA77" s="66" t="str">
        <f t="shared" si="68"/>
        <v/>
      </c>
      <c r="CB77" s="66" t="str">
        <f t="shared" si="68"/>
        <v/>
      </c>
      <c r="CC77" s="66" t="str">
        <f t="shared" si="68"/>
        <v/>
      </c>
      <c r="CD77" s="66" t="str">
        <f t="shared" si="68"/>
        <v/>
      </c>
      <c r="CE77" s="66" t="str">
        <f t="shared" si="68"/>
        <v/>
      </c>
      <c r="CF77" s="66"/>
      <c r="CG77" s="66"/>
      <c r="CH77" s="125"/>
      <c r="CI77" s="66" t="str">
        <f>IFERROR(IF(OR(CI12:CI76)="","",SUM(CI12:CI76)),"")</f>
        <v/>
      </c>
      <c r="CJ77" s="66" t="str">
        <f t="shared" ref="CJ77:CQ77" si="69">IFERROR(IF(OR(CJ12:CJ76)="","",SUM(CJ12:CJ76)),"")</f>
        <v/>
      </c>
      <c r="CK77" s="66" t="str">
        <f t="shared" si="69"/>
        <v/>
      </c>
      <c r="CL77" s="66" t="str">
        <f t="shared" si="69"/>
        <v/>
      </c>
      <c r="CM77" s="66" t="str">
        <f t="shared" si="69"/>
        <v/>
      </c>
      <c r="CN77" s="66" t="str">
        <f t="shared" si="69"/>
        <v/>
      </c>
      <c r="CO77" s="66" t="str">
        <f t="shared" si="69"/>
        <v/>
      </c>
      <c r="CP77" s="66" t="str">
        <f t="shared" si="69"/>
        <v/>
      </c>
      <c r="CQ77" s="66" t="str">
        <f t="shared" si="69"/>
        <v/>
      </c>
      <c r="CR77" s="66"/>
      <c r="CS77" s="66"/>
      <c r="CT77" s="125"/>
      <c r="CU77" s="66" t="str">
        <f>IFERROR(IF(OR(CU12:CU76)="","",SUM(CU12:CU76)),"")</f>
        <v/>
      </c>
      <c r="CV77" s="66" t="str">
        <f t="shared" ref="CV77:DC77" si="70">IFERROR(IF(OR(CV12:CV76)="","",SUM(CV12:CV76)),"")</f>
        <v/>
      </c>
      <c r="CW77" s="66" t="str">
        <f t="shared" si="70"/>
        <v/>
      </c>
      <c r="CX77" s="66" t="str">
        <f t="shared" si="70"/>
        <v/>
      </c>
      <c r="CY77" s="66" t="str">
        <f t="shared" si="70"/>
        <v/>
      </c>
      <c r="CZ77" s="66" t="str">
        <f t="shared" si="70"/>
        <v/>
      </c>
      <c r="DA77" s="66" t="str">
        <f t="shared" si="70"/>
        <v/>
      </c>
      <c r="DB77" s="66" t="str">
        <f t="shared" si="70"/>
        <v/>
      </c>
      <c r="DC77" s="66" t="str">
        <f t="shared" si="70"/>
        <v/>
      </c>
      <c r="DD77" s="66"/>
      <c r="DE77" s="66"/>
      <c r="DF77" s="67"/>
      <c r="DG77" s="67"/>
      <c r="DH77" s="67"/>
      <c r="DI77" s="67"/>
      <c r="DJ77" s="62"/>
      <c r="DK77" s="62"/>
      <c r="DL77" s="62"/>
      <c r="DM77" s="186"/>
    </row>
    <row r="78" spans="1:117" ht="19.5" customHeight="1" thickBot="1">
      <c r="A78" s="66"/>
      <c r="B78" s="120" t="s">
        <v>54</v>
      </c>
      <c r="C78" s="66" t="str">
        <f>IFERROR(IF(OR(C12:C76)="","",AVERAGE(C12:C76)),"")</f>
        <v/>
      </c>
      <c r="D78" s="66" t="str">
        <f t="shared" ref="D78:K78" si="71">IFERROR(IF(OR(D12:D76)="","",AVERAGE(D12:D76)),"")</f>
        <v/>
      </c>
      <c r="E78" s="66" t="str">
        <f t="shared" si="71"/>
        <v/>
      </c>
      <c r="F78" s="66" t="str">
        <f t="shared" si="71"/>
        <v/>
      </c>
      <c r="G78" s="66" t="str">
        <f>IFERROR(IF(OR(G12:G76)="","",AVERAGE(G12:G76)),"")</f>
        <v/>
      </c>
      <c r="H78" s="66" t="str">
        <f t="shared" ref="H78:J78" si="72">IFERROR(IF(OR(H12:H76)="","",AVERAGE(H12:H76)),"")</f>
        <v/>
      </c>
      <c r="I78" s="66" t="str">
        <f t="shared" si="72"/>
        <v/>
      </c>
      <c r="J78" s="66" t="str">
        <f t="shared" si="72"/>
        <v/>
      </c>
      <c r="K78" s="66" t="str">
        <f t="shared" si="71"/>
        <v/>
      </c>
      <c r="L78" s="66"/>
      <c r="M78" s="66"/>
      <c r="N78" s="128"/>
      <c r="O78" s="66" t="str">
        <f>IFERROR(IF(OR(O12:O76)="","",AVERAGE(O12:O76)),"")</f>
        <v/>
      </c>
      <c r="P78" s="66" t="str">
        <f t="shared" ref="P78:W78" si="73">IFERROR(IF(OR(P12:P76)="","",AVERAGE(P12:P76)),"")</f>
        <v/>
      </c>
      <c r="Q78" s="66" t="str">
        <f t="shared" si="73"/>
        <v/>
      </c>
      <c r="R78" s="66" t="str">
        <f t="shared" si="73"/>
        <v/>
      </c>
      <c r="S78" s="66" t="str">
        <f t="shared" si="73"/>
        <v/>
      </c>
      <c r="T78" s="66" t="str">
        <f t="shared" si="73"/>
        <v/>
      </c>
      <c r="U78" s="66" t="str">
        <f t="shared" si="73"/>
        <v/>
      </c>
      <c r="V78" s="66" t="str">
        <f t="shared" si="73"/>
        <v/>
      </c>
      <c r="W78" s="66" t="str">
        <f t="shared" si="73"/>
        <v/>
      </c>
      <c r="X78" s="66"/>
      <c r="Y78" s="66"/>
      <c r="Z78" s="128"/>
      <c r="AA78" s="66" t="str">
        <f>IFERROR(IF(OR(AA12:AA76)="","",AVERAGE(AA12:AA76)),"")</f>
        <v/>
      </c>
      <c r="AB78" s="66" t="str">
        <f t="shared" ref="AB78:AI78" si="74">IFERROR(IF(OR(AB12:AB76)="","",AVERAGE(AB12:AB76)),"")</f>
        <v/>
      </c>
      <c r="AC78" s="66" t="str">
        <f t="shared" si="74"/>
        <v/>
      </c>
      <c r="AD78" s="66" t="str">
        <f t="shared" si="74"/>
        <v/>
      </c>
      <c r="AE78" s="66" t="str">
        <f t="shared" si="74"/>
        <v/>
      </c>
      <c r="AF78" s="66" t="str">
        <f t="shared" si="74"/>
        <v/>
      </c>
      <c r="AG78" s="66" t="str">
        <f t="shared" si="74"/>
        <v/>
      </c>
      <c r="AH78" s="66" t="str">
        <f t="shared" si="74"/>
        <v/>
      </c>
      <c r="AI78" s="66" t="str">
        <f t="shared" si="74"/>
        <v/>
      </c>
      <c r="AJ78" s="66"/>
      <c r="AK78" s="66"/>
      <c r="AL78" s="128"/>
      <c r="AM78" s="66" t="str">
        <f>IFERROR(IF(OR(AM12:AM76)="","",AVERAGE(AM12:AM76)),"")</f>
        <v/>
      </c>
      <c r="AN78" s="66" t="str">
        <f t="shared" ref="AN78:AU78" si="75">IFERROR(IF(OR(AN12:AN76)="","",AVERAGE(AN12:AN76)),"")</f>
        <v/>
      </c>
      <c r="AO78" s="66" t="str">
        <f t="shared" si="75"/>
        <v/>
      </c>
      <c r="AP78" s="66" t="str">
        <f t="shared" si="75"/>
        <v/>
      </c>
      <c r="AQ78" s="66" t="str">
        <f t="shared" si="75"/>
        <v/>
      </c>
      <c r="AR78" s="66" t="str">
        <f t="shared" si="75"/>
        <v/>
      </c>
      <c r="AS78" s="66" t="str">
        <f t="shared" si="75"/>
        <v/>
      </c>
      <c r="AT78" s="66" t="str">
        <f t="shared" si="75"/>
        <v/>
      </c>
      <c r="AU78" s="66" t="str">
        <f t="shared" si="75"/>
        <v/>
      </c>
      <c r="AV78" s="66"/>
      <c r="AW78" s="66"/>
      <c r="AX78" s="125"/>
      <c r="AY78" s="66" t="str">
        <f>IFERROR(IF(OR(AY12:AY76)="","",AVERAGE(AY12:AY76)),"")</f>
        <v/>
      </c>
      <c r="AZ78" s="66" t="str">
        <f t="shared" ref="AZ78:BG78" si="76">IFERROR(IF(OR(AZ12:AZ76)="","",AVERAGE(AZ12:AZ76)),"")</f>
        <v/>
      </c>
      <c r="BA78" s="66" t="str">
        <f t="shared" si="76"/>
        <v/>
      </c>
      <c r="BB78" s="66" t="str">
        <f t="shared" si="76"/>
        <v/>
      </c>
      <c r="BC78" s="66" t="str">
        <f t="shared" si="76"/>
        <v/>
      </c>
      <c r="BD78" s="66" t="str">
        <f t="shared" si="76"/>
        <v/>
      </c>
      <c r="BE78" s="66" t="str">
        <f t="shared" si="76"/>
        <v/>
      </c>
      <c r="BF78" s="66" t="str">
        <f t="shared" si="76"/>
        <v/>
      </c>
      <c r="BG78" s="66" t="str">
        <f t="shared" si="76"/>
        <v/>
      </c>
      <c r="BH78" s="66"/>
      <c r="BI78" s="66"/>
      <c r="BJ78" s="125"/>
      <c r="BK78" s="66" t="str">
        <f>IFERROR(IF(OR(BK12:BK76)="","",AVERAGE(BK12:BK76)),"")</f>
        <v/>
      </c>
      <c r="BL78" s="66" t="str">
        <f t="shared" ref="BL78:BS78" si="77">IFERROR(IF(OR(BL12:BL76)="","",AVERAGE(BL12:BL76)),"")</f>
        <v/>
      </c>
      <c r="BM78" s="66" t="str">
        <f t="shared" si="77"/>
        <v/>
      </c>
      <c r="BN78" s="66" t="str">
        <f t="shared" si="77"/>
        <v/>
      </c>
      <c r="BO78" s="66" t="str">
        <f t="shared" si="77"/>
        <v/>
      </c>
      <c r="BP78" s="66" t="str">
        <f t="shared" si="77"/>
        <v/>
      </c>
      <c r="BQ78" s="66" t="str">
        <f t="shared" si="77"/>
        <v/>
      </c>
      <c r="BR78" s="66" t="str">
        <f t="shared" si="77"/>
        <v/>
      </c>
      <c r="BS78" s="66" t="str">
        <f t="shared" si="77"/>
        <v/>
      </c>
      <c r="BT78" s="66"/>
      <c r="BU78" s="66"/>
      <c r="BV78" s="125"/>
      <c r="BW78" s="66" t="str">
        <f>IFERROR(IF(OR(BW12:BW76)="","",AVERAGE(BW12:BW76)),"")</f>
        <v/>
      </c>
      <c r="BX78" s="66" t="str">
        <f t="shared" ref="BX78:CE78" si="78">IFERROR(IF(OR(BX12:BX76)="","",AVERAGE(BX12:BX76)),"")</f>
        <v/>
      </c>
      <c r="BY78" s="66" t="str">
        <f t="shared" si="78"/>
        <v/>
      </c>
      <c r="BZ78" s="66" t="str">
        <f t="shared" si="78"/>
        <v/>
      </c>
      <c r="CA78" s="66" t="str">
        <f t="shared" si="78"/>
        <v/>
      </c>
      <c r="CB78" s="66" t="str">
        <f t="shared" si="78"/>
        <v/>
      </c>
      <c r="CC78" s="66" t="str">
        <f t="shared" si="78"/>
        <v/>
      </c>
      <c r="CD78" s="66" t="str">
        <f t="shared" si="78"/>
        <v/>
      </c>
      <c r="CE78" s="66" t="str">
        <f t="shared" si="78"/>
        <v/>
      </c>
      <c r="CF78" s="66"/>
      <c r="CG78" s="66"/>
      <c r="CH78" s="125"/>
      <c r="CI78" s="66" t="str">
        <f>IFERROR(IF(OR(CI12:CI76)="","",AVERAGE(CI12:CI76)),"")</f>
        <v/>
      </c>
      <c r="CJ78" s="66" t="str">
        <f t="shared" ref="CJ78:CQ78" si="79">IFERROR(IF(OR(CJ12:CJ76)="","",AVERAGE(CJ12:CJ76)),"")</f>
        <v/>
      </c>
      <c r="CK78" s="66" t="str">
        <f t="shared" si="79"/>
        <v/>
      </c>
      <c r="CL78" s="66" t="str">
        <f t="shared" si="79"/>
        <v/>
      </c>
      <c r="CM78" s="66" t="str">
        <f t="shared" si="79"/>
        <v/>
      </c>
      <c r="CN78" s="66" t="str">
        <f t="shared" si="79"/>
        <v/>
      </c>
      <c r="CO78" s="66" t="str">
        <f t="shared" si="79"/>
        <v/>
      </c>
      <c r="CP78" s="66" t="str">
        <f t="shared" si="79"/>
        <v/>
      </c>
      <c r="CQ78" s="66" t="str">
        <f t="shared" si="79"/>
        <v/>
      </c>
      <c r="CR78" s="66"/>
      <c r="CS78" s="66"/>
      <c r="CT78" s="125"/>
      <c r="CU78" s="66" t="str">
        <f>IFERROR(IF(OR(CU12:CU76)="","",AVERAGE(CU12:CU76)),"")</f>
        <v/>
      </c>
      <c r="CV78" s="66" t="str">
        <f t="shared" ref="CV78:DC78" si="80">IFERROR(IF(OR(CV12:CV76)="","",AVERAGE(CV12:CV76)),"")</f>
        <v/>
      </c>
      <c r="CW78" s="66" t="str">
        <f t="shared" si="80"/>
        <v/>
      </c>
      <c r="CX78" s="66" t="str">
        <f t="shared" si="80"/>
        <v/>
      </c>
      <c r="CY78" s="66" t="str">
        <f t="shared" si="80"/>
        <v/>
      </c>
      <c r="CZ78" s="66" t="str">
        <f t="shared" si="80"/>
        <v/>
      </c>
      <c r="DA78" s="66" t="str">
        <f t="shared" si="80"/>
        <v/>
      </c>
      <c r="DB78" s="66" t="str">
        <f t="shared" si="80"/>
        <v/>
      </c>
      <c r="DC78" s="66" t="str">
        <f t="shared" si="80"/>
        <v/>
      </c>
      <c r="DD78" s="66"/>
      <c r="DE78" s="66"/>
      <c r="DF78" s="67"/>
      <c r="DG78" s="67"/>
      <c r="DH78" s="67"/>
      <c r="DI78" s="67"/>
      <c r="DJ78" s="62"/>
      <c r="DK78" s="62"/>
      <c r="DL78" s="62"/>
      <c r="DM78" s="186"/>
    </row>
    <row r="79" spans="1:117" ht="19.5" customHeight="1" thickBot="1">
      <c r="A79" s="128"/>
      <c r="B79" s="133"/>
      <c r="C79" s="133"/>
      <c r="D79" s="133"/>
      <c r="E79" s="133"/>
      <c r="F79" s="133"/>
      <c r="G79" s="133"/>
      <c r="H79" s="133"/>
      <c r="I79" s="133"/>
      <c r="J79" s="133"/>
      <c r="K79" s="133"/>
      <c r="L79" s="133"/>
      <c r="M79" s="133"/>
      <c r="N79" s="128"/>
      <c r="O79" s="128"/>
      <c r="P79" s="128"/>
      <c r="Q79" s="128"/>
      <c r="R79" s="133"/>
      <c r="S79" s="133"/>
      <c r="T79" s="128"/>
      <c r="U79" s="133"/>
      <c r="V79" s="133"/>
      <c r="W79" s="128"/>
      <c r="X79" s="133"/>
      <c r="Y79" s="133"/>
      <c r="Z79" s="128"/>
      <c r="AA79" s="133"/>
      <c r="AB79" s="133"/>
      <c r="AC79" s="128"/>
      <c r="AD79" s="133"/>
      <c r="AE79" s="133"/>
      <c r="AF79" s="128"/>
      <c r="AG79" s="133"/>
      <c r="AH79" s="133"/>
      <c r="AI79" s="128"/>
      <c r="AJ79" s="133"/>
      <c r="AK79" s="133"/>
      <c r="AL79" s="128"/>
      <c r="AM79" s="133"/>
      <c r="AN79" s="133"/>
      <c r="AO79" s="133"/>
      <c r="AP79" s="128"/>
      <c r="AQ79" s="128"/>
      <c r="AR79" s="125"/>
      <c r="AS79" s="125"/>
      <c r="AT79" s="125"/>
      <c r="AU79" s="125"/>
      <c r="AV79" s="127"/>
      <c r="AW79" s="125"/>
      <c r="AX79" s="125"/>
      <c r="AY79" s="125"/>
      <c r="AZ79" s="125"/>
      <c r="BA79" s="125"/>
      <c r="BB79" s="125"/>
      <c r="BC79" s="125"/>
      <c r="BD79" s="125"/>
      <c r="BE79" s="125"/>
      <c r="BF79" s="125"/>
      <c r="BG79" s="125"/>
      <c r="BH79" s="125"/>
      <c r="BI79" s="125"/>
      <c r="BJ79" s="125"/>
      <c r="BK79" s="125"/>
      <c r="BL79" s="125"/>
      <c r="BM79" s="125"/>
      <c r="BN79" s="125"/>
      <c r="BO79" s="125"/>
      <c r="BP79" s="125"/>
      <c r="BQ79" s="125"/>
      <c r="BR79" s="125"/>
      <c r="BS79" s="125"/>
      <c r="BT79" s="125"/>
      <c r="BU79" s="125"/>
      <c r="BV79" s="125"/>
      <c r="BW79" s="125"/>
      <c r="BX79" s="125"/>
      <c r="BY79" s="125"/>
      <c r="BZ79" s="125"/>
      <c r="CA79" s="125"/>
      <c r="CB79" s="125"/>
      <c r="CC79" s="125"/>
      <c r="CD79" s="125"/>
      <c r="CE79" s="125"/>
      <c r="CF79" s="125"/>
      <c r="CG79" s="125"/>
      <c r="CH79" s="125"/>
      <c r="CI79" s="125"/>
      <c r="CJ79" s="125"/>
      <c r="CK79" s="125"/>
      <c r="CL79" s="125"/>
      <c r="CM79" s="125"/>
      <c r="CN79" s="125"/>
      <c r="CO79" s="125"/>
      <c r="CP79" s="125"/>
      <c r="CQ79" s="125"/>
      <c r="CR79" s="125"/>
      <c r="CS79" s="125"/>
      <c r="CT79" s="125"/>
      <c r="CU79" s="125"/>
      <c r="CV79" s="125"/>
      <c r="CW79" s="125"/>
      <c r="CX79" s="125"/>
      <c r="CY79" s="125"/>
      <c r="CZ79" s="125"/>
      <c r="DA79" s="125"/>
      <c r="DB79" s="125"/>
      <c r="DC79" s="125"/>
      <c r="DD79" s="125"/>
      <c r="DE79" s="125"/>
      <c r="DF79" s="127"/>
      <c r="DG79" s="127"/>
      <c r="DH79" s="127"/>
      <c r="DI79" s="127"/>
      <c r="DJ79" s="62"/>
      <c r="DK79" s="62"/>
      <c r="DL79" s="62"/>
      <c r="DM79" s="180"/>
    </row>
    <row r="80" spans="1:117" ht="19.5" customHeight="1" thickBot="1">
      <c r="A80" s="128"/>
      <c r="B80" s="133"/>
      <c r="C80" s="301"/>
      <c r="D80" s="302"/>
      <c r="E80" s="309" t="s">
        <v>56</v>
      </c>
      <c r="F80" s="309"/>
      <c r="G80" s="309" t="s">
        <v>57</v>
      </c>
      <c r="H80" s="309"/>
      <c r="I80" s="309"/>
      <c r="J80" s="133"/>
      <c r="K80" s="133"/>
      <c r="L80" s="133"/>
      <c r="M80" s="133"/>
      <c r="N80" s="128"/>
      <c r="O80" s="301"/>
      <c r="P80" s="302"/>
      <c r="Q80" s="309" t="s">
        <v>56</v>
      </c>
      <c r="R80" s="309"/>
      <c r="S80" s="309" t="s">
        <v>57</v>
      </c>
      <c r="T80" s="309"/>
      <c r="U80" s="309"/>
      <c r="V80" s="133"/>
      <c r="W80" s="128"/>
      <c r="X80" s="133"/>
      <c r="Y80" s="133"/>
      <c r="Z80" s="128"/>
      <c r="AA80" s="301"/>
      <c r="AB80" s="302"/>
      <c r="AC80" s="309" t="s">
        <v>56</v>
      </c>
      <c r="AD80" s="309"/>
      <c r="AE80" s="309" t="s">
        <v>57</v>
      </c>
      <c r="AF80" s="309"/>
      <c r="AG80" s="309"/>
      <c r="AH80" s="133"/>
      <c r="AI80" s="128"/>
      <c r="AJ80" s="133"/>
      <c r="AK80" s="133"/>
      <c r="AL80" s="128"/>
      <c r="AM80" s="301"/>
      <c r="AN80" s="302"/>
      <c r="AO80" s="309" t="s">
        <v>56</v>
      </c>
      <c r="AP80" s="309"/>
      <c r="AQ80" s="309" t="s">
        <v>57</v>
      </c>
      <c r="AR80" s="309"/>
      <c r="AS80" s="309"/>
      <c r="AT80" s="125"/>
      <c r="AU80" s="125"/>
      <c r="AV80" s="127"/>
      <c r="AW80" s="125"/>
      <c r="AX80" s="125"/>
      <c r="AY80" s="301"/>
      <c r="AZ80" s="302"/>
      <c r="BA80" s="309" t="s">
        <v>56</v>
      </c>
      <c r="BB80" s="309"/>
      <c r="BC80" s="309" t="s">
        <v>57</v>
      </c>
      <c r="BD80" s="309"/>
      <c r="BE80" s="309"/>
      <c r="BF80" s="125"/>
      <c r="BG80" s="125"/>
      <c r="BH80" s="125"/>
      <c r="BI80" s="125"/>
      <c r="BJ80" s="125"/>
      <c r="BK80" s="301"/>
      <c r="BL80" s="302"/>
      <c r="BM80" s="309" t="s">
        <v>56</v>
      </c>
      <c r="BN80" s="309"/>
      <c r="BO80" s="309" t="s">
        <v>57</v>
      </c>
      <c r="BP80" s="309"/>
      <c r="BQ80" s="309"/>
      <c r="BR80" s="125"/>
      <c r="BS80" s="125"/>
      <c r="BT80" s="125"/>
      <c r="BU80" s="125"/>
      <c r="BV80" s="125"/>
      <c r="BW80" s="301"/>
      <c r="BX80" s="302"/>
      <c r="BY80" s="309" t="s">
        <v>56</v>
      </c>
      <c r="BZ80" s="309"/>
      <c r="CA80" s="309" t="s">
        <v>57</v>
      </c>
      <c r="CB80" s="309"/>
      <c r="CC80" s="309"/>
      <c r="CD80" s="125"/>
      <c r="CE80" s="125"/>
      <c r="CF80" s="125"/>
      <c r="CG80" s="125"/>
      <c r="CH80" s="125"/>
      <c r="CI80" s="301"/>
      <c r="CJ80" s="302"/>
      <c r="CK80" s="309" t="s">
        <v>56</v>
      </c>
      <c r="CL80" s="309"/>
      <c r="CM80" s="309" t="s">
        <v>57</v>
      </c>
      <c r="CN80" s="309"/>
      <c r="CO80" s="309"/>
      <c r="CP80" s="125"/>
      <c r="CQ80" s="125"/>
      <c r="CR80" s="125"/>
      <c r="CS80" s="125"/>
      <c r="CT80" s="125"/>
      <c r="CU80" s="301"/>
      <c r="CV80" s="302"/>
      <c r="CW80" s="309" t="s">
        <v>56</v>
      </c>
      <c r="CX80" s="309"/>
      <c r="CY80" s="309" t="s">
        <v>57</v>
      </c>
      <c r="CZ80" s="309"/>
      <c r="DA80" s="309"/>
      <c r="DB80" s="125"/>
      <c r="DC80" s="125"/>
      <c r="DD80" s="125"/>
      <c r="DE80" s="125"/>
      <c r="DF80" s="310" t="s">
        <v>63</v>
      </c>
      <c r="DG80" s="311"/>
      <c r="DH80" s="69" t="s">
        <v>61</v>
      </c>
      <c r="DI80" s="131" t="s">
        <v>62</v>
      </c>
      <c r="DJ80" s="70"/>
      <c r="DK80" s="71"/>
      <c r="DL80" s="71"/>
      <c r="DM80" s="180"/>
    </row>
    <row r="81" spans="1:117" ht="19.5" customHeight="1" thickBot="1">
      <c r="A81" s="128"/>
      <c r="B81" s="133"/>
      <c r="C81" s="72" t="s">
        <v>55</v>
      </c>
      <c r="D81" s="73"/>
      <c r="E81" s="272">
        <f>COUNTIF(K12:K76,"&gt;=50")</f>
        <v>0</v>
      </c>
      <c r="F81" s="273"/>
      <c r="G81" s="274">
        <f>E81/COUNTA($B$12:$B$76)</f>
        <v>0</v>
      </c>
      <c r="H81" s="275"/>
      <c r="I81" s="276"/>
      <c r="J81" s="133"/>
      <c r="K81" s="133"/>
      <c r="L81" s="133"/>
      <c r="M81" s="133"/>
      <c r="N81" s="128"/>
      <c r="O81" s="72" t="s">
        <v>55</v>
      </c>
      <c r="P81" s="73"/>
      <c r="Q81" s="272">
        <f>COUNTIF(W12:W76,"&gt;=50")</f>
        <v>0</v>
      </c>
      <c r="R81" s="273"/>
      <c r="S81" s="274">
        <f>Q81/COUNTA($B$12:$B$76)</f>
        <v>0</v>
      </c>
      <c r="T81" s="275"/>
      <c r="U81" s="276"/>
      <c r="V81" s="133"/>
      <c r="W81" s="128"/>
      <c r="X81" s="133"/>
      <c r="Y81" s="133"/>
      <c r="Z81" s="128"/>
      <c r="AA81" s="72" t="s">
        <v>55</v>
      </c>
      <c r="AB81" s="73"/>
      <c r="AC81" s="272">
        <f>COUNTIF(AI12:AI76,"&gt;=50")</f>
        <v>0</v>
      </c>
      <c r="AD81" s="273"/>
      <c r="AE81" s="274">
        <f>AC81/COUNTA($B$12:$B$76)</f>
        <v>0</v>
      </c>
      <c r="AF81" s="275"/>
      <c r="AG81" s="276"/>
      <c r="AH81" s="133"/>
      <c r="AI81" s="128"/>
      <c r="AJ81" s="133"/>
      <c r="AK81" s="133"/>
      <c r="AL81" s="128"/>
      <c r="AM81" s="72" t="s">
        <v>55</v>
      </c>
      <c r="AN81" s="73"/>
      <c r="AO81" s="272">
        <f>COUNTIF(AU12:AU76,"&gt;=50")</f>
        <v>0</v>
      </c>
      <c r="AP81" s="273"/>
      <c r="AQ81" s="274">
        <f>AO81/COUNTA($B$12:$B$76)</f>
        <v>0</v>
      </c>
      <c r="AR81" s="275"/>
      <c r="AS81" s="276"/>
      <c r="AT81" s="125"/>
      <c r="AU81" s="125"/>
      <c r="AV81" s="127"/>
      <c r="AW81" s="125"/>
      <c r="AX81" s="125"/>
      <c r="AY81" s="72" t="s">
        <v>55</v>
      </c>
      <c r="AZ81" s="73"/>
      <c r="BA81" s="272">
        <f>COUNTIF(BG12:BG76,"&gt;=50")</f>
        <v>0</v>
      </c>
      <c r="BB81" s="273"/>
      <c r="BC81" s="274">
        <f>BA81/COUNTA($B$12:$B$76)</f>
        <v>0</v>
      </c>
      <c r="BD81" s="275"/>
      <c r="BE81" s="276"/>
      <c r="BF81" s="125"/>
      <c r="BG81" s="125"/>
      <c r="BH81" s="125"/>
      <c r="BI81" s="125"/>
      <c r="BJ81" s="125"/>
      <c r="BK81" s="72" t="s">
        <v>55</v>
      </c>
      <c r="BL81" s="73"/>
      <c r="BM81" s="272">
        <f>COUNTIF(BS12:BS76,"&gt;=50")</f>
        <v>0</v>
      </c>
      <c r="BN81" s="273"/>
      <c r="BO81" s="274">
        <f>BM81/COUNTA($B$12:$B$76)</f>
        <v>0</v>
      </c>
      <c r="BP81" s="275"/>
      <c r="BQ81" s="276"/>
      <c r="BR81" s="125"/>
      <c r="BS81" s="125"/>
      <c r="BT81" s="125"/>
      <c r="BU81" s="125"/>
      <c r="BV81" s="125"/>
      <c r="BW81" s="72" t="s">
        <v>55</v>
      </c>
      <c r="BX81" s="73"/>
      <c r="BY81" s="272">
        <f>COUNTIF(CE12:CE76,"&gt;=50")</f>
        <v>0</v>
      </c>
      <c r="BZ81" s="273"/>
      <c r="CA81" s="274">
        <f>BY81/COUNTA($B$12:$B$76)</f>
        <v>0</v>
      </c>
      <c r="CB81" s="275"/>
      <c r="CC81" s="276"/>
      <c r="CD81" s="125"/>
      <c r="CE81" s="125"/>
      <c r="CF81" s="125"/>
      <c r="CG81" s="125"/>
      <c r="CH81" s="125"/>
      <c r="CI81" s="72" t="s">
        <v>55</v>
      </c>
      <c r="CJ81" s="73"/>
      <c r="CK81" s="272">
        <f>COUNTIF(CQ12:CQ76,"&gt;=50")</f>
        <v>0</v>
      </c>
      <c r="CL81" s="273"/>
      <c r="CM81" s="274">
        <f>CK81/COUNTA($B$12:$B$76)</f>
        <v>0</v>
      </c>
      <c r="CN81" s="275"/>
      <c r="CO81" s="276"/>
      <c r="CP81" s="125"/>
      <c r="CQ81" s="125"/>
      <c r="CR81" s="125"/>
      <c r="CS81" s="125"/>
      <c r="CT81" s="125"/>
      <c r="CU81" s="72" t="s">
        <v>55</v>
      </c>
      <c r="CV81" s="73"/>
      <c r="CW81" s="272">
        <f>COUNTIF(DC12:DC76,"&gt;=50")</f>
        <v>0</v>
      </c>
      <c r="CX81" s="273"/>
      <c r="CY81" s="274">
        <f>CW81/COUNTA($B$12:$B$76)</f>
        <v>0</v>
      </c>
      <c r="CZ81" s="275"/>
      <c r="DA81" s="276"/>
      <c r="DB81" s="125"/>
      <c r="DC81" s="125"/>
      <c r="DD81" s="125"/>
      <c r="DE81" s="125"/>
      <c r="DF81" s="72" t="s">
        <v>55</v>
      </c>
      <c r="DG81" s="73"/>
      <c r="DH81" s="74">
        <f>COUNTIF(DF12:DF76,"&gt;=450")</f>
        <v>0</v>
      </c>
      <c r="DI81" s="132">
        <f>DH81/COUNTA($B$12:$B$76)</f>
        <v>0</v>
      </c>
      <c r="DJ81" s="70"/>
      <c r="DK81" s="71"/>
      <c r="DL81" s="71"/>
      <c r="DM81" s="180"/>
    </row>
    <row r="82" spans="1:117" ht="19.5" customHeight="1" thickBot="1">
      <c r="A82" s="128"/>
      <c r="B82" s="133"/>
      <c r="C82" s="303" t="s">
        <v>58</v>
      </c>
      <c r="D82" s="304"/>
      <c r="E82" s="272">
        <f>COUNTIF(K12:K76,"&lt;50")</f>
        <v>0</v>
      </c>
      <c r="F82" s="273"/>
      <c r="G82" s="274">
        <f>E82/COUNTA($B$12:$B$76)</f>
        <v>0</v>
      </c>
      <c r="H82" s="275"/>
      <c r="I82" s="276"/>
      <c r="J82" s="133"/>
      <c r="K82" s="133"/>
      <c r="L82" s="133"/>
      <c r="M82" s="133"/>
      <c r="N82" s="128"/>
      <c r="O82" s="303" t="s">
        <v>58</v>
      </c>
      <c r="P82" s="304"/>
      <c r="Q82" s="272">
        <f>COUNTIF(W12:W76,"&lt;50")</f>
        <v>0</v>
      </c>
      <c r="R82" s="273"/>
      <c r="S82" s="274">
        <f>Q82/COUNTA($B$12:$B$76)</f>
        <v>0</v>
      </c>
      <c r="T82" s="275"/>
      <c r="U82" s="276"/>
      <c r="V82" s="133"/>
      <c r="W82" s="128"/>
      <c r="X82" s="133"/>
      <c r="Y82" s="133"/>
      <c r="Z82" s="128"/>
      <c r="AA82" s="303" t="s">
        <v>58</v>
      </c>
      <c r="AB82" s="304"/>
      <c r="AC82" s="272">
        <f>COUNTIF(AI12:AI76,"&lt;50")</f>
        <v>0</v>
      </c>
      <c r="AD82" s="273"/>
      <c r="AE82" s="274">
        <f>AC82/COUNTA($B$12:$B$76)</f>
        <v>0</v>
      </c>
      <c r="AF82" s="275"/>
      <c r="AG82" s="276"/>
      <c r="AH82" s="133"/>
      <c r="AI82" s="128"/>
      <c r="AJ82" s="133"/>
      <c r="AK82" s="133"/>
      <c r="AL82" s="128"/>
      <c r="AM82" s="303" t="s">
        <v>58</v>
      </c>
      <c r="AN82" s="304"/>
      <c r="AO82" s="272">
        <f>COUNTIF(AU12:AU76,"&lt;50")</f>
        <v>0</v>
      </c>
      <c r="AP82" s="273"/>
      <c r="AQ82" s="274">
        <f>AO82/COUNTA($B$12:$B$76)</f>
        <v>0</v>
      </c>
      <c r="AR82" s="275"/>
      <c r="AS82" s="276"/>
      <c r="AT82" s="125"/>
      <c r="AU82" s="125"/>
      <c r="AV82" s="127"/>
      <c r="AW82" s="125"/>
      <c r="AX82" s="125"/>
      <c r="AY82" s="303" t="s">
        <v>58</v>
      </c>
      <c r="AZ82" s="304"/>
      <c r="BA82" s="272">
        <f>COUNTIF(BG12:BG76,"&lt;50")</f>
        <v>0</v>
      </c>
      <c r="BB82" s="273"/>
      <c r="BC82" s="274">
        <f>BA82/COUNTA($B$12:$B$76)</f>
        <v>0</v>
      </c>
      <c r="BD82" s="275"/>
      <c r="BE82" s="276"/>
      <c r="BF82" s="125"/>
      <c r="BG82" s="125"/>
      <c r="BH82" s="125"/>
      <c r="BI82" s="125"/>
      <c r="BJ82" s="125"/>
      <c r="BK82" s="303" t="s">
        <v>58</v>
      </c>
      <c r="BL82" s="304"/>
      <c r="BM82" s="272">
        <f>COUNTIF(BS12:BS76,"&lt;50")</f>
        <v>0</v>
      </c>
      <c r="BN82" s="273"/>
      <c r="BO82" s="274">
        <f>BM82/COUNTA($B$12:$B$76)</f>
        <v>0</v>
      </c>
      <c r="BP82" s="275"/>
      <c r="BQ82" s="276"/>
      <c r="BR82" s="125"/>
      <c r="BS82" s="125"/>
      <c r="BT82" s="125"/>
      <c r="BU82" s="125"/>
      <c r="BV82" s="125"/>
      <c r="BW82" s="303" t="s">
        <v>58</v>
      </c>
      <c r="BX82" s="304"/>
      <c r="BY82" s="272">
        <f>COUNTIF(CE12:CE76,"&lt;50")</f>
        <v>0</v>
      </c>
      <c r="BZ82" s="273"/>
      <c r="CA82" s="274">
        <f>BY82/COUNTA($B$12:$B$76)</f>
        <v>0</v>
      </c>
      <c r="CB82" s="275"/>
      <c r="CC82" s="276"/>
      <c r="CD82" s="125"/>
      <c r="CE82" s="125"/>
      <c r="CF82" s="125"/>
      <c r="CG82" s="125"/>
      <c r="CH82" s="125"/>
      <c r="CI82" s="303" t="s">
        <v>58</v>
      </c>
      <c r="CJ82" s="304"/>
      <c r="CK82" s="272">
        <f>COUNTIF(CQ12:CQ76,"&lt;50")</f>
        <v>0</v>
      </c>
      <c r="CL82" s="273"/>
      <c r="CM82" s="274">
        <f>CK82/COUNTA($B$12:$B$76)</f>
        <v>0</v>
      </c>
      <c r="CN82" s="275"/>
      <c r="CO82" s="276"/>
      <c r="CP82" s="125"/>
      <c r="CQ82" s="125"/>
      <c r="CR82" s="125"/>
      <c r="CS82" s="125"/>
      <c r="CT82" s="125"/>
      <c r="CU82" s="303" t="s">
        <v>58</v>
      </c>
      <c r="CV82" s="304"/>
      <c r="CW82" s="272">
        <f>COUNTIF(DC12:DC76,"&lt;50")</f>
        <v>0</v>
      </c>
      <c r="CX82" s="273"/>
      <c r="CY82" s="274">
        <f>CW82/COUNTA($B$12:$B$76)</f>
        <v>0</v>
      </c>
      <c r="CZ82" s="275"/>
      <c r="DA82" s="276"/>
      <c r="DB82" s="125"/>
      <c r="DC82" s="125"/>
      <c r="DD82" s="125"/>
      <c r="DE82" s="125"/>
      <c r="DF82" s="303" t="s">
        <v>58</v>
      </c>
      <c r="DG82" s="304"/>
      <c r="DH82" s="74">
        <f>COUNTIF(DF12:DF76,"&lt;450")</f>
        <v>0</v>
      </c>
      <c r="DI82" s="132">
        <f>DH82/COUNTA($B$12:$B$76)</f>
        <v>0</v>
      </c>
      <c r="DJ82" s="70"/>
      <c r="DK82" s="71"/>
      <c r="DL82" s="71"/>
      <c r="DM82" s="180"/>
    </row>
    <row r="83" spans="1:117" ht="19.5" customHeight="1">
      <c r="A83" s="178"/>
      <c r="B83" s="179"/>
      <c r="C83" s="179"/>
      <c r="D83" s="179"/>
      <c r="E83" s="179"/>
      <c r="F83" s="179"/>
      <c r="G83" s="179"/>
      <c r="H83" s="179"/>
      <c r="I83" s="179"/>
      <c r="J83" s="179"/>
      <c r="K83" s="179"/>
      <c r="L83" s="179"/>
      <c r="M83" s="179"/>
      <c r="N83" s="178"/>
      <c r="O83" s="178"/>
      <c r="P83" s="178"/>
      <c r="Q83" s="178"/>
      <c r="R83" s="179"/>
      <c r="S83" s="179"/>
      <c r="T83" s="178"/>
      <c r="U83" s="179"/>
      <c r="V83" s="179"/>
      <c r="W83" s="178"/>
      <c r="X83" s="179"/>
      <c r="Y83" s="179"/>
      <c r="Z83" s="178"/>
      <c r="AA83" s="179"/>
      <c r="AB83" s="179"/>
      <c r="AC83" s="178"/>
      <c r="AD83" s="179"/>
      <c r="AE83" s="179"/>
      <c r="AF83" s="178"/>
      <c r="AG83" s="179"/>
      <c r="AH83" s="179"/>
      <c r="AI83" s="178"/>
      <c r="AJ83" s="179"/>
      <c r="AK83" s="179"/>
      <c r="AL83" s="178"/>
      <c r="AM83" s="179"/>
      <c r="AN83" s="179"/>
      <c r="AO83" s="179"/>
      <c r="AP83" s="178"/>
      <c r="AQ83" s="178"/>
      <c r="AR83" s="180"/>
      <c r="AS83" s="180"/>
      <c r="AT83" s="180"/>
      <c r="AU83" s="180"/>
      <c r="AV83" s="181"/>
      <c r="AW83" s="180"/>
      <c r="AX83" s="180"/>
      <c r="AY83" s="180"/>
      <c r="AZ83" s="180"/>
      <c r="BA83" s="180"/>
      <c r="BB83" s="180"/>
      <c r="BC83" s="180"/>
      <c r="BD83" s="180"/>
      <c r="BE83" s="180"/>
      <c r="BF83" s="180"/>
      <c r="BG83" s="180"/>
      <c r="BH83" s="180"/>
      <c r="BI83" s="180"/>
      <c r="BJ83" s="180"/>
      <c r="BK83" s="180"/>
      <c r="BL83" s="180"/>
      <c r="BM83" s="180"/>
      <c r="BN83" s="180"/>
      <c r="BO83" s="180"/>
      <c r="BP83" s="180"/>
      <c r="BQ83" s="180"/>
      <c r="BR83" s="180"/>
      <c r="BS83" s="180"/>
      <c r="BT83" s="180"/>
      <c r="BU83" s="180"/>
      <c r="BV83" s="180"/>
      <c r="BW83" s="180"/>
      <c r="BX83" s="180"/>
      <c r="BY83" s="180"/>
      <c r="BZ83" s="180"/>
      <c r="CA83" s="180"/>
      <c r="CB83" s="180"/>
      <c r="CC83" s="180"/>
      <c r="CD83" s="180"/>
      <c r="CE83" s="180"/>
      <c r="CF83" s="180"/>
      <c r="CG83" s="180"/>
      <c r="CH83" s="180"/>
      <c r="CI83" s="180"/>
      <c r="CJ83" s="180"/>
      <c r="CK83" s="180"/>
      <c r="CL83" s="180"/>
      <c r="CM83" s="180"/>
      <c r="CN83" s="180"/>
      <c r="CO83" s="180"/>
      <c r="CP83" s="180"/>
      <c r="CQ83" s="180"/>
      <c r="CR83" s="180"/>
      <c r="CS83" s="180"/>
      <c r="CT83" s="180"/>
      <c r="CU83" s="180"/>
      <c r="CV83" s="180"/>
      <c r="CW83" s="180"/>
      <c r="CX83" s="180"/>
      <c r="CY83" s="180"/>
      <c r="CZ83" s="180"/>
      <c r="DA83" s="180"/>
      <c r="DB83" s="180"/>
      <c r="DC83" s="180"/>
      <c r="DD83" s="180"/>
      <c r="DE83" s="180"/>
      <c r="DF83" s="181"/>
      <c r="DG83" s="181"/>
      <c r="DH83" s="181"/>
      <c r="DI83" s="181"/>
      <c r="DJ83" s="62"/>
      <c r="DK83" s="62"/>
      <c r="DL83" s="62"/>
      <c r="DM83" s="180"/>
    </row>
  </sheetData>
  <sheetProtection sheet="1" objects="1" scenarios="1"/>
  <mergeCells count="296">
    <mergeCell ref="BW2:CG2"/>
    <mergeCell ref="CI2:CS2"/>
    <mergeCell ref="CU2:DE2"/>
    <mergeCell ref="C3:E3"/>
    <mergeCell ref="F3:J3"/>
    <mergeCell ref="L3:M3"/>
    <mergeCell ref="O3:Q3"/>
    <mergeCell ref="R3:V3"/>
    <mergeCell ref="X3:Y3"/>
    <mergeCell ref="AA3:AC3"/>
    <mergeCell ref="C2:M2"/>
    <mergeCell ref="O2:Y2"/>
    <mergeCell ref="AA2:AK2"/>
    <mergeCell ref="AM2:AW2"/>
    <mergeCell ref="AY2:BI2"/>
    <mergeCell ref="BK2:BU2"/>
    <mergeCell ref="CX3:DB3"/>
    <mergeCell ref="DD3:DE3"/>
    <mergeCell ref="CF3:CG3"/>
    <mergeCell ref="CI3:CK3"/>
    <mergeCell ref="CL3:CP3"/>
    <mergeCell ref="CR3:CS3"/>
    <mergeCell ref="CU3:CW3"/>
    <mergeCell ref="BB3:BF3"/>
    <mergeCell ref="C4:E4"/>
    <mergeCell ref="F4:J4"/>
    <mergeCell ref="L4:M4"/>
    <mergeCell ref="O4:Q4"/>
    <mergeCell ref="R4:V4"/>
    <mergeCell ref="X4:Y4"/>
    <mergeCell ref="AA4:AC4"/>
    <mergeCell ref="AD4:AH4"/>
    <mergeCell ref="BZ3:CD3"/>
    <mergeCell ref="AD3:AH3"/>
    <mergeCell ref="AJ3:AK3"/>
    <mergeCell ref="BN4:BR4"/>
    <mergeCell ref="BT4:BU4"/>
    <mergeCell ref="BW4:BY4"/>
    <mergeCell ref="BZ4:CD4"/>
    <mergeCell ref="AJ4:AK4"/>
    <mergeCell ref="AM4:AO4"/>
    <mergeCell ref="AP4:AT4"/>
    <mergeCell ref="AV4:AW4"/>
    <mergeCell ref="AY4:BA4"/>
    <mergeCell ref="BB4:BF4"/>
    <mergeCell ref="AM3:AO3"/>
    <mergeCell ref="AP3:AT3"/>
    <mergeCell ref="AV3:AW3"/>
    <mergeCell ref="BH3:BI3"/>
    <mergeCell ref="BK3:BM3"/>
    <mergeCell ref="BN3:BR3"/>
    <mergeCell ref="BT3:BU3"/>
    <mergeCell ref="BW3:BY3"/>
    <mergeCell ref="AM5:AO5"/>
    <mergeCell ref="AP5:AT5"/>
    <mergeCell ref="AV5:AW5"/>
    <mergeCell ref="AY5:BA5"/>
    <mergeCell ref="BB5:BF5"/>
    <mergeCell ref="BH5:BI5"/>
    <mergeCell ref="BK5:BM5"/>
    <mergeCell ref="BN5:BR5"/>
    <mergeCell ref="BT5:BU5"/>
    <mergeCell ref="BW5:BY5"/>
    <mergeCell ref="AY3:BA3"/>
    <mergeCell ref="DD4:DE4"/>
    <mergeCell ref="C5:E5"/>
    <mergeCell ref="F5:J5"/>
    <mergeCell ref="L5:M5"/>
    <mergeCell ref="O5:Q5"/>
    <mergeCell ref="R5:V5"/>
    <mergeCell ref="X5:Y5"/>
    <mergeCell ref="AA5:AC5"/>
    <mergeCell ref="AD5:AH5"/>
    <mergeCell ref="AJ5:AK5"/>
    <mergeCell ref="CF4:CG4"/>
    <mergeCell ref="CI4:CK4"/>
    <mergeCell ref="CL4:CP4"/>
    <mergeCell ref="CR4:CS4"/>
    <mergeCell ref="CU4:CW4"/>
    <mergeCell ref="CX4:DB4"/>
    <mergeCell ref="BH4:BI4"/>
    <mergeCell ref="BK4:BM4"/>
    <mergeCell ref="CI5:CK5"/>
    <mergeCell ref="CL5:CP5"/>
    <mergeCell ref="CR5:CS5"/>
    <mergeCell ref="CU5:CW5"/>
    <mergeCell ref="CX5:DB5"/>
    <mergeCell ref="DD5:DE5"/>
    <mergeCell ref="BZ5:CD5"/>
    <mergeCell ref="CF5:CG5"/>
    <mergeCell ref="AJ6:AK6"/>
    <mergeCell ref="AM6:AO6"/>
    <mergeCell ref="AP6:AT6"/>
    <mergeCell ref="AV6:AW6"/>
    <mergeCell ref="C6:E6"/>
    <mergeCell ref="F6:J6"/>
    <mergeCell ref="L6:M6"/>
    <mergeCell ref="O6:Q6"/>
    <mergeCell ref="R6:V6"/>
    <mergeCell ref="X6:Y6"/>
    <mergeCell ref="CU6:CW6"/>
    <mergeCell ref="CX6:DB6"/>
    <mergeCell ref="DD6:DE6"/>
    <mergeCell ref="A8:A11"/>
    <mergeCell ref="B8:B11"/>
    <mergeCell ref="C8:C11"/>
    <mergeCell ref="D8:D11"/>
    <mergeCell ref="E8:E11"/>
    <mergeCell ref="F8:F11"/>
    <mergeCell ref="G8:G11"/>
    <mergeCell ref="BW6:BY6"/>
    <mergeCell ref="BZ6:CD6"/>
    <mergeCell ref="CF6:CG6"/>
    <mergeCell ref="CI6:CK6"/>
    <mergeCell ref="CL6:CP6"/>
    <mergeCell ref="CR6:CS6"/>
    <mergeCell ref="AY6:BA6"/>
    <mergeCell ref="BB6:BF6"/>
    <mergeCell ref="BH6:BI6"/>
    <mergeCell ref="BK6:BM6"/>
    <mergeCell ref="BN6:BR6"/>
    <mergeCell ref="BT6:BU6"/>
    <mergeCell ref="AA6:AC6"/>
    <mergeCell ref="AD6:AH6"/>
    <mergeCell ref="O8:O11"/>
    <mergeCell ref="P8:P11"/>
    <mergeCell ref="Q8:Q11"/>
    <mergeCell ref="R8:R11"/>
    <mergeCell ref="S8:S11"/>
    <mergeCell ref="T8:T11"/>
    <mergeCell ref="H8:H11"/>
    <mergeCell ref="I8:I11"/>
    <mergeCell ref="J8:J11"/>
    <mergeCell ref="K8:K11"/>
    <mergeCell ref="L8:L11"/>
    <mergeCell ref="M8:M11"/>
    <mergeCell ref="AB8:AB11"/>
    <mergeCell ref="AC8:AC11"/>
    <mergeCell ref="AD8:AD11"/>
    <mergeCell ref="AE8:AE11"/>
    <mergeCell ref="AF8:AF11"/>
    <mergeCell ref="AG8:AG11"/>
    <mergeCell ref="U8:U11"/>
    <mergeCell ref="V8:V11"/>
    <mergeCell ref="W8:W11"/>
    <mergeCell ref="X8:X11"/>
    <mergeCell ref="Y8:Y11"/>
    <mergeCell ref="AA8:AA11"/>
    <mergeCell ref="AO8:AO11"/>
    <mergeCell ref="AP8:AP11"/>
    <mergeCell ref="AQ8:AQ11"/>
    <mergeCell ref="AR8:AR11"/>
    <mergeCell ref="AS8:AS11"/>
    <mergeCell ref="AT8:AT11"/>
    <mergeCell ref="AH8:AH11"/>
    <mergeCell ref="AI8:AI11"/>
    <mergeCell ref="AJ8:AJ11"/>
    <mergeCell ref="AK8:AK11"/>
    <mergeCell ref="AM8:AM11"/>
    <mergeCell ref="AN8:AN11"/>
    <mergeCell ref="BB8:BB11"/>
    <mergeCell ref="BC8:BC11"/>
    <mergeCell ref="BD8:BD11"/>
    <mergeCell ref="BE8:BE11"/>
    <mergeCell ref="BF8:BF11"/>
    <mergeCell ref="BG8:BG11"/>
    <mergeCell ref="AU8:AU11"/>
    <mergeCell ref="AV8:AV11"/>
    <mergeCell ref="AW8:AW11"/>
    <mergeCell ref="AY8:AY11"/>
    <mergeCell ref="AZ8:AZ11"/>
    <mergeCell ref="BA8:BA11"/>
    <mergeCell ref="BO8:BO11"/>
    <mergeCell ref="BP8:BP11"/>
    <mergeCell ref="BQ8:BQ11"/>
    <mergeCell ref="BR8:BR11"/>
    <mergeCell ref="BS8:BS11"/>
    <mergeCell ref="BT8:BT11"/>
    <mergeCell ref="BH8:BH11"/>
    <mergeCell ref="BI8:BI11"/>
    <mergeCell ref="BK8:BK11"/>
    <mergeCell ref="BL8:BL11"/>
    <mergeCell ref="BM8:BM11"/>
    <mergeCell ref="BN8:BN11"/>
    <mergeCell ref="CB8:CB11"/>
    <mergeCell ref="CC8:CC11"/>
    <mergeCell ref="CD8:CD11"/>
    <mergeCell ref="CE8:CE11"/>
    <mergeCell ref="CF8:CF11"/>
    <mergeCell ref="CG8:CG11"/>
    <mergeCell ref="BU8:BU11"/>
    <mergeCell ref="BW8:BW11"/>
    <mergeCell ref="BX8:BX11"/>
    <mergeCell ref="BY8:BY11"/>
    <mergeCell ref="BZ8:BZ11"/>
    <mergeCell ref="CA8:CA11"/>
    <mergeCell ref="CZ8:CZ11"/>
    <mergeCell ref="DA8:DA11"/>
    <mergeCell ref="CO8:CO11"/>
    <mergeCell ref="CP8:CP11"/>
    <mergeCell ref="CQ8:CQ11"/>
    <mergeCell ref="CR8:CR11"/>
    <mergeCell ref="CS8:CS11"/>
    <mergeCell ref="CU8:CU11"/>
    <mergeCell ref="CI8:CI11"/>
    <mergeCell ref="CJ8:CJ11"/>
    <mergeCell ref="CK8:CK11"/>
    <mergeCell ref="CL8:CL11"/>
    <mergeCell ref="CM8:CM11"/>
    <mergeCell ref="CN8:CN11"/>
    <mergeCell ref="AO80:AP80"/>
    <mergeCell ref="AQ80:AS80"/>
    <mergeCell ref="AY80:AZ80"/>
    <mergeCell ref="BA80:BB80"/>
    <mergeCell ref="DH10:DH11"/>
    <mergeCell ref="DI10:DI11"/>
    <mergeCell ref="C80:D80"/>
    <mergeCell ref="E80:F80"/>
    <mergeCell ref="G80:I80"/>
    <mergeCell ref="O80:P80"/>
    <mergeCell ref="Q80:R80"/>
    <mergeCell ref="S80:U80"/>
    <mergeCell ref="AA80:AB80"/>
    <mergeCell ref="AC80:AD80"/>
    <mergeCell ref="DB8:DB11"/>
    <mergeCell ref="DC8:DC11"/>
    <mergeCell ref="DD8:DD11"/>
    <mergeCell ref="DE8:DE11"/>
    <mergeCell ref="DF10:DF11"/>
    <mergeCell ref="DG10:DG11"/>
    <mergeCell ref="CV8:CV11"/>
    <mergeCell ref="CW8:CW11"/>
    <mergeCell ref="CX8:CX11"/>
    <mergeCell ref="CY8:CY11"/>
    <mergeCell ref="CY80:DA80"/>
    <mergeCell ref="DF80:DG80"/>
    <mergeCell ref="E81:F81"/>
    <mergeCell ref="G81:I81"/>
    <mergeCell ref="Q81:R81"/>
    <mergeCell ref="S81:U81"/>
    <mergeCell ref="AC81:AD81"/>
    <mergeCell ref="AE81:AG81"/>
    <mergeCell ref="AO81:AP81"/>
    <mergeCell ref="AQ81:AS81"/>
    <mergeCell ref="CA80:CC80"/>
    <mergeCell ref="CI80:CJ80"/>
    <mergeCell ref="CK80:CL80"/>
    <mergeCell ref="CM80:CO80"/>
    <mergeCell ref="CU80:CV80"/>
    <mergeCell ref="CW80:CX80"/>
    <mergeCell ref="BC80:BE80"/>
    <mergeCell ref="BK80:BL80"/>
    <mergeCell ref="BM80:BN80"/>
    <mergeCell ref="BO80:BQ80"/>
    <mergeCell ref="BW80:BX80"/>
    <mergeCell ref="BY80:BZ80"/>
    <mergeCell ref="AE80:AG80"/>
    <mergeCell ref="AM80:AN80"/>
    <mergeCell ref="CK81:CL81"/>
    <mergeCell ref="CM81:CO81"/>
    <mergeCell ref="CW81:CX81"/>
    <mergeCell ref="CY81:DA81"/>
    <mergeCell ref="C82:D82"/>
    <mergeCell ref="E82:F82"/>
    <mergeCell ref="G82:I82"/>
    <mergeCell ref="O82:P82"/>
    <mergeCell ref="Q82:R82"/>
    <mergeCell ref="S82:U82"/>
    <mergeCell ref="BA81:BB81"/>
    <mergeCell ref="BC81:BE81"/>
    <mergeCell ref="BM81:BN81"/>
    <mergeCell ref="BO81:BQ81"/>
    <mergeCell ref="BY81:BZ81"/>
    <mergeCell ref="CA81:CC81"/>
    <mergeCell ref="AY82:AZ82"/>
    <mergeCell ref="BA82:BB82"/>
    <mergeCell ref="BC82:BE82"/>
    <mergeCell ref="BK82:BL82"/>
    <mergeCell ref="BM82:BN82"/>
    <mergeCell ref="BO82:BQ82"/>
    <mergeCell ref="AA82:AB82"/>
    <mergeCell ref="AC82:AD82"/>
    <mergeCell ref="AE82:AG82"/>
    <mergeCell ref="AM82:AN82"/>
    <mergeCell ref="AO82:AP82"/>
    <mergeCell ref="AQ82:AS82"/>
    <mergeCell ref="CU82:CV82"/>
    <mergeCell ref="CW82:CX82"/>
    <mergeCell ref="CY82:DA82"/>
    <mergeCell ref="DF82:DG82"/>
    <mergeCell ref="BW82:BX82"/>
    <mergeCell ref="BY82:BZ82"/>
    <mergeCell ref="CA82:CC82"/>
    <mergeCell ref="CI82:CJ82"/>
    <mergeCell ref="CK82:CL82"/>
    <mergeCell ref="CM82:CO82"/>
  </mergeCells>
  <conditionalFormatting sqref="C77:M78">
    <cfRule type="colorScale" priority="2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7">
      <colorScale>
        <cfvo type="min"/>
        <cfvo type="max"/>
        <color rgb="FFFF7128"/>
        <color rgb="FFFFEF9C"/>
      </colorScale>
    </cfRule>
  </conditionalFormatting>
  <conditionalFormatting sqref="C77:K78">
    <cfRule type="colorScale" priority="216">
      <colorScale>
        <cfvo type="min"/>
        <cfvo type="max"/>
        <color theme="6" tint="-0.249977111117893"/>
        <color rgb="FFFFEF9C"/>
      </colorScale>
    </cfRule>
  </conditionalFormatting>
  <conditionalFormatting sqref="O77:Y78">
    <cfRule type="colorScale" priority="2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4">
      <colorScale>
        <cfvo type="min"/>
        <cfvo type="max"/>
        <color rgb="FFFF7128"/>
        <color rgb="FFFFEF9C"/>
      </colorScale>
    </cfRule>
  </conditionalFormatting>
  <conditionalFormatting sqref="O77:W78">
    <cfRule type="colorScale" priority="213">
      <colorScale>
        <cfvo type="min"/>
        <cfvo type="max"/>
        <color theme="6" tint="-0.249977111117893"/>
        <color rgb="FFFFEF9C"/>
      </colorScale>
    </cfRule>
  </conditionalFormatting>
  <conditionalFormatting sqref="AA77:AK78">
    <cfRule type="colorScale" priority="20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1">
      <colorScale>
        <cfvo type="min"/>
        <cfvo type="max"/>
        <color rgb="FFFF7128"/>
        <color rgb="FFFFEF9C"/>
      </colorScale>
    </cfRule>
  </conditionalFormatting>
  <conditionalFormatting sqref="AA77:AI78">
    <cfRule type="colorScale" priority="210">
      <colorScale>
        <cfvo type="min"/>
        <cfvo type="max"/>
        <color theme="6" tint="-0.249977111117893"/>
        <color rgb="FFFFEF9C"/>
      </colorScale>
    </cfRule>
  </conditionalFormatting>
  <conditionalFormatting sqref="AM77:AW78">
    <cfRule type="colorScale" priority="20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8">
      <colorScale>
        <cfvo type="min"/>
        <cfvo type="max"/>
        <color rgb="FFFF7128"/>
        <color rgb="FFFFEF9C"/>
      </colorScale>
    </cfRule>
  </conditionalFormatting>
  <conditionalFormatting sqref="AM77:AU78">
    <cfRule type="colorScale" priority="207">
      <colorScale>
        <cfvo type="min"/>
        <cfvo type="max"/>
        <color theme="6" tint="-0.249977111117893"/>
        <color rgb="FFFFEF9C"/>
      </colorScale>
    </cfRule>
  </conditionalFormatting>
  <conditionalFormatting sqref="AY77:BI78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5">
      <colorScale>
        <cfvo type="min"/>
        <cfvo type="max"/>
        <color rgb="FFFF7128"/>
        <color rgb="FFFFEF9C"/>
      </colorScale>
    </cfRule>
  </conditionalFormatting>
  <conditionalFormatting sqref="AY77:BG78">
    <cfRule type="colorScale" priority="204">
      <colorScale>
        <cfvo type="min"/>
        <cfvo type="max"/>
        <color theme="6" tint="-0.249977111117893"/>
        <color rgb="FFFFEF9C"/>
      </colorScale>
    </cfRule>
  </conditionalFormatting>
  <conditionalFormatting sqref="BK77:BU78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2">
      <colorScale>
        <cfvo type="min"/>
        <cfvo type="max"/>
        <color rgb="FFFF7128"/>
        <color rgb="FFFFEF9C"/>
      </colorScale>
    </cfRule>
  </conditionalFormatting>
  <conditionalFormatting sqref="BK77:BS78">
    <cfRule type="colorScale" priority="201">
      <colorScale>
        <cfvo type="min"/>
        <cfvo type="max"/>
        <color theme="6" tint="-0.249977111117893"/>
        <color rgb="FFFFEF9C"/>
      </colorScale>
    </cfRule>
  </conditionalFormatting>
  <conditionalFormatting sqref="BW77:CG78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9">
      <colorScale>
        <cfvo type="min"/>
        <cfvo type="max"/>
        <color rgb="FFFF7128"/>
        <color rgb="FFFFEF9C"/>
      </colorScale>
    </cfRule>
  </conditionalFormatting>
  <conditionalFormatting sqref="BW77:CE78">
    <cfRule type="colorScale" priority="198">
      <colorScale>
        <cfvo type="min"/>
        <cfvo type="max"/>
        <color theme="6" tint="-0.249977111117893"/>
        <color rgb="FFFFEF9C"/>
      </colorScale>
    </cfRule>
  </conditionalFormatting>
  <conditionalFormatting sqref="CI77:CS78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6">
      <colorScale>
        <cfvo type="min"/>
        <cfvo type="max"/>
        <color rgb="FFFF7128"/>
        <color rgb="FFFFEF9C"/>
      </colorScale>
    </cfRule>
  </conditionalFormatting>
  <conditionalFormatting sqref="CI77:CQ78">
    <cfRule type="colorScale" priority="195">
      <colorScale>
        <cfvo type="min"/>
        <cfvo type="max"/>
        <color theme="6" tint="-0.249977111117893"/>
        <color rgb="FFFFEF9C"/>
      </colorScale>
    </cfRule>
  </conditionalFormatting>
  <conditionalFormatting sqref="CU77:DE78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3">
      <colorScale>
        <cfvo type="min"/>
        <cfvo type="max"/>
        <color rgb="FFFF7128"/>
        <color rgb="FFFFEF9C"/>
      </colorScale>
    </cfRule>
  </conditionalFormatting>
  <conditionalFormatting sqref="CU77:DC78">
    <cfRule type="colorScale" priority="192">
      <colorScale>
        <cfvo type="min"/>
        <cfvo type="max"/>
        <color theme="6" tint="-0.249977111117893"/>
        <color rgb="FFFFEF9C"/>
      </colorScale>
    </cfRule>
  </conditionalFormatting>
  <conditionalFormatting sqref="DF77:DG78">
    <cfRule type="colorScale" priority="189">
      <colorScale>
        <cfvo type="num" val="0"/>
        <cfvo type="max"/>
        <color rgb="FF00B050"/>
        <color rgb="FFFFEF9C"/>
      </colorScale>
    </cfRule>
    <cfRule type="dataBar" priority="1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{D6D8E1BF-6CF4-49D4-B333-50FE168A9D5B}</x14:id>
        </ext>
      </extLst>
    </cfRule>
  </conditionalFormatting>
  <conditionalFormatting sqref="W13:Y76 S13:S76">
    <cfRule type="expression" dxfId="128" priority="177">
      <formula>MOD(ROW(),5)=0</formula>
    </cfRule>
    <cfRule type="expression" dxfId="127" priority="188">
      <formula>MOD(ROW(),2)=0</formula>
    </cfRule>
  </conditionalFormatting>
  <conditionalFormatting sqref="AI13:AK76 AE13:AE76">
    <cfRule type="expression" dxfId="126" priority="176">
      <formula>MOD(ROW(),5)=0</formula>
    </cfRule>
    <cfRule type="expression" dxfId="125" priority="187">
      <formula>MOD(ROW(),2)=0</formula>
    </cfRule>
  </conditionalFormatting>
  <conditionalFormatting sqref="AU13:AW76 AQ13:AQ76">
    <cfRule type="expression" dxfId="124" priority="175">
      <formula>MOD(ROW(),5)=0</formula>
    </cfRule>
    <cfRule type="expression" dxfId="123" priority="186">
      <formula>MOD(ROW(),2)=0</formula>
    </cfRule>
  </conditionalFormatting>
  <conditionalFormatting sqref="BC13:BC76 BG13:BI76">
    <cfRule type="expression" dxfId="122" priority="174">
      <formula>MOD(ROW(),5)=0</formula>
    </cfRule>
    <cfRule type="expression" dxfId="121" priority="185">
      <formula>MOD(ROW(),2)=0</formula>
    </cfRule>
  </conditionalFormatting>
  <conditionalFormatting sqref="BO13:BO76 BS13:BU76">
    <cfRule type="expression" dxfId="120" priority="173">
      <formula>MOD(ROW(),5)=0</formula>
    </cfRule>
    <cfRule type="expression" dxfId="119" priority="184">
      <formula>MOD(ROW(),2)=0</formula>
    </cfRule>
  </conditionalFormatting>
  <conditionalFormatting sqref="CE13:CG76 CA13:CA76">
    <cfRule type="expression" dxfId="118" priority="172">
      <formula>MOD(ROW(),5)=0</formula>
    </cfRule>
    <cfRule type="expression" dxfId="117" priority="183">
      <formula>MOD(ROW(),2)=0</formula>
    </cfRule>
  </conditionalFormatting>
  <conditionalFormatting sqref="CM13:CM76 CQ13:CS76">
    <cfRule type="expression" dxfId="116" priority="171">
      <formula>MOD(ROW(),5)=0</formula>
    </cfRule>
    <cfRule type="expression" dxfId="115" priority="182">
      <formula>MOD(ROW(),2)=0</formula>
    </cfRule>
  </conditionalFormatting>
  <conditionalFormatting sqref="DC13:DE76 CY13:CY76">
    <cfRule type="expression" dxfId="114" priority="170">
      <formula>MOD(ROW(),5)=0</formula>
    </cfRule>
    <cfRule type="expression" dxfId="113" priority="181">
      <formula>MOD(ROW(),2)=0</formula>
    </cfRule>
  </conditionalFormatting>
  <conditionalFormatting sqref="G12:H76 J12:M76">
    <cfRule type="expression" dxfId="112" priority="180">
      <formula>MOD(ROW(),2)=0</formula>
    </cfRule>
  </conditionalFormatting>
  <conditionalFormatting sqref="DF12:DI76">
    <cfRule type="expression" dxfId="111" priority="169">
      <formula>MOD(ROW(),5)=0</formula>
    </cfRule>
    <cfRule type="expression" dxfId="110" priority="179">
      <formula>MOD(ROW(),2)=0</formula>
    </cfRule>
  </conditionalFormatting>
  <conditionalFormatting sqref="J12:M76 A12:B76 G12:H76">
    <cfRule type="expression" dxfId="109" priority="178">
      <formula>MOD(ROW(),5)=0</formula>
    </cfRule>
  </conditionalFormatting>
  <conditionalFormatting sqref="DG12:DH76">
    <cfRule type="expression" dxfId="108" priority="153">
      <formula>MOD(ROW(),5)=0</formula>
    </cfRule>
    <cfRule type="expression" dxfId="107" priority="154">
      <formula>MOD(ROW(),2)=0</formula>
    </cfRule>
  </conditionalFormatting>
  <conditionalFormatting sqref="DG12:DH76">
    <cfRule type="expression" dxfId="106" priority="151">
      <formula>MOD(ROW(),5)=0</formula>
    </cfRule>
    <cfRule type="expression" dxfId="105" priority="152">
      <formula>MOD(ROW(),2)=0</formula>
    </cfRule>
  </conditionalFormatting>
  <conditionalFormatting sqref="DG12:DH76">
    <cfRule type="expression" dxfId="104" priority="149">
      <formula>MOD(ROW(),5)=0</formula>
    </cfRule>
    <cfRule type="expression" dxfId="103" priority="150">
      <formula>MOD(ROW(),2)=0</formula>
    </cfRule>
  </conditionalFormatting>
  <conditionalFormatting sqref="DG12:DH76">
    <cfRule type="expression" dxfId="102" priority="147">
      <formula>MOD(ROW(),5)=0</formula>
    </cfRule>
    <cfRule type="expression" dxfId="101" priority="148">
      <formula>MOD(ROW(),2)=0</formula>
    </cfRule>
  </conditionalFormatting>
  <conditionalFormatting sqref="DG12:DH76">
    <cfRule type="expression" dxfId="100" priority="145">
      <formula>MOD(ROW(),5)=0</formula>
    </cfRule>
    <cfRule type="expression" dxfId="99" priority="146">
      <formula>MOD(ROW(),2)=0</formula>
    </cfRule>
  </conditionalFormatting>
  <conditionalFormatting sqref="T13:T76">
    <cfRule type="expression" dxfId="98" priority="144">
      <formula>MOD(ROW(),2)=0</formula>
    </cfRule>
  </conditionalFormatting>
  <conditionalFormatting sqref="T13:T76">
    <cfRule type="expression" dxfId="97" priority="143">
      <formula>MOD(ROW(),5)=0</formula>
    </cfRule>
  </conditionalFormatting>
  <conditionalFormatting sqref="V13:V76">
    <cfRule type="expression" dxfId="96" priority="142">
      <formula>MOD(ROW(),2)=0</formula>
    </cfRule>
  </conditionalFormatting>
  <conditionalFormatting sqref="V13:V76">
    <cfRule type="expression" dxfId="95" priority="141">
      <formula>MOD(ROW(),5)=0</formula>
    </cfRule>
  </conditionalFormatting>
  <conditionalFormatting sqref="AE12:AF12 AH12:AK12 AF13:AF76 AH13:AH76">
    <cfRule type="expression" dxfId="94" priority="140">
      <formula>MOD(ROW(),2)=0</formula>
    </cfRule>
  </conditionalFormatting>
  <conditionalFormatting sqref="AE12:AF12 AH12:AK12 AF13:AF76 AH13:AH76">
    <cfRule type="expression" dxfId="93" priority="139">
      <formula>MOD(ROW(),5)=0</formula>
    </cfRule>
  </conditionalFormatting>
  <conditionalFormatting sqref="AQ12:AR12 AT12:AW12 AR13:AR76 AT13:AT76">
    <cfRule type="expression" dxfId="92" priority="134">
      <formula>MOD(ROW(),2)=0</formula>
    </cfRule>
  </conditionalFormatting>
  <conditionalFormatting sqref="AQ12:AR12 AT12:AW12 AR13:AR76 AT13:AT76">
    <cfRule type="expression" dxfId="91" priority="133">
      <formula>MOD(ROW(),5)=0</formula>
    </cfRule>
  </conditionalFormatting>
  <conditionalFormatting sqref="BC12:BD12 BF12:BI12 BD13:BD76 BF13:BF76">
    <cfRule type="expression" dxfId="90" priority="128">
      <formula>MOD(ROW(),2)=0</formula>
    </cfRule>
  </conditionalFormatting>
  <conditionalFormatting sqref="BC12:BD12 BF12:BI12 BD13:BD76 BF13:BF76">
    <cfRule type="expression" dxfId="89" priority="127">
      <formula>MOD(ROW(),5)=0</formula>
    </cfRule>
  </conditionalFormatting>
  <conditionalFormatting sqref="BO12:BP12 BR12:BU12 BP13:BP76 BR13:BR76">
    <cfRule type="expression" dxfId="88" priority="122">
      <formula>MOD(ROW(),2)=0</formula>
    </cfRule>
  </conditionalFormatting>
  <conditionalFormatting sqref="BO12:BP12 BR12:BU12 BP13:BP76 BR13:BR76">
    <cfRule type="expression" dxfId="87" priority="121">
      <formula>MOD(ROW(),5)=0</formula>
    </cfRule>
  </conditionalFormatting>
  <conditionalFormatting sqref="CA12:CB12 CD12:CG12 CB13:CB76 CD13:CD76">
    <cfRule type="expression" dxfId="86" priority="116">
      <formula>MOD(ROW(),2)=0</formula>
    </cfRule>
  </conditionalFormatting>
  <conditionalFormatting sqref="CA12:CB12 CD12:CG12 CB13:CB76 CD13:CD76">
    <cfRule type="expression" dxfId="85" priority="115">
      <formula>MOD(ROW(),5)=0</formula>
    </cfRule>
  </conditionalFormatting>
  <conditionalFormatting sqref="CM12:CN12 CP12:CS12 CN13:CN76 CP13:CP76">
    <cfRule type="expression" dxfId="84" priority="110">
      <formula>MOD(ROW(),2)=0</formula>
    </cfRule>
  </conditionalFormatting>
  <conditionalFormatting sqref="CM12:CN12 CP12:CS12 CN13:CN76 CP13:CP76">
    <cfRule type="expression" dxfId="83" priority="109">
      <formula>MOD(ROW(),5)=0</formula>
    </cfRule>
  </conditionalFormatting>
  <conditionalFormatting sqref="CY12:CZ12 DB12:DE12 CZ13:CZ76 DB13:DB76">
    <cfRule type="expression" dxfId="82" priority="104">
      <formula>MOD(ROW(),2)=0</formula>
    </cfRule>
  </conditionalFormatting>
  <conditionalFormatting sqref="CY12:CZ12 DB12:DE12 CZ13:CZ76 DB13:DB76">
    <cfRule type="expression" dxfId="81" priority="103">
      <formula>MOD(ROW(),5)=0</formula>
    </cfRule>
  </conditionalFormatting>
  <conditionalFormatting sqref="C12:F76">
    <cfRule type="expression" dxfId="80" priority="98">
      <formula>MOD(ROW(),2)=0</formula>
    </cfRule>
  </conditionalFormatting>
  <conditionalFormatting sqref="C12:F76">
    <cfRule type="expression" dxfId="79" priority="97">
      <formula>MOD(ROW(),5)=0</formula>
    </cfRule>
  </conditionalFormatting>
  <conditionalFormatting sqref="U12:U76">
    <cfRule type="expression" dxfId="78" priority="26">
      <formula>MOD(ROW(),2)=0</formula>
    </cfRule>
  </conditionalFormatting>
  <conditionalFormatting sqref="U12:U76">
    <cfRule type="expression" dxfId="77" priority="25">
      <formula>MOD(ROW(),5)=0</formula>
    </cfRule>
  </conditionalFormatting>
  <conditionalFormatting sqref="I12:I76">
    <cfRule type="expression" dxfId="76" priority="38">
      <formula>MOD(ROW(),2)=0</formula>
    </cfRule>
  </conditionalFormatting>
  <conditionalFormatting sqref="I12:I76">
    <cfRule type="expression" dxfId="75" priority="37">
      <formula>MOD(ROW(),5)=0</formula>
    </cfRule>
  </conditionalFormatting>
  <conditionalFormatting sqref="S12:T12 V12:Y12">
    <cfRule type="expression" dxfId="74" priority="36">
      <formula>MOD(ROW(),2)=0</formula>
    </cfRule>
  </conditionalFormatting>
  <conditionalFormatting sqref="V12:Y12 S12:T12">
    <cfRule type="expression" dxfId="73" priority="35">
      <formula>MOD(ROW(),5)=0</formula>
    </cfRule>
  </conditionalFormatting>
  <conditionalFormatting sqref="O12:R76">
    <cfRule type="expression" dxfId="72" priority="34">
      <formula>MOD(ROW(),2)=0</formula>
    </cfRule>
  </conditionalFormatting>
  <conditionalFormatting sqref="O12:R76">
    <cfRule type="expression" dxfId="71" priority="33">
      <formula>MOD(ROW(),5)=0</formula>
    </cfRule>
  </conditionalFormatting>
  <conditionalFormatting sqref="AS12:AS76">
    <cfRule type="expression" dxfId="70" priority="22">
      <formula>MOD(ROW(),2)=0</formula>
    </cfRule>
  </conditionalFormatting>
  <conditionalFormatting sqref="AS12:AS76">
    <cfRule type="expression" dxfId="69" priority="21">
      <formula>MOD(ROW(),5)=0</formula>
    </cfRule>
  </conditionalFormatting>
  <conditionalFormatting sqref="AA12:AD76">
    <cfRule type="expression" dxfId="68" priority="30">
      <formula>MOD(ROW(),2)=0</formula>
    </cfRule>
  </conditionalFormatting>
  <conditionalFormatting sqref="AA12:AD76">
    <cfRule type="expression" dxfId="67" priority="29">
      <formula>MOD(ROW(),5)=0</formula>
    </cfRule>
  </conditionalFormatting>
  <conditionalFormatting sqref="AG12:AG76">
    <cfRule type="expression" dxfId="66" priority="28">
      <formula>MOD(ROW(),2)=0</formula>
    </cfRule>
  </conditionalFormatting>
  <conditionalFormatting sqref="AG12:AG76">
    <cfRule type="expression" dxfId="65" priority="27">
      <formula>MOD(ROW(),5)=0</formula>
    </cfRule>
  </conditionalFormatting>
  <conditionalFormatting sqref="AM12:AP76">
    <cfRule type="expression" dxfId="64" priority="24">
      <formula>MOD(ROW(),2)=0</formula>
    </cfRule>
  </conditionalFormatting>
  <conditionalFormatting sqref="AM12:AP76">
    <cfRule type="expression" dxfId="63" priority="23">
      <formula>MOD(ROW(),5)=0</formula>
    </cfRule>
  </conditionalFormatting>
  <conditionalFormatting sqref="AY12:BB76">
    <cfRule type="expression" dxfId="62" priority="20">
      <formula>MOD(ROW(),2)=0</formula>
    </cfRule>
  </conditionalFormatting>
  <conditionalFormatting sqref="AY12:BB76">
    <cfRule type="expression" dxfId="61" priority="19">
      <formula>MOD(ROW(),5)=0</formula>
    </cfRule>
  </conditionalFormatting>
  <conditionalFormatting sqref="BE12:BE76">
    <cfRule type="expression" dxfId="60" priority="18">
      <formula>MOD(ROW(),2)=0</formula>
    </cfRule>
  </conditionalFormatting>
  <conditionalFormatting sqref="BE12:BE76">
    <cfRule type="expression" dxfId="59" priority="17">
      <formula>MOD(ROW(),5)=0</formula>
    </cfRule>
  </conditionalFormatting>
  <conditionalFormatting sqref="BK12:BN76">
    <cfRule type="expression" dxfId="58" priority="16">
      <formula>MOD(ROW(),2)=0</formula>
    </cfRule>
  </conditionalFormatting>
  <conditionalFormatting sqref="BK12:BN76">
    <cfRule type="expression" dxfId="57" priority="15">
      <formula>MOD(ROW(),5)=0</formula>
    </cfRule>
  </conditionalFormatting>
  <conditionalFormatting sqref="BQ12:BQ76">
    <cfRule type="expression" dxfId="56" priority="14">
      <formula>MOD(ROW(),2)=0</formula>
    </cfRule>
  </conditionalFormatting>
  <conditionalFormatting sqref="BQ12:BQ76">
    <cfRule type="expression" dxfId="55" priority="13">
      <formula>MOD(ROW(),5)=0</formula>
    </cfRule>
  </conditionalFormatting>
  <conditionalFormatting sqref="DA12:DA76">
    <cfRule type="expression" dxfId="54" priority="1">
      <formula>MOD(ROW(),5)=0</formula>
    </cfRule>
  </conditionalFormatting>
  <conditionalFormatting sqref="BW12:BZ76">
    <cfRule type="expression" dxfId="53" priority="12">
      <formula>MOD(ROW(),2)=0</formula>
    </cfRule>
  </conditionalFormatting>
  <conditionalFormatting sqref="BW12:BZ76">
    <cfRule type="expression" dxfId="52" priority="11">
      <formula>MOD(ROW(),5)=0</formula>
    </cfRule>
  </conditionalFormatting>
  <conditionalFormatting sqref="CC12:CC76">
    <cfRule type="expression" dxfId="51" priority="10">
      <formula>MOD(ROW(),2)=0</formula>
    </cfRule>
  </conditionalFormatting>
  <conditionalFormatting sqref="CC12:CC76">
    <cfRule type="expression" dxfId="50" priority="9">
      <formula>MOD(ROW(),5)=0</formula>
    </cfRule>
  </conditionalFormatting>
  <conditionalFormatting sqref="CI12:CL76">
    <cfRule type="expression" dxfId="49" priority="8">
      <formula>MOD(ROW(),2)=0</formula>
    </cfRule>
  </conditionalFormatting>
  <conditionalFormatting sqref="CI12:CL76">
    <cfRule type="expression" dxfId="48" priority="7">
      <formula>MOD(ROW(),5)=0</formula>
    </cfRule>
  </conditionalFormatting>
  <conditionalFormatting sqref="CO12:CO76">
    <cfRule type="expression" dxfId="47" priority="6">
      <formula>MOD(ROW(),2)=0</formula>
    </cfRule>
  </conditionalFormatting>
  <conditionalFormatting sqref="CO12:CO76">
    <cfRule type="expression" dxfId="46" priority="5">
      <formula>MOD(ROW(),5)=0</formula>
    </cfRule>
  </conditionalFormatting>
  <conditionalFormatting sqref="CU12:CX76">
    <cfRule type="expression" dxfId="45" priority="4">
      <formula>MOD(ROW(),2)=0</formula>
    </cfRule>
  </conditionalFormatting>
  <conditionalFormatting sqref="CU12:CX76">
    <cfRule type="expression" dxfId="44" priority="3">
      <formula>MOD(ROW(),5)=0</formula>
    </cfRule>
  </conditionalFormatting>
  <conditionalFormatting sqref="DA12:DA76">
    <cfRule type="expression" dxfId="43" priority="2">
      <formula>MOD(ROW(),2)=0</formula>
    </cfRule>
  </conditionalFormatting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6D8E1BF-6CF4-49D4-B333-50FE168A9D5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DF77:DG78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pageSetUpPr fitToPage="1"/>
  </sheetPr>
  <dimension ref="A1:X56"/>
  <sheetViews>
    <sheetView zoomScale="64" zoomScaleNormal="64" workbookViewId="0">
      <selection activeCell="L15" sqref="L15"/>
    </sheetView>
  </sheetViews>
  <sheetFormatPr defaultColWidth="9.1796875" defaultRowHeight="12.5"/>
  <cols>
    <col min="1" max="11" width="9.1796875" style="143"/>
    <col min="12" max="12" width="32.26953125" style="234" customWidth="1"/>
    <col min="13" max="13" width="19.1796875" style="143" customWidth="1"/>
    <col min="14" max="14" width="16.26953125" style="148" customWidth="1"/>
    <col min="15" max="15" width="17.26953125" style="148" customWidth="1"/>
    <col min="16" max="16" width="18.1796875" style="148" customWidth="1"/>
    <col min="17" max="17" width="18.453125" style="149" customWidth="1"/>
    <col min="18" max="18" width="16.26953125" style="149" customWidth="1"/>
    <col min="19" max="19" width="10" style="1" hidden="1" customWidth="1"/>
    <col min="20" max="21" width="9.1796875" style="143"/>
    <col min="22" max="22" width="9.1796875" style="148"/>
    <col min="23" max="16384" width="9.1796875" style="143"/>
  </cols>
  <sheetData>
    <row r="1" spans="1:24">
      <c r="A1" s="333"/>
      <c r="L1" s="143"/>
    </row>
    <row r="2" spans="1:24">
      <c r="L2" s="143"/>
    </row>
    <row r="3" spans="1:24" ht="13" thickBot="1">
      <c r="L3" s="143"/>
    </row>
    <row r="4" spans="1:24" ht="13" thickTop="1">
      <c r="L4" s="4"/>
      <c r="M4" s="5"/>
      <c r="N4" s="6"/>
      <c r="O4" s="6"/>
      <c r="P4" s="6"/>
      <c r="Q4" s="7"/>
      <c r="R4" s="8"/>
      <c r="V4" s="144"/>
    </row>
    <row r="5" spans="1:24">
      <c r="L5" s="10"/>
      <c r="M5" s="11"/>
      <c r="N5" s="9"/>
      <c r="O5" s="9"/>
      <c r="P5" s="9"/>
      <c r="Q5" s="12"/>
      <c r="R5" s="13"/>
      <c r="V5" s="143"/>
    </row>
    <row r="6" spans="1:24" ht="23">
      <c r="L6" s="10"/>
      <c r="M6" s="153" t="str">
        <f>IFERROR(IF(ISBLANK(SETTINGS!$C12),"             SCHOOL NAME APPEARS HERE",SETTINGS!$C12),"")</f>
        <v xml:space="preserve">             SCHOOL NAME APPEARS HERE</v>
      </c>
      <c r="N6" s="9"/>
      <c r="O6" s="9"/>
      <c r="P6" s="9"/>
      <c r="Q6" s="12"/>
      <c r="R6" s="13"/>
      <c r="V6" s="143"/>
    </row>
    <row r="7" spans="1:24" ht="17.5">
      <c r="L7" s="10"/>
      <c r="M7" s="327" t="str">
        <f>IFERROR(IF(ISBLANK(SETTINGS!$C13),"                           ADDRESS APPEARS HERE",SETTINGS!$C13),"")</f>
        <v xml:space="preserve">                           ADDRESS APPEARS HERE</v>
      </c>
      <c r="N7" s="327"/>
      <c r="O7" s="327"/>
      <c r="P7" s="327"/>
      <c r="Q7" s="12"/>
      <c r="R7" s="13"/>
      <c r="V7" s="143"/>
    </row>
    <row r="8" spans="1:24" ht="19">
      <c r="L8" s="10"/>
      <c r="M8" s="14" t="str">
        <f>"                     Tel:" &amp; IFERROR(IF(ISBLANK(SETTINGS!$C13),"SCHOOL CONTACT",SETTINGS!$C13),"")</f>
        <v xml:space="preserve">                     Tel:SCHOOL CONTACT</v>
      </c>
      <c r="N8" s="9"/>
      <c r="O8" s="15"/>
      <c r="P8" s="9"/>
      <c r="Q8" s="12"/>
      <c r="R8" s="17"/>
      <c r="V8" s="143"/>
    </row>
    <row r="9" spans="1:24" ht="19">
      <c r="L9" s="10"/>
      <c r="M9" s="14"/>
      <c r="N9" s="9"/>
      <c r="O9" s="15"/>
      <c r="P9" s="9"/>
      <c r="Q9" s="16"/>
      <c r="R9" s="17"/>
      <c r="V9" s="143"/>
    </row>
    <row r="10" spans="1:24" ht="21.75" customHeight="1">
      <c r="L10" s="10"/>
      <c r="M10" s="331" t="s">
        <v>359</v>
      </c>
      <c r="N10" s="331"/>
      <c r="O10" s="331"/>
      <c r="P10" s="331"/>
      <c r="Q10" s="16" t="s">
        <v>22</v>
      </c>
      <c r="R10" s="17" t="str">
        <f ca="1">CONCATENATE("",TEXT(TODAY(), "dd/m/yyyy"))</f>
        <v>27/4/2026</v>
      </c>
      <c r="T10" s="145"/>
      <c r="V10" s="143"/>
    </row>
    <row r="11" spans="1:24" ht="18.75" customHeight="1" thickBot="1">
      <c r="L11" s="18"/>
      <c r="M11" s="19" t="s">
        <v>360</v>
      </c>
      <c r="N11" s="19"/>
      <c r="O11" s="20"/>
      <c r="P11" s="21"/>
      <c r="Q11" s="21" t="s">
        <v>23</v>
      </c>
      <c r="R11" s="75" t="str">
        <f>IFERROR(INDEX(ASSESSMENT!DH$12:DH$76,ASSESSMENT!$DL$12,COLUMNS($R$11:$R$11)),"")</f>
        <v/>
      </c>
      <c r="V11" s="143"/>
    </row>
    <row r="12" spans="1:24" ht="25.15" customHeight="1" thickTop="1">
      <c r="L12" s="22" t="s">
        <v>24</v>
      </c>
      <c r="M12" s="328" t="s">
        <v>107</v>
      </c>
      <c r="N12" s="328"/>
      <c r="O12" s="328"/>
      <c r="P12" s="23"/>
      <c r="Q12" s="329"/>
      <c r="R12" s="329"/>
      <c r="V12" s="143"/>
    </row>
    <row r="13" spans="1:24" ht="25.15" customHeight="1">
      <c r="L13" s="22" t="s">
        <v>25</v>
      </c>
      <c r="M13" s="142" t="str">
        <f>IFERROR(INDEX(ASSESSMENT!A$12:A$76,ASSESSMENT!$DL$12,COLUMNS($M13:M$13)),"")</f>
        <v/>
      </c>
      <c r="N13" s="24"/>
      <c r="O13" s="25" t="s">
        <v>26</v>
      </c>
      <c r="P13" s="28" t="str">
        <f>"    "&amp;ASSESSMENT!F4</f>
        <v xml:space="preserve">    </v>
      </c>
      <c r="Q13" s="24"/>
      <c r="R13" s="2"/>
      <c r="V13" s="143"/>
    </row>
    <row r="14" spans="1:24" ht="25.15" customHeight="1" thickBot="1">
      <c r="L14" s="26" t="s">
        <v>27</v>
      </c>
      <c r="M14" s="142" t="str">
        <f>IFERROR(INDEX(ASSESSMENT!DI$12:DI$76,ASSESSMENT!$DL$12,COLUMNS(M14:M14)),"")</f>
        <v/>
      </c>
      <c r="N14" s="24"/>
      <c r="O14" s="25" t="s">
        <v>28</v>
      </c>
      <c r="P14" s="330" t="str">
        <f>"    " &amp;IFERROR(INDEX(POS!D$4:D$231,POS!$G$4,COLUMNS($P$15:$P$15))&amp;" / "&amp;COUNTA(POS!B4:B231),"")</f>
        <v xml:space="preserve">    35th / 228</v>
      </c>
      <c r="Q14" s="330"/>
      <c r="R14" s="13"/>
      <c r="S14" s="27" t="str">
        <f>IFERROR(INDEX(#REF!,#REF!,COLUMNS(S14:S14)),"")</f>
        <v/>
      </c>
      <c r="V14" s="143"/>
    </row>
    <row r="15" spans="1:24" ht="25.15" customHeight="1">
      <c r="L15" s="26" t="s">
        <v>29</v>
      </c>
      <c r="M15" s="154" t="str">
        <f>IFERROR(IF(ISBLANK(SETTINGS!$H$17),"",SETTINGS!$H$17),"")</f>
        <v/>
      </c>
      <c r="N15" s="24"/>
      <c r="O15" s="76" t="s">
        <v>124</v>
      </c>
      <c r="P15" s="142" t="str">
        <f>"    " &amp;IFERROR(INDEX(ASSESSMENT!DG$12:DG$76,ASSESSMENT!$DL$12,COLUMNS($P$15:$P$15))&amp;" / "&amp;600,"")</f>
        <v xml:space="preserve">    </v>
      </c>
      <c r="Q15" s="24"/>
      <c r="R15" s="13"/>
      <c r="S15" s="24">
        <f>COUNTA(#REF!)</f>
        <v>1</v>
      </c>
      <c r="V15" s="143"/>
    </row>
    <row r="16" spans="1:24" ht="21" customHeight="1">
      <c r="L16" s="22" t="s">
        <v>30</v>
      </c>
      <c r="M16" s="154" t="str">
        <f>IFERROR(IF(ISBLANK(SETTINGS!$H$18),"",SETTINGS!$H$18),"")</f>
        <v/>
      </c>
      <c r="N16" s="24"/>
      <c r="O16" s="25" t="s">
        <v>31</v>
      </c>
      <c r="P16" s="154" t="str">
        <f>IFERROR(IF(ISBLANK(SETTINGS!$H$19),"",SETTINGS!$H$19),"")</f>
        <v/>
      </c>
      <c r="Q16" s="77"/>
      <c r="R16" s="29"/>
      <c r="V16" s="143"/>
      <c r="X16" s="146"/>
    </row>
    <row r="17" spans="12:22" ht="18.75" customHeight="1">
      <c r="L17" s="78" t="s">
        <v>125</v>
      </c>
      <c r="M17" s="79">
        <f>COUNTA(ASSESSMENT!B12:B76)</f>
        <v>65</v>
      </c>
      <c r="N17" s="1"/>
      <c r="O17" s="80"/>
      <c r="P17" s="30"/>
      <c r="Q17" s="1"/>
      <c r="R17" s="32"/>
      <c r="V17" s="143"/>
    </row>
    <row r="18" spans="12:22" ht="13" thickBot="1">
      <c r="L18" s="10"/>
      <c r="M18" s="11"/>
      <c r="N18" s="9"/>
      <c r="O18" s="9"/>
      <c r="P18" s="9"/>
      <c r="Q18" s="12"/>
      <c r="R18" s="13"/>
      <c r="V18" s="143"/>
    </row>
    <row r="19" spans="12:22" ht="12.75" customHeight="1" thickTop="1" thickBot="1">
      <c r="L19" s="324" t="s">
        <v>32</v>
      </c>
      <c r="M19" s="325" t="s">
        <v>59</v>
      </c>
      <c r="N19" s="326" t="s">
        <v>60</v>
      </c>
      <c r="O19" s="326" t="s">
        <v>33</v>
      </c>
      <c r="P19" s="322" t="s">
        <v>34</v>
      </c>
      <c r="Q19" s="322" t="s">
        <v>21</v>
      </c>
      <c r="R19" s="322" t="s">
        <v>35</v>
      </c>
      <c r="V19" s="143"/>
    </row>
    <row r="20" spans="12:22" ht="12.75" customHeight="1" thickTop="1" thickBot="1">
      <c r="L20" s="324"/>
      <c r="M20" s="324"/>
      <c r="N20" s="326"/>
      <c r="O20" s="326"/>
      <c r="P20" s="322"/>
      <c r="Q20" s="322"/>
      <c r="R20" s="322"/>
      <c r="V20" s="143"/>
    </row>
    <row r="21" spans="12:22" ht="30" customHeight="1" thickTop="1" thickBot="1">
      <c r="L21" s="324"/>
      <c r="M21" s="324"/>
      <c r="N21" s="326"/>
      <c r="O21" s="326"/>
      <c r="P21" s="322"/>
      <c r="Q21" s="322"/>
      <c r="R21" s="322"/>
      <c r="V21" s="143"/>
    </row>
    <row r="22" spans="12:22" ht="21.65" customHeight="1" thickTop="1" thickBot="1">
      <c r="L22" s="33" t="s">
        <v>333</v>
      </c>
      <c r="M22" s="34" t="str">
        <f>IFERROR(INDEX(ASSESSMENT!H$12:H$76,ASSESSMENT!$DL$12,COLUMNS($M$22:M22)),"")</f>
        <v/>
      </c>
      <c r="N22" s="34" t="str">
        <f>IFERROR(INDEX(ASSESSMENT!J$12:J$76,ASSESSMENT!$DL$12,COLUMNS(N22:N22)),"")</f>
        <v/>
      </c>
      <c r="O22" s="34" t="str">
        <f>IFERROR(INDEX(ASSESSMENT!K$12:K$76,ASSESSMENT!$DL$12,COLUMNS(O22:O22)),"")</f>
        <v/>
      </c>
      <c r="P22" s="34" t="str">
        <f>IFERROR(INDEX(ASSESSMENT!L$12:L$76,ASSESSMENT!$DL$12,COLUMNS(P22:P22)),"")</f>
        <v/>
      </c>
      <c r="Q22" s="34" t="str">
        <f>IFERROR(INDEX(ASSESSMENT!M$12:M$76,ASSESSMENT!$DL$12,COLUMNS(Q22:Q22)),"")</f>
        <v/>
      </c>
      <c r="R22" s="35" t="str">
        <f>IF(O22="","",IF(O22&gt;=80,"  Excellent",IF(O22&gt;=70,"  Very Good",IF(O22&gt;=60,"  Good",IF(O22&gt;=45,"  Pass",IF(O22&gt;=35,"  Weak","  Very Weak"))))))</f>
        <v/>
      </c>
      <c r="S22" s="36" t="str">
        <f>IFERROR(INDEX(#REF!,#REF!,COLUMNS(REPORT_CARD!S22:S22)),"")</f>
        <v/>
      </c>
      <c r="V22" s="147"/>
    </row>
    <row r="23" spans="12:22" ht="21.65" customHeight="1" thickBot="1">
      <c r="L23" s="37" t="s">
        <v>334</v>
      </c>
      <c r="M23" s="34" t="str">
        <f>IFERROR(INDEX(ASSESSMENT!T$12:T$76,ASSESSMENT!$DL$12,COLUMNS(M23:M23)),"")</f>
        <v/>
      </c>
      <c r="N23" s="34" t="str">
        <f>IFERROR(INDEX(ASSESSMENT!V$12:V$76,ASSESSMENT!$DL$12,COLUMNS(N23:N23)),"")</f>
        <v/>
      </c>
      <c r="O23" s="34" t="str">
        <f>IFERROR(INDEX(ASSESSMENT!W$12:W$76,ASSESSMENT!$DL$12,COLUMNS(O23:O23)),"")</f>
        <v/>
      </c>
      <c r="P23" s="34" t="str">
        <f>IFERROR(INDEX(ASSESSMENT!X$12:X$76,ASSESSMENT!$DL$12,COLUMNS(P23:P23)),"")</f>
        <v/>
      </c>
      <c r="Q23" s="34" t="str">
        <f>IFERROR(INDEX(ASSESSMENT!Y$12:Y$76,ASSESSMENT!$DL$12,COLUMNS(Q23:Q23)),"")</f>
        <v/>
      </c>
      <c r="R23" s="35" t="str">
        <f t="shared" ref="R23:R30" si="0">IF(O23="","",IF(O23&gt;=80,"  Excellent",IF(O23&gt;=70,"  Very Good",IF(O23&gt;=60,"  Good",IF(O23&gt;=45,"  Pass",IF(O23&gt;=35,"  Weak","  Very Weak"))))))</f>
        <v/>
      </c>
      <c r="S23" s="38" t="str">
        <f>IFERROR(INDEX(#REF!,#REF!,COLUMNS(REPORT_CARD!S23:S23)),"")</f>
        <v/>
      </c>
      <c r="V23" s="143"/>
    </row>
    <row r="24" spans="12:22" ht="21.65" customHeight="1" thickBot="1">
      <c r="L24" s="37" t="s">
        <v>335</v>
      </c>
      <c r="M24" s="34" t="str">
        <f>IFERROR(INDEX(ASSESSMENT!AF$12:AF$76,ASSESSMENT!$DL$12,COLUMNS($M$22:M24)),"")</f>
        <v/>
      </c>
      <c r="N24" s="34" t="str">
        <f>IFERROR(INDEX(ASSESSMENT!AH$12:AH$76,ASSESSMENT!$DL$12,COLUMNS(N24:N24)),"")</f>
        <v/>
      </c>
      <c r="O24" s="34" t="str">
        <f>IFERROR(INDEX(ASSESSMENT!AI$12:AI$76,ASSESSMENT!$DL$12,COLUMNS(O24:O24)),"")</f>
        <v/>
      </c>
      <c r="P24" s="34" t="str">
        <f>IFERROR(INDEX(ASSESSMENT!AJ$12:AJ$76,ASSESSMENT!$DL$12,COLUMNS(P24:P24)),"")</f>
        <v/>
      </c>
      <c r="Q24" s="34" t="str">
        <f>IFERROR(INDEX(ASSESSMENT!AK$12:AK$76,ASSESSMENT!$DL$12,COLUMNS(Q24:Q24)),"")</f>
        <v/>
      </c>
      <c r="R24" s="35" t="str">
        <f t="shared" si="0"/>
        <v/>
      </c>
      <c r="S24" s="38" t="str">
        <f>IFERROR(INDEX(#REF!,#REF!,COLUMNS(REPORT_CARD!S24:S24)),"")</f>
        <v/>
      </c>
      <c r="V24" s="143"/>
    </row>
    <row r="25" spans="12:22" ht="21.65" customHeight="1" thickBot="1">
      <c r="L25" s="37" t="s">
        <v>336</v>
      </c>
      <c r="M25" s="34" t="str">
        <f>IFERROR(INDEX(ASSESSMENT!AR$12:AR$76,ASSESSMENT!$DL$12,COLUMNS($M$22:M25)),"")</f>
        <v/>
      </c>
      <c r="N25" s="34" t="str">
        <f>IFERROR(INDEX(ASSESSMENT!AT$12:AT$76,ASSESSMENT!$DL$12,COLUMNS(N25:N25)),"")</f>
        <v/>
      </c>
      <c r="O25" s="34" t="str">
        <f>IFERROR(INDEX(ASSESSMENT!AU$12:AU$76,ASSESSMENT!$DL$12,COLUMNS(O25:O25)),"")</f>
        <v/>
      </c>
      <c r="P25" s="34" t="str">
        <f>IFERROR(INDEX(ASSESSMENT!AV$12:AV$76,ASSESSMENT!$DL$12,COLUMNS(P25:P25)),"")</f>
        <v/>
      </c>
      <c r="Q25" s="34" t="str">
        <f>IFERROR(INDEX(ASSESSMENT!AW$12:AW$76,ASSESSMENT!$DL$12,COLUMNS(Q25:Q25)),"")</f>
        <v/>
      </c>
      <c r="R25" s="35" t="str">
        <f t="shared" si="0"/>
        <v/>
      </c>
      <c r="S25" s="38" t="str">
        <f>IFERROR(INDEX(#REF!,#REF!,COLUMNS(REPORT_CARD!S25:S25)),"")</f>
        <v/>
      </c>
      <c r="V25" s="143"/>
    </row>
    <row r="26" spans="12:22" ht="21.65" customHeight="1" thickBot="1">
      <c r="L26" s="37" t="s">
        <v>337</v>
      </c>
      <c r="M26" s="34" t="str">
        <f>IFERROR(INDEX(ASSESSMENT!BD$12:BD$76,ASSESSMENT!$DL$12,COLUMNS($M$22:M26)),"")</f>
        <v/>
      </c>
      <c r="N26" s="34" t="str">
        <f>IFERROR(INDEX(ASSESSMENT!BF$12:BF$76,ASSESSMENT!$DL$12,COLUMNS(N26:N26)),"")</f>
        <v/>
      </c>
      <c r="O26" s="34" t="str">
        <f>IFERROR(INDEX(ASSESSMENT!BG$12:BG$76,ASSESSMENT!$DL$12,COLUMNS(O26:O26)),"")</f>
        <v/>
      </c>
      <c r="P26" s="34" t="str">
        <f>IFERROR(INDEX(ASSESSMENT!BH$12:BH$76,ASSESSMENT!$DL$12,COLUMNS(P26:P26)),"")</f>
        <v/>
      </c>
      <c r="Q26" s="34" t="str">
        <f>IFERROR(INDEX(ASSESSMENT!BI$12:BI$76,ASSESSMENT!$DL$12,COLUMNS(Q26:Q26)),"")</f>
        <v/>
      </c>
      <c r="R26" s="35" t="str">
        <f t="shared" si="0"/>
        <v/>
      </c>
      <c r="S26" s="38" t="str">
        <f>IFERROR(INDEX(#REF!,#REF!,COLUMNS(REPORT_CARD!S26:S26)),"")</f>
        <v/>
      </c>
      <c r="V26" s="147"/>
    </row>
    <row r="27" spans="12:22" ht="21.65" customHeight="1" thickBot="1">
      <c r="L27" s="37" t="s">
        <v>338</v>
      </c>
      <c r="M27" s="34" t="str">
        <f>IFERROR(INDEX(ASSESSMENT!BP$12:BP$76,ASSESSMENT!$DL$12,COLUMNS($M$22:M27)),"")</f>
        <v/>
      </c>
      <c r="N27" s="34" t="str">
        <f>IFERROR(INDEX(ASSESSMENT!BR$12:BR$76,ASSESSMENT!$DL$12,COLUMNS(N27:N27)),"")</f>
        <v/>
      </c>
      <c r="O27" s="34" t="str">
        <f>IFERROR(INDEX(ASSESSMENT!BS$12:BS$76,ASSESSMENT!$DL$12,COLUMNS(O27:O27)),"")</f>
        <v/>
      </c>
      <c r="P27" s="34" t="str">
        <f>IFERROR(INDEX(ASSESSMENT!BT$12:BT$76,ASSESSMENT!$DL$12,COLUMNS(P27:P27)),"")</f>
        <v/>
      </c>
      <c r="Q27" s="34" t="str">
        <f>IFERROR(INDEX(ASSESSMENT!BU$12:BU$76,ASSESSMENT!$DL$12,COLUMNS(Q27:Q27)),"")</f>
        <v/>
      </c>
      <c r="R27" s="35" t="str">
        <f t="shared" si="0"/>
        <v/>
      </c>
      <c r="S27" s="38" t="str">
        <f>IFERROR(INDEX(#REF!,#REF!,COLUMNS(REPORT_CARD!S27:S27)),"")</f>
        <v/>
      </c>
      <c r="V27" s="147"/>
    </row>
    <row r="28" spans="12:22" ht="21.65" customHeight="1" thickBot="1">
      <c r="L28" s="37" t="s">
        <v>339</v>
      </c>
      <c r="M28" s="34" t="str">
        <f>IFERROR(INDEX(ASSESSMENT!CB$12:CB$76,ASSESSMENT!$DL$12,COLUMNS($M$22:M28)),"")</f>
        <v/>
      </c>
      <c r="N28" s="34" t="str">
        <f>IFERROR(INDEX(ASSESSMENT!CD$12:CD$76,ASSESSMENT!$DL$12,COLUMNS(N28:N28)),"")</f>
        <v/>
      </c>
      <c r="O28" s="34" t="str">
        <f>IFERROR(INDEX(ASSESSMENT!CE$12:CE$76,ASSESSMENT!$DL$12,COLUMNS(O28:O28)),"")</f>
        <v/>
      </c>
      <c r="P28" s="34" t="str">
        <f>IFERROR(INDEX(ASSESSMENT!CF$12:CF$76,ASSESSMENT!$DL$12,COLUMNS(P28:P28)),"")</f>
        <v/>
      </c>
      <c r="Q28" s="34" t="str">
        <f>IFERROR(INDEX(ASSESSMENT!CG$12:CG$76,ASSESSMENT!$DL$12,COLUMNS(Q28:Q28)),"")</f>
        <v/>
      </c>
      <c r="R28" s="35" t="str">
        <f t="shared" si="0"/>
        <v/>
      </c>
      <c r="S28" s="38" t="str">
        <f>IFERROR(INDEX(#REF!,#REF!,COLUMNS(REPORT_CARD!S28:S28)),"")</f>
        <v/>
      </c>
      <c r="V28" s="147"/>
    </row>
    <row r="29" spans="12:22" ht="21.65" customHeight="1" thickBot="1">
      <c r="L29" s="37" t="s">
        <v>340</v>
      </c>
      <c r="M29" s="34" t="str">
        <f>IFERROR(INDEX(ASSESSMENT!CN$12:CN$76,ASSESSMENT!$DL$12,COLUMNS($M$22:M29)),"")</f>
        <v/>
      </c>
      <c r="N29" s="34" t="str">
        <f>IFERROR(INDEX(ASSESSMENT!CP$12:CP$76,ASSESSMENT!$DL$12,COLUMNS(N29:N29)),"")</f>
        <v/>
      </c>
      <c r="O29" s="34" t="str">
        <f>IFERROR(INDEX(ASSESSMENT!CQ$12:CQ$76,ASSESSMENT!$DL$12,COLUMNS(O29:O29)),"")</f>
        <v/>
      </c>
      <c r="P29" s="34" t="str">
        <f>IFERROR(INDEX(ASSESSMENT!CR$12:CR$76,ASSESSMENT!$DL$12,COLUMNS(P29:P29)),"")</f>
        <v/>
      </c>
      <c r="Q29" s="34" t="str">
        <f>IFERROR(INDEX(ASSESSMENT!CS$12:CS$76,ASSESSMENT!$DL$12,COLUMNS(Q29:Q29)),"")</f>
        <v/>
      </c>
      <c r="R29" s="35" t="str">
        <f t="shared" si="0"/>
        <v/>
      </c>
      <c r="S29" s="38" t="str">
        <f>IFERROR(INDEX(#REF!,#REF!,COLUMNS(REPORT_CARD!S29:S29)),"")</f>
        <v/>
      </c>
      <c r="V29" s="147"/>
    </row>
    <row r="30" spans="12:22" ht="21.65" customHeight="1" thickBot="1">
      <c r="L30" s="37" t="s">
        <v>341</v>
      </c>
      <c r="M30" s="34" t="str">
        <f>IFERROR(INDEX(ASSESSMENT!CZ$12:CZ$76,ASSESSMENT!$DL$12,COLUMNS($M$22:M30)),"")</f>
        <v/>
      </c>
      <c r="N30" s="34" t="str">
        <f>IFERROR(INDEX(ASSESSMENT!DB$12:DB$76,ASSESSMENT!$DL$12,COLUMNS(N30:N30)),"")</f>
        <v/>
      </c>
      <c r="O30" s="34" t="str">
        <f>IFERROR(INDEX(ASSESSMENT!DC$12:DC$76,ASSESSMENT!$DL$12,COLUMNS(O30:O30)),"")</f>
        <v/>
      </c>
      <c r="P30" s="34" t="str">
        <f>IFERROR(INDEX(ASSESSMENT!DD$12:DD$76,ASSESSMENT!$DL$12,COLUMNS(P30:P30)),"")</f>
        <v/>
      </c>
      <c r="Q30" s="34" t="str">
        <f>IFERROR(INDEX(ASSESSMENT!DE$12:DE$76,ASSESSMENT!$DL$12,COLUMNS(Q30:Q30)),"")</f>
        <v/>
      </c>
      <c r="R30" s="35" t="str">
        <f t="shared" si="0"/>
        <v/>
      </c>
      <c r="S30" s="38" t="str">
        <f>IFERROR(INDEX(#REF!,#REF!,COLUMNS(S30:S30)),"")</f>
        <v/>
      </c>
      <c r="V30" s="147"/>
    </row>
    <row r="31" spans="12:22" ht="21.65" customHeight="1" thickBot="1">
      <c r="L31" s="81" t="s">
        <v>36</v>
      </c>
      <c r="M31" s="82">
        <f>SUM(M22:M30)</f>
        <v>0</v>
      </c>
      <c r="N31" s="82">
        <f>SUM(N22:N30)</f>
        <v>0</v>
      </c>
      <c r="O31" s="82">
        <f>SUM(O22:O30)</f>
        <v>0</v>
      </c>
      <c r="P31" s="83"/>
      <c r="Q31" s="84"/>
      <c r="R31" s="85"/>
    </row>
    <row r="32" spans="12:22" ht="29.15" customHeight="1" thickTop="1">
      <c r="L32" s="39" t="s">
        <v>126</v>
      </c>
      <c r="M32" s="40"/>
      <c r="N32" s="24" t="s">
        <v>127</v>
      </c>
      <c r="O32" s="41"/>
      <c r="P32" s="28" t="s">
        <v>128</v>
      </c>
      <c r="Q32" s="42"/>
      <c r="R32" s="43"/>
    </row>
    <row r="33" spans="12:18" ht="29.15" customHeight="1">
      <c r="L33" s="39"/>
      <c r="M33" s="40"/>
      <c r="N33" s="24"/>
      <c r="O33" s="41"/>
      <c r="P33" s="24"/>
      <c r="Q33" s="42"/>
      <c r="R33" s="43"/>
    </row>
    <row r="34" spans="12:18" ht="21.65" customHeight="1">
      <c r="L34" s="323" t="s">
        <v>37</v>
      </c>
      <c r="M34" s="323"/>
      <c r="N34" s="323"/>
      <c r="O34" s="323"/>
      <c r="P34" s="323"/>
      <c r="Q34" s="323"/>
      <c r="R34" s="323"/>
    </row>
    <row r="35" spans="12:18" ht="21.65" customHeight="1">
      <c r="L35" s="44"/>
      <c r="M35" s="141"/>
      <c r="N35" s="141"/>
      <c r="O35" s="141"/>
      <c r="P35" s="141"/>
      <c r="Q35" s="141"/>
      <c r="R35" s="45"/>
    </row>
    <row r="36" spans="12:18" ht="21.65" customHeight="1">
      <c r="L36" s="323" t="s">
        <v>38</v>
      </c>
      <c r="M36" s="323"/>
      <c r="N36" s="323"/>
      <c r="O36" s="323"/>
      <c r="P36" s="323"/>
      <c r="Q36" s="323"/>
      <c r="R36" s="323"/>
    </row>
    <row r="37" spans="12:18" ht="21.65" customHeight="1">
      <c r="L37" s="39"/>
      <c r="M37" s="46"/>
      <c r="N37" s="141"/>
      <c r="O37" s="141"/>
      <c r="P37" s="141"/>
      <c r="Q37" s="141"/>
      <c r="R37" s="45"/>
    </row>
    <row r="38" spans="12:18" ht="21.65" customHeight="1">
      <c r="L38" s="323" t="s">
        <v>39</v>
      </c>
      <c r="M38" s="323"/>
      <c r="N38" s="323"/>
      <c r="O38" s="323"/>
      <c r="P38" s="323"/>
      <c r="Q38" s="323"/>
      <c r="R38" s="323"/>
    </row>
    <row r="39" spans="12:18" ht="21.65" customHeight="1">
      <c r="L39" s="39"/>
      <c r="M39" s="46"/>
      <c r="N39" s="141"/>
      <c r="O39" s="141"/>
      <c r="P39" s="141"/>
      <c r="Q39" s="141"/>
      <c r="R39" s="45"/>
    </row>
    <row r="40" spans="12:18" ht="21.65" customHeight="1">
      <c r="L40" s="39" t="s">
        <v>129</v>
      </c>
      <c r="M40" s="11"/>
      <c r="N40" s="9"/>
      <c r="O40" s="9"/>
      <c r="P40" s="9"/>
      <c r="Q40" s="12"/>
      <c r="R40" s="13"/>
    </row>
    <row r="41" spans="12:18" ht="21.65" customHeight="1">
      <c r="L41" s="39"/>
      <c r="M41" s="11"/>
      <c r="N41" s="9"/>
      <c r="O41" s="9"/>
      <c r="P41" s="9"/>
      <c r="Q41" s="12"/>
      <c r="R41" s="13"/>
    </row>
    <row r="42" spans="12:18" ht="21.65" customHeight="1">
      <c r="L42" s="39" t="s">
        <v>130</v>
      </c>
      <c r="M42" s="11"/>
      <c r="N42" s="9"/>
      <c r="O42" s="9"/>
      <c r="P42" s="9"/>
      <c r="Q42" s="12"/>
      <c r="R42" s="13"/>
    </row>
    <row r="43" spans="12:18" ht="21.65" customHeight="1">
      <c r="L43" s="39"/>
      <c r="M43" s="11"/>
      <c r="N43" s="9"/>
      <c r="O43" s="9"/>
      <c r="P43" s="9"/>
      <c r="Q43" s="12"/>
      <c r="R43" s="13"/>
    </row>
    <row r="44" spans="12:18" ht="21.65" customHeight="1">
      <c r="L44" s="39" t="s">
        <v>131</v>
      </c>
      <c r="M44" s="11"/>
      <c r="N44" s="9"/>
      <c r="O44" s="9"/>
      <c r="P44" s="9"/>
      <c r="Q44" s="12"/>
      <c r="R44" s="13"/>
    </row>
    <row r="45" spans="12:18" ht="13" thickBot="1">
      <c r="L45" s="18"/>
      <c r="M45" s="47"/>
      <c r="N45" s="48"/>
      <c r="O45" s="48"/>
      <c r="P45" s="48"/>
      <c r="Q45" s="49"/>
      <c r="R45" s="50"/>
    </row>
    <row r="46" spans="12:18" ht="13" thickTop="1">
      <c r="L46" s="31"/>
      <c r="M46" s="1"/>
      <c r="N46" s="1"/>
      <c r="O46" s="1"/>
      <c r="P46" s="1"/>
      <c r="Q46" s="1"/>
      <c r="R46" s="51"/>
    </row>
    <row r="47" spans="12:18">
      <c r="L47" s="31"/>
      <c r="M47" s="1"/>
      <c r="N47" s="1"/>
      <c r="O47" s="1"/>
      <c r="P47" s="1"/>
      <c r="Q47" s="1"/>
      <c r="R47" s="51"/>
    </row>
    <row r="48" spans="12:18" ht="13" thickBot="1">
      <c r="L48" s="31"/>
      <c r="M48" s="1"/>
      <c r="N48" s="1"/>
      <c r="O48" s="1"/>
      <c r="P48" s="1"/>
      <c r="Q48" s="1"/>
      <c r="R48" s="51"/>
    </row>
    <row r="49" spans="12:18" ht="13.5" thickTop="1">
      <c r="L49" s="86" t="s">
        <v>40</v>
      </c>
      <c r="M49" s="86" t="s">
        <v>41</v>
      </c>
      <c r="N49" s="86" t="s">
        <v>42</v>
      </c>
      <c r="O49" s="86"/>
      <c r="P49" s="86" t="s">
        <v>43</v>
      </c>
      <c r="Q49" s="87" t="s">
        <v>44</v>
      </c>
      <c r="R49" s="87" t="s">
        <v>45</v>
      </c>
    </row>
    <row r="50" spans="12:18" ht="13" thickBot="1">
      <c r="L50" s="52">
        <v>1</v>
      </c>
      <c r="M50" s="52">
        <v>2</v>
      </c>
      <c r="N50" s="52">
        <v>3</v>
      </c>
      <c r="O50" s="52"/>
      <c r="P50" s="52">
        <v>4</v>
      </c>
      <c r="Q50" s="53">
        <v>5</v>
      </c>
      <c r="R50" s="53">
        <v>6</v>
      </c>
    </row>
    <row r="51" spans="12:18" ht="13.5" thickTop="1" thickBot="1">
      <c r="L51" s="31"/>
      <c r="M51" s="1"/>
      <c r="N51" s="1"/>
      <c r="O51" s="1"/>
      <c r="P51" s="1"/>
      <c r="Q51" s="1"/>
      <c r="R51" s="51"/>
    </row>
    <row r="52" spans="12:18" ht="13.5" thickTop="1">
      <c r="L52" s="31"/>
      <c r="M52" s="86" t="s">
        <v>46</v>
      </c>
      <c r="N52" s="86" t="s">
        <v>47</v>
      </c>
      <c r="O52" s="86" t="s">
        <v>48</v>
      </c>
      <c r="P52" s="1"/>
      <c r="Q52" s="1"/>
      <c r="R52" s="51"/>
    </row>
    <row r="53" spans="12:18" ht="13" thickBot="1">
      <c r="L53" s="31"/>
      <c r="M53" s="52">
        <v>7</v>
      </c>
      <c r="N53" s="52">
        <v>8</v>
      </c>
      <c r="O53" s="52">
        <v>9</v>
      </c>
      <c r="P53" s="1"/>
      <c r="Q53" s="1"/>
      <c r="R53" s="51"/>
    </row>
    <row r="54" spans="12:18" ht="13" thickTop="1">
      <c r="L54" s="31"/>
      <c r="M54" s="1"/>
      <c r="N54" s="1"/>
      <c r="O54" s="1"/>
      <c r="P54" s="1"/>
      <c r="Q54" s="1"/>
      <c r="R54" s="51"/>
    </row>
    <row r="55" spans="12:18" ht="15.5">
      <c r="L55" s="88" t="s">
        <v>332</v>
      </c>
      <c r="M55" s="89"/>
      <c r="N55" s="89"/>
      <c r="O55" s="89"/>
      <c r="P55" s="3"/>
      <c r="Q55" s="54" t="s">
        <v>49</v>
      </c>
      <c r="R55" s="51"/>
    </row>
    <row r="56" spans="12:18" ht="13" thickBot="1">
      <c r="L56" s="55"/>
      <c r="M56" s="56"/>
      <c r="N56" s="57"/>
      <c r="O56" s="57"/>
      <c r="P56" s="57"/>
      <c r="Q56" s="58"/>
      <c r="R56" s="59"/>
    </row>
  </sheetData>
  <sheetProtection sheet="1" objects="1" scenarios="1"/>
  <mergeCells count="15">
    <mergeCell ref="M7:P7"/>
    <mergeCell ref="M12:O12"/>
    <mergeCell ref="Q12:R12"/>
    <mergeCell ref="P14:Q14"/>
    <mergeCell ref="M10:P10"/>
    <mergeCell ref="Q19:Q21"/>
    <mergeCell ref="R19:R21"/>
    <mergeCell ref="L34:R34"/>
    <mergeCell ref="L36:R36"/>
    <mergeCell ref="L38:R38"/>
    <mergeCell ref="L19:L21"/>
    <mergeCell ref="M19:M21"/>
    <mergeCell ref="N19:N21"/>
    <mergeCell ref="O19:O21"/>
    <mergeCell ref="P19:P21"/>
  </mergeCells>
  <conditionalFormatting sqref="M6">
    <cfRule type="expression" dxfId="42" priority="1">
      <formula>MOD(ROW(),5)=0</formula>
    </cfRule>
  </conditionalFormatting>
  <dataValidations count="4">
    <dataValidation type="list" operator="equal" allowBlank="1" showErrorMessage="1" sqref="N39" xr:uid="{00000000-0002-0000-0300-000001000000}">
      <formula1>"Hardworking,Not Serious in class,Dependable,Lazy,Slow"</formula1>
      <formula2>0</formula2>
    </dataValidation>
    <dataValidation type="list" operator="equal" allowBlank="1" showErrorMessage="1" sqref="O36:R36 N37:R37" xr:uid="{00000000-0002-0000-0300-000002000000}">
      <formula1>"Artwork,Music,Drumming,Dancing,Sports,Reading"</formula1>
      <formula2>0</formula2>
    </dataValidation>
    <dataValidation type="list" operator="equal" allowBlank="1" showErrorMessage="1" sqref="N35" xr:uid="{00000000-0002-0000-0300-000003000000}">
      <formula1>"Respectful,Humble,Calm,Approachable,Sociable,Bully,Traunt"</formula1>
      <formula2>0</formula2>
    </dataValidation>
    <dataValidation operator="equal" allowBlank="1" showErrorMessage="1" sqref="N34 N36 N38" xr:uid="{00000000-0002-0000-0300-000004000000}">
      <formula1>0</formula1>
      <formula2>0</formula2>
    </dataValidation>
  </dataValidations>
  <printOptions horizontalCentered="1" verticalCentered="1"/>
  <pageMargins left="0.511811023622047" right="0.55118110236220497" top="0.39370078740157499" bottom="0.78740157480314998" header="0.511811023622047" footer="0.511811023622047"/>
  <pageSetup scale="69" firstPageNumber="0" fitToWidth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PrintAllReportCards">
                <anchor moveWithCells="1" sizeWithCells="1">
                  <from>
                    <xdr:col>20</xdr:col>
                    <xdr:colOff>273050</xdr:colOff>
                    <xdr:row>7</xdr:row>
                    <xdr:rowOff>215900</xdr:rowOff>
                  </from>
                  <to>
                    <xdr:col>23</xdr:col>
                    <xdr:colOff>387350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5" name="StopBtn">
              <controlPr defaultSize="0" print="0" autoFill="0" autoPict="0" macro="[0]!StopPrintingProcess">
                <anchor moveWithCells="1" sizeWithCells="1">
                  <from>
                    <xdr:col>20</xdr:col>
                    <xdr:colOff>260350</xdr:colOff>
                    <xdr:row>10</xdr:row>
                    <xdr:rowOff>165100</xdr:rowOff>
                  </from>
                  <to>
                    <xdr:col>23</xdr:col>
                    <xdr:colOff>393700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ReplaceLogoImage">
                <anchor moveWithCells="1" sizeWithCells="1">
                  <from>
                    <xdr:col>20</xdr:col>
                    <xdr:colOff>279400</xdr:colOff>
                    <xdr:row>5</xdr:row>
                    <xdr:rowOff>107950</xdr:rowOff>
                  </from>
                  <to>
                    <xdr:col>23</xdr:col>
                    <xdr:colOff>393700</xdr:colOff>
                    <xdr:row>7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ASSESSMENT!B12:B76</xm:f>
          </x14:formula1>
          <xm:sqref>M12:O12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G231"/>
  <sheetViews>
    <sheetView workbookViewId="0">
      <selection activeCell="G1" activeCellId="2" sqref="E1:E1048576 F1:F1048576 G1:G1048576"/>
    </sheetView>
  </sheetViews>
  <sheetFormatPr defaultRowHeight="12.5"/>
  <cols>
    <col min="2" max="2" width="35.81640625" customWidth="1"/>
    <col min="3" max="3" width="17.54296875" customWidth="1"/>
    <col min="4" max="4" width="17" customWidth="1"/>
    <col min="5" max="7" width="0" hidden="1" customWidth="1"/>
  </cols>
  <sheetData>
    <row r="1" spans="1:7" ht="23.5">
      <c r="B1" s="332" t="s">
        <v>132</v>
      </c>
      <c r="C1" s="332"/>
      <c r="D1" s="332"/>
    </row>
    <row r="2" spans="1:7" ht="24" thickBot="1">
      <c r="B2" s="332" t="s">
        <v>133</v>
      </c>
      <c r="C2" s="332"/>
      <c r="D2" s="332"/>
    </row>
    <row r="3" spans="1:7" ht="19" thickBot="1">
      <c r="A3" s="90"/>
      <c r="B3" s="91" t="s">
        <v>134</v>
      </c>
      <c r="C3" s="91" t="s">
        <v>50</v>
      </c>
      <c r="D3" s="91" t="s">
        <v>135</v>
      </c>
    </row>
    <row r="4" spans="1:7" ht="13" thickBot="1">
      <c r="A4" s="92">
        <v>1</v>
      </c>
      <c r="B4" s="93" t="s">
        <v>74</v>
      </c>
      <c r="C4" s="94">
        <v>764</v>
      </c>
      <c r="D4" s="67" t="str">
        <f>IFERROR(position_two&amp;IF(AND(MOD(ABS(position_two),100)&gt;10,MOD(ABS(position_two),100)&lt;14),"th", CHOOSE(MOD(ABS(position_two),10)+1,"th","st","nd","rd","th","th","th","th","th","th")),"")</f>
        <v>1st</v>
      </c>
      <c r="E4" s="62">
        <f>ROWS($B$4:$B4)</f>
        <v>1</v>
      </c>
      <c r="F4" s="62" t="str">
        <f>IF($B4=REPORT_CARD!$M$12,$E4,"")</f>
        <v/>
      </c>
      <c r="G4" s="62">
        <f>IFERROR(SMALL($F$4:$F$231,$E4),"")</f>
        <v>35</v>
      </c>
    </row>
    <row r="5" spans="1:7" ht="13" thickBot="1">
      <c r="A5" s="92">
        <v>2</v>
      </c>
      <c r="B5" s="93" t="s">
        <v>136</v>
      </c>
      <c r="C5" s="94">
        <v>731</v>
      </c>
      <c r="D5" s="67" t="str">
        <f>IFERROR(position_two&amp;IF(AND(MOD(ABS(position_two),100)&gt;10,MOD(ABS(position_two),100)&lt;14),"th", CHOOSE(MOD(ABS(position_two),10)+1,"th","st","nd","rd","th","th","th","th","th","th")),"")</f>
        <v>2nd</v>
      </c>
      <c r="E5" s="62">
        <f>ROWS($B$4:$B5)</f>
        <v>2</v>
      </c>
      <c r="F5" s="62" t="str">
        <f>IF($B5=REPORT_CARD!$M$12,$E5,"")</f>
        <v/>
      </c>
      <c r="G5" s="62" t="str">
        <f t="shared" ref="G5:G68" si="0">IFERROR(SMALL($F$4:$F$231,$E5),"")</f>
        <v/>
      </c>
    </row>
    <row r="6" spans="1:7" ht="13" thickBot="1">
      <c r="A6" s="92">
        <v>3</v>
      </c>
      <c r="B6" s="93" t="s">
        <v>137</v>
      </c>
      <c r="C6" s="94">
        <v>729</v>
      </c>
      <c r="D6" s="67" t="str">
        <f>IFERROR(position_two&amp;IF(AND(MOD(ABS(position_two),100)&gt;10,MOD(ABS(position_two),100)&lt;14),"th", CHOOSE(MOD(ABS(position_two),10)+1,"th","st","nd","rd","th","th","th","th","th","th")),"")</f>
        <v>3rd</v>
      </c>
      <c r="E6" s="62">
        <f>ROWS($B$4:$B6)</f>
        <v>3</v>
      </c>
      <c r="F6" s="62" t="str">
        <f>IF($B6=REPORT_CARD!$M$12,$E6,"")</f>
        <v/>
      </c>
      <c r="G6" s="62" t="str">
        <f t="shared" si="0"/>
        <v/>
      </c>
    </row>
    <row r="7" spans="1:7" ht="13" thickBot="1">
      <c r="A7" s="92">
        <v>4</v>
      </c>
      <c r="B7" s="93" t="s">
        <v>138</v>
      </c>
      <c r="C7" s="94">
        <v>721</v>
      </c>
      <c r="D7" s="67" t="str">
        <f>IFERROR(position_two&amp;IF(AND(MOD(ABS(position_two),100)&gt;10,MOD(ABS(position_two),100)&lt;14),"th", CHOOSE(MOD(ABS(position_two),10)+1,"th","st","nd","rd","th","th","th","th","th","th")),"")</f>
        <v>4th</v>
      </c>
      <c r="E7" s="62">
        <f>ROWS($B$4:$B7)</f>
        <v>4</v>
      </c>
      <c r="F7" s="62" t="str">
        <f>IF($B7=REPORT_CARD!$M$12,$E7,"")</f>
        <v/>
      </c>
      <c r="G7" s="62" t="str">
        <f t="shared" si="0"/>
        <v/>
      </c>
    </row>
    <row r="8" spans="1:7" ht="13" thickBot="1">
      <c r="A8" s="92">
        <v>5</v>
      </c>
      <c r="B8" s="93" t="s">
        <v>113</v>
      </c>
      <c r="C8" s="94">
        <v>680</v>
      </c>
      <c r="D8" s="67" t="str">
        <f>IFERROR(position_two&amp;IF(AND(MOD(ABS(position_two),100)&gt;10,MOD(ABS(position_two),100)&lt;14),"th", CHOOSE(MOD(ABS(position_two),10)+1,"th","st","nd","rd","th","th","th","th","th","th")),"")</f>
        <v>5th</v>
      </c>
      <c r="E8" s="62">
        <f>ROWS($B$4:$B8)</f>
        <v>5</v>
      </c>
      <c r="F8" s="62" t="str">
        <f>IF($B8=REPORT_CARD!$M$12,$E8,"")</f>
        <v/>
      </c>
      <c r="G8" s="62" t="str">
        <f t="shared" si="0"/>
        <v/>
      </c>
    </row>
    <row r="9" spans="1:7" ht="13" thickBot="1">
      <c r="A9" s="92">
        <v>6</v>
      </c>
      <c r="B9" s="93" t="s">
        <v>139</v>
      </c>
      <c r="C9" s="94">
        <v>677</v>
      </c>
      <c r="D9" s="67" t="str">
        <f>IFERROR(position_two&amp;IF(AND(MOD(ABS(position_two),100)&gt;10,MOD(ABS(position_two),100)&lt;14),"th", CHOOSE(MOD(ABS(position_two),10)+1,"th","st","nd","rd","th","th","th","th","th","th")),"")</f>
        <v>6th</v>
      </c>
      <c r="E9" s="62">
        <f>ROWS($B$4:$B9)</f>
        <v>6</v>
      </c>
      <c r="F9" s="62" t="str">
        <f>IF($B9=REPORT_CARD!$M$12,$E9,"")</f>
        <v/>
      </c>
      <c r="G9" s="62" t="str">
        <f t="shared" si="0"/>
        <v/>
      </c>
    </row>
    <row r="10" spans="1:7" ht="13" thickBot="1">
      <c r="A10" s="92">
        <v>7</v>
      </c>
      <c r="B10" s="93" t="s">
        <v>140</v>
      </c>
      <c r="C10" s="94">
        <v>677</v>
      </c>
      <c r="D10" s="67" t="str">
        <f>IFERROR(position_two&amp;IF(AND(MOD(ABS(position_two),100)&gt;10,MOD(ABS(position_two),100)&lt;14),"th", CHOOSE(MOD(ABS(position_two),10)+1,"th","st","nd","rd","th","th","th","th","th","th")),"")</f>
        <v>6th</v>
      </c>
      <c r="E10" s="62">
        <f>ROWS($B$4:$B10)</f>
        <v>7</v>
      </c>
      <c r="F10" s="62" t="str">
        <f>IF($B10=REPORT_CARD!$M$12,$E10,"")</f>
        <v/>
      </c>
      <c r="G10" s="62" t="str">
        <f t="shared" si="0"/>
        <v/>
      </c>
    </row>
    <row r="11" spans="1:7" ht="13" thickBot="1">
      <c r="A11" s="92">
        <v>8</v>
      </c>
      <c r="B11" s="93" t="s">
        <v>141</v>
      </c>
      <c r="C11" s="94">
        <v>664</v>
      </c>
      <c r="D11" s="67" t="str">
        <f>IFERROR(position_two&amp;IF(AND(MOD(ABS(position_two),100)&gt;10,MOD(ABS(position_two),100)&lt;14),"th", CHOOSE(MOD(ABS(position_two),10)+1,"th","st","nd","rd","th","th","th","th","th","th")),"")</f>
        <v>8th</v>
      </c>
      <c r="E11" s="62">
        <f>ROWS($B$4:$B11)</f>
        <v>8</v>
      </c>
      <c r="F11" s="62" t="str">
        <f>IF($B11=REPORT_CARD!$M$12,$E11,"")</f>
        <v/>
      </c>
      <c r="G11" s="62" t="str">
        <f t="shared" si="0"/>
        <v/>
      </c>
    </row>
    <row r="12" spans="1:7" ht="13" thickBot="1">
      <c r="A12" s="92">
        <v>9</v>
      </c>
      <c r="B12" s="93" t="s">
        <v>142</v>
      </c>
      <c r="C12" s="94">
        <v>657</v>
      </c>
      <c r="D12" s="67" t="str">
        <f>IFERROR(position_two&amp;IF(AND(MOD(ABS(position_two),100)&gt;10,MOD(ABS(position_two),100)&lt;14),"th", CHOOSE(MOD(ABS(position_two),10)+1,"th","st","nd","rd","th","th","th","th","th","th")),"")</f>
        <v>9th</v>
      </c>
      <c r="E12" s="62">
        <f>ROWS($B$4:$B12)</f>
        <v>9</v>
      </c>
      <c r="F12" s="62" t="str">
        <f>IF($B12=REPORT_CARD!$M$12,$E12,"")</f>
        <v/>
      </c>
      <c r="G12" s="62" t="str">
        <f t="shared" si="0"/>
        <v/>
      </c>
    </row>
    <row r="13" spans="1:7" ht="13" thickBot="1">
      <c r="A13" s="92">
        <v>10</v>
      </c>
      <c r="B13" s="93" t="s">
        <v>143</v>
      </c>
      <c r="C13" s="94">
        <v>652</v>
      </c>
      <c r="D13" s="67" t="str">
        <f>IFERROR(position_two&amp;IF(AND(MOD(ABS(position_two),100)&gt;10,MOD(ABS(position_two),100)&lt;14),"th", CHOOSE(MOD(ABS(position_two),10)+1,"th","st","nd","rd","th","th","th","th","th","th")),"")</f>
        <v>10th</v>
      </c>
      <c r="E13" s="62">
        <f>ROWS($B$4:$B13)</f>
        <v>10</v>
      </c>
      <c r="F13" s="62" t="str">
        <f>IF($B13=REPORT_CARD!$M$12,$E13,"")</f>
        <v/>
      </c>
      <c r="G13" s="62" t="str">
        <f t="shared" si="0"/>
        <v/>
      </c>
    </row>
    <row r="14" spans="1:7" ht="13" thickBot="1">
      <c r="A14" s="92">
        <v>11</v>
      </c>
      <c r="B14" s="93" t="s">
        <v>101</v>
      </c>
      <c r="C14" s="94">
        <v>651</v>
      </c>
      <c r="D14" s="67" t="str">
        <f>IFERROR(position_two&amp;IF(AND(MOD(ABS(position_two),100)&gt;10,MOD(ABS(position_two),100)&lt;14),"th", CHOOSE(MOD(ABS(position_two),10)+1,"th","st","nd","rd","th","th","th","th","th","th")),"")</f>
        <v>11th</v>
      </c>
      <c r="E14" s="62">
        <f>ROWS($B$4:$B14)</f>
        <v>11</v>
      </c>
      <c r="F14" s="62" t="str">
        <f>IF($B14=REPORT_CARD!$M$12,$E14,"")</f>
        <v/>
      </c>
      <c r="G14" s="62" t="str">
        <f t="shared" si="0"/>
        <v/>
      </c>
    </row>
    <row r="15" spans="1:7" ht="13" thickBot="1">
      <c r="A15" s="92">
        <v>12</v>
      </c>
      <c r="B15" s="93" t="s">
        <v>88</v>
      </c>
      <c r="C15" s="94">
        <v>647</v>
      </c>
      <c r="D15" s="67" t="str">
        <f>IFERROR(position_two&amp;IF(AND(MOD(ABS(position_two),100)&gt;10,MOD(ABS(position_two),100)&lt;14),"th", CHOOSE(MOD(ABS(position_two),10)+1,"th","st","nd","rd","th","th","th","th","th","th")),"")</f>
        <v>12th</v>
      </c>
      <c r="E15" s="62">
        <f>ROWS($B$4:$B15)</f>
        <v>12</v>
      </c>
      <c r="F15" s="62" t="str">
        <f>IF($B15=REPORT_CARD!$M$12,$E15,"")</f>
        <v/>
      </c>
      <c r="G15" s="62" t="str">
        <f t="shared" si="0"/>
        <v/>
      </c>
    </row>
    <row r="16" spans="1:7" ht="13" thickBot="1">
      <c r="A16" s="92">
        <v>13</v>
      </c>
      <c r="B16" s="93" t="s">
        <v>69</v>
      </c>
      <c r="C16" s="94">
        <v>641</v>
      </c>
      <c r="D16" s="67" t="str">
        <f>IFERROR(position_two&amp;IF(AND(MOD(ABS(position_two),100)&gt;10,MOD(ABS(position_two),100)&lt;14),"th", CHOOSE(MOD(ABS(position_two),10)+1,"th","st","nd","rd","th","th","th","th","th","th")),"")</f>
        <v>13th</v>
      </c>
      <c r="E16" s="62">
        <f>ROWS($B$4:$B16)</f>
        <v>13</v>
      </c>
      <c r="F16" s="62" t="str">
        <f>IF($B16=REPORT_CARD!$M$12,$E16,"")</f>
        <v/>
      </c>
      <c r="G16" s="62" t="str">
        <f t="shared" si="0"/>
        <v/>
      </c>
    </row>
    <row r="17" spans="1:7" ht="13" thickBot="1">
      <c r="A17" s="92">
        <v>14</v>
      </c>
      <c r="B17" s="93" t="s">
        <v>114</v>
      </c>
      <c r="C17" s="94">
        <v>636</v>
      </c>
      <c r="D17" s="67" t="str">
        <f>IFERROR(position_two&amp;IF(AND(MOD(ABS(position_two),100)&gt;10,MOD(ABS(position_two),100)&lt;14),"th", CHOOSE(MOD(ABS(position_two),10)+1,"th","st","nd","rd","th","th","th","th","th","th")),"")</f>
        <v>14th</v>
      </c>
      <c r="E17" s="62">
        <f>ROWS($B$4:$B17)</f>
        <v>14</v>
      </c>
      <c r="F17" s="62" t="str">
        <f>IF($B17=REPORT_CARD!$M$12,$E17,"")</f>
        <v/>
      </c>
      <c r="G17" s="62" t="str">
        <f t="shared" si="0"/>
        <v/>
      </c>
    </row>
    <row r="18" spans="1:7" ht="13" thickBot="1">
      <c r="A18" s="92">
        <v>15</v>
      </c>
      <c r="B18" s="93" t="s">
        <v>144</v>
      </c>
      <c r="C18" s="94">
        <v>635</v>
      </c>
      <c r="D18" s="67" t="str">
        <f>IFERROR(position_two&amp;IF(AND(MOD(ABS(position_two),100)&gt;10,MOD(ABS(position_two),100)&lt;14),"th", CHOOSE(MOD(ABS(position_two),10)+1,"th","st","nd","rd","th","th","th","th","th","th")),"")</f>
        <v>15th</v>
      </c>
      <c r="E18" s="62">
        <f>ROWS($B$4:$B18)</f>
        <v>15</v>
      </c>
      <c r="F18" s="62" t="str">
        <f>IF($B18=REPORT_CARD!$M$12,$E18,"")</f>
        <v/>
      </c>
      <c r="G18" s="62" t="str">
        <f t="shared" si="0"/>
        <v/>
      </c>
    </row>
    <row r="19" spans="1:7" ht="13" thickBot="1">
      <c r="A19" s="92">
        <v>16</v>
      </c>
      <c r="B19" s="93" t="s">
        <v>145</v>
      </c>
      <c r="C19" s="94">
        <v>633</v>
      </c>
      <c r="D19" s="67" t="str">
        <f>IFERROR(position_two&amp;IF(AND(MOD(ABS(position_two),100)&gt;10,MOD(ABS(position_two),100)&lt;14),"th", CHOOSE(MOD(ABS(position_two),10)+1,"th","st","nd","rd","th","th","th","th","th","th")),"")</f>
        <v>16th</v>
      </c>
      <c r="E19" s="62">
        <f>ROWS($B$4:$B19)</f>
        <v>16</v>
      </c>
      <c r="F19" s="62" t="str">
        <f>IF($B19=REPORT_CARD!$M$12,$E19,"")</f>
        <v/>
      </c>
      <c r="G19" s="62" t="str">
        <f t="shared" si="0"/>
        <v/>
      </c>
    </row>
    <row r="20" spans="1:7" ht="13" thickBot="1">
      <c r="A20" s="92">
        <v>17</v>
      </c>
      <c r="B20" s="93" t="s">
        <v>146</v>
      </c>
      <c r="C20" s="94">
        <v>633</v>
      </c>
      <c r="D20" s="67" t="str">
        <f>IFERROR(position_two&amp;IF(AND(MOD(ABS(position_two),100)&gt;10,MOD(ABS(position_two),100)&lt;14),"th", CHOOSE(MOD(ABS(position_two),10)+1,"th","st","nd","rd","th","th","th","th","th","th")),"")</f>
        <v>16th</v>
      </c>
      <c r="E20" s="62">
        <f>ROWS($B$4:$B20)</f>
        <v>17</v>
      </c>
      <c r="F20" s="62" t="str">
        <f>IF($B20=REPORT_CARD!$M$12,$E20,"")</f>
        <v/>
      </c>
      <c r="G20" s="62" t="str">
        <f t="shared" si="0"/>
        <v/>
      </c>
    </row>
    <row r="21" spans="1:7" ht="13" thickBot="1">
      <c r="A21" s="92">
        <v>18</v>
      </c>
      <c r="B21" s="93" t="s">
        <v>147</v>
      </c>
      <c r="C21" s="94">
        <v>632</v>
      </c>
      <c r="D21" s="67" t="str">
        <f>IFERROR(position_two&amp;IF(AND(MOD(ABS(position_two),100)&gt;10,MOD(ABS(position_two),100)&lt;14),"th", CHOOSE(MOD(ABS(position_two),10)+1,"th","st","nd","rd","th","th","th","th","th","th")),"")</f>
        <v>18th</v>
      </c>
      <c r="E21" s="62">
        <f>ROWS($B$4:$B21)</f>
        <v>18</v>
      </c>
      <c r="F21" s="62" t="str">
        <f>IF($B21=REPORT_CARD!$M$12,$E21,"")</f>
        <v/>
      </c>
      <c r="G21" s="62" t="str">
        <f t="shared" si="0"/>
        <v/>
      </c>
    </row>
    <row r="22" spans="1:7" ht="13" thickBot="1">
      <c r="A22" s="92">
        <v>19</v>
      </c>
      <c r="B22" s="93" t="s">
        <v>94</v>
      </c>
      <c r="C22" s="94">
        <v>630</v>
      </c>
      <c r="D22" s="67" t="str">
        <f>IFERROR(position_two&amp;IF(AND(MOD(ABS(position_two),100)&gt;10,MOD(ABS(position_two),100)&lt;14),"th", CHOOSE(MOD(ABS(position_two),10)+1,"th","st","nd","rd","th","th","th","th","th","th")),"")</f>
        <v>19th</v>
      </c>
      <c r="E22" s="62">
        <f>ROWS($B$4:$B22)</f>
        <v>19</v>
      </c>
      <c r="F22" s="62" t="str">
        <f>IF($B22=REPORT_CARD!$M$12,$E22,"")</f>
        <v/>
      </c>
      <c r="G22" s="62" t="str">
        <f t="shared" si="0"/>
        <v/>
      </c>
    </row>
    <row r="23" spans="1:7" ht="13" thickBot="1">
      <c r="A23" s="92">
        <v>20</v>
      </c>
      <c r="B23" s="93" t="s">
        <v>148</v>
      </c>
      <c r="C23" s="94">
        <v>628</v>
      </c>
      <c r="D23" s="67" t="str">
        <f>IFERROR(position_two&amp;IF(AND(MOD(ABS(position_two),100)&gt;10,MOD(ABS(position_two),100)&lt;14),"th", CHOOSE(MOD(ABS(position_two),10)+1,"th","st","nd","rd","th","th","th","th","th","th")),"")</f>
        <v>20th</v>
      </c>
      <c r="E23" s="62">
        <f>ROWS($B$4:$B23)</f>
        <v>20</v>
      </c>
      <c r="F23" s="62" t="str">
        <f>IF($B23=REPORT_CARD!$M$12,$E23,"")</f>
        <v/>
      </c>
      <c r="G23" s="62" t="str">
        <f t="shared" si="0"/>
        <v/>
      </c>
    </row>
    <row r="24" spans="1:7" ht="13" thickBot="1">
      <c r="A24" s="92">
        <v>21</v>
      </c>
      <c r="B24" s="93" t="s">
        <v>116</v>
      </c>
      <c r="C24" s="94">
        <v>626</v>
      </c>
      <c r="D24" s="67" t="str">
        <f>IFERROR(position_two&amp;IF(AND(MOD(ABS(position_two),100)&gt;10,MOD(ABS(position_two),100)&lt;14),"th", CHOOSE(MOD(ABS(position_two),10)+1,"th","st","nd","rd","th","th","th","th","th","th")),"")</f>
        <v>21st</v>
      </c>
      <c r="E24" s="62">
        <f>ROWS($B$4:$B24)</f>
        <v>21</v>
      </c>
      <c r="F24" s="62" t="str">
        <f>IF($B24=REPORT_CARD!$M$12,$E24,"")</f>
        <v/>
      </c>
      <c r="G24" s="62" t="str">
        <f t="shared" si="0"/>
        <v/>
      </c>
    </row>
    <row r="25" spans="1:7" ht="13" thickBot="1">
      <c r="A25" s="92">
        <v>22</v>
      </c>
      <c r="B25" s="93" t="s">
        <v>149</v>
      </c>
      <c r="C25" s="94">
        <v>623</v>
      </c>
      <c r="D25" s="67" t="str">
        <f>IFERROR(position_two&amp;IF(AND(MOD(ABS(position_two),100)&gt;10,MOD(ABS(position_two),100)&lt;14),"th", CHOOSE(MOD(ABS(position_two),10)+1,"th","st","nd","rd","th","th","th","th","th","th")),"")</f>
        <v>22nd</v>
      </c>
      <c r="E25" s="62">
        <f>ROWS($B$4:$B25)</f>
        <v>22</v>
      </c>
      <c r="F25" s="62" t="str">
        <f>IF($B25=REPORT_CARD!$M$12,$E25,"")</f>
        <v/>
      </c>
      <c r="G25" s="62" t="str">
        <f t="shared" si="0"/>
        <v/>
      </c>
    </row>
    <row r="26" spans="1:7" ht="13" thickBot="1">
      <c r="A26" s="92">
        <v>23</v>
      </c>
      <c r="B26" s="93" t="s">
        <v>150</v>
      </c>
      <c r="C26" s="94">
        <v>622</v>
      </c>
      <c r="D26" s="67" t="str">
        <f>IFERROR(position_two&amp;IF(AND(MOD(ABS(position_two),100)&gt;10,MOD(ABS(position_two),100)&lt;14),"th", CHOOSE(MOD(ABS(position_two),10)+1,"th","st","nd","rd","th","th","th","th","th","th")),"")</f>
        <v>23rd</v>
      </c>
      <c r="E26" s="62">
        <f>ROWS($B$4:$B26)</f>
        <v>23</v>
      </c>
      <c r="F26" s="62" t="str">
        <f>IF($B26=REPORT_CARD!$M$12,$E26,"")</f>
        <v/>
      </c>
      <c r="G26" s="62" t="str">
        <f t="shared" si="0"/>
        <v/>
      </c>
    </row>
    <row r="27" spans="1:7" ht="13" thickBot="1">
      <c r="A27" s="92">
        <v>24</v>
      </c>
      <c r="B27" s="93" t="s">
        <v>84</v>
      </c>
      <c r="C27" s="94">
        <v>619</v>
      </c>
      <c r="D27" s="67" t="str">
        <f>IFERROR(position_two&amp;IF(AND(MOD(ABS(position_two),100)&gt;10,MOD(ABS(position_two),100)&lt;14),"th", CHOOSE(MOD(ABS(position_two),10)+1,"th","st","nd","rd","th","th","th","th","th","th")),"")</f>
        <v>24th</v>
      </c>
      <c r="E27" s="62">
        <f>ROWS($B$4:$B27)</f>
        <v>24</v>
      </c>
      <c r="F27" s="62" t="str">
        <f>IF($B27=REPORT_CARD!$M$12,$E27,"")</f>
        <v/>
      </c>
      <c r="G27" s="62" t="str">
        <f t="shared" si="0"/>
        <v/>
      </c>
    </row>
    <row r="28" spans="1:7" ht="13" thickBot="1">
      <c r="A28" s="92">
        <v>25</v>
      </c>
      <c r="B28" s="93" t="s">
        <v>87</v>
      </c>
      <c r="C28" s="94">
        <v>619</v>
      </c>
      <c r="D28" s="67" t="str">
        <f>IFERROR(position_two&amp;IF(AND(MOD(ABS(position_two),100)&gt;10,MOD(ABS(position_two),100)&lt;14),"th", CHOOSE(MOD(ABS(position_two),10)+1,"th","st","nd","rd","th","th","th","th","th","th")),"")</f>
        <v>24th</v>
      </c>
      <c r="E28" s="62">
        <f>ROWS($B$4:$B28)</f>
        <v>25</v>
      </c>
      <c r="F28" s="62" t="str">
        <f>IF($B28=REPORT_CARD!$M$12,$E28,"")</f>
        <v/>
      </c>
      <c r="G28" s="62" t="str">
        <f t="shared" si="0"/>
        <v/>
      </c>
    </row>
    <row r="29" spans="1:7" ht="13" thickBot="1">
      <c r="A29" s="92">
        <v>26</v>
      </c>
      <c r="B29" s="93" t="s">
        <v>151</v>
      </c>
      <c r="C29" s="94">
        <v>618</v>
      </c>
      <c r="D29" s="67" t="str">
        <f>IFERROR(position_two&amp;IF(AND(MOD(ABS(position_two),100)&gt;10,MOD(ABS(position_two),100)&lt;14),"th", CHOOSE(MOD(ABS(position_two),10)+1,"th","st","nd","rd","th","th","th","th","th","th")),"")</f>
        <v>26th</v>
      </c>
      <c r="E29" s="62">
        <f>ROWS($B$4:$B29)</f>
        <v>26</v>
      </c>
      <c r="F29" s="62" t="str">
        <f>IF($B29=REPORT_CARD!$M$12,$E29,"")</f>
        <v/>
      </c>
      <c r="G29" s="62" t="str">
        <f t="shared" si="0"/>
        <v/>
      </c>
    </row>
    <row r="30" spans="1:7" ht="13" thickBot="1">
      <c r="A30" s="92">
        <v>27</v>
      </c>
      <c r="B30" s="93" t="s">
        <v>152</v>
      </c>
      <c r="C30" s="94">
        <v>617</v>
      </c>
      <c r="D30" s="67" t="str">
        <f>IFERROR(position_two&amp;IF(AND(MOD(ABS(position_two),100)&gt;10,MOD(ABS(position_two),100)&lt;14),"th", CHOOSE(MOD(ABS(position_two),10)+1,"th","st","nd","rd","th","th","th","th","th","th")),"")</f>
        <v>27th</v>
      </c>
      <c r="E30" s="62">
        <f>ROWS($B$4:$B30)</f>
        <v>27</v>
      </c>
      <c r="F30" s="62" t="str">
        <f>IF($B30=REPORT_CARD!$M$12,$E30,"")</f>
        <v/>
      </c>
      <c r="G30" s="62" t="str">
        <f t="shared" si="0"/>
        <v/>
      </c>
    </row>
    <row r="31" spans="1:7" ht="13" thickBot="1">
      <c r="A31" s="92">
        <v>28</v>
      </c>
      <c r="B31" s="93" t="s">
        <v>104</v>
      </c>
      <c r="C31" s="94">
        <v>612</v>
      </c>
      <c r="D31" s="67" t="str">
        <f>IFERROR(position_two&amp;IF(AND(MOD(ABS(position_two),100)&gt;10,MOD(ABS(position_two),100)&lt;14),"th", CHOOSE(MOD(ABS(position_two),10)+1,"th","st","nd","rd","th","th","th","th","th","th")),"")</f>
        <v>28th</v>
      </c>
      <c r="E31" s="62">
        <f>ROWS($B$4:$B31)</f>
        <v>28</v>
      </c>
      <c r="F31" s="62" t="str">
        <f>IF($B31=REPORT_CARD!$M$12,$E31,"")</f>
        <v/>
      </c>
      <c r="G31" s="62" t="str">
        <f t="shared" si="0"/>
        <v/>
      </c>
    </row>
    <row r="32" spans="1:7" ht="13" thickBot="1">
      <c r="A32" s="92">
        <v>29</v>
      </c>
      <c r="B32" s="93" t="s">
        <v>93</v>
      </c>
      <c r="C32" s="94">
        <v>604</v>
      </c>
      <c r="D32" s="67" t="str">
        <f>IFERROR(position_two&amp;IF(AND(MOD(ABS(position_two),100)&gt;10,MOD(ABS(position_two),100)&lt;14),"th", CHOOSE(MOD(ABS(position_two),10)+1,"th","st","nd","rd","th","th","th","th","th","th")),"")</f>
        <v>29th</v>
      </c>
      <c r="E32" s="62">
        <f>ROWS($B$4:$B32)</f>
        <v>29</v>
      </c>
      <c r="F32" s="62" t="str">
        <f>IF($B32=REPORT_CARD!$M$12,$E32,"")</f>
        <v/>
      </c>
      <c r="G32" s="62" t="str">
        <f t="shared" si="0"/>
        <v/>
      </c>
    </row>
    <row r="33" spans="1:7" ht="13" thickBot="1">
      <c r="A33" s="92">
        <v>30</v>
      </c>
      <c r="B33" s="93" t="s">
        <v>153</v>
      </c>
      <c r="C33" s="94">
        <v>603</v>
      </c>
      <c r="D33" s="67" t="str">
        <f>IFERROR(position_two&amp;IF(AND(MOD(ABS(position_two),100)&gt;10,MOD(ABS(position_two),100)&lt;14),"th", CHOOSE(MOD(ABS(position_two),10)+1,"th","st","nd","rd","th","th","th","th","th","th")),"")</f>
        <v>30th</v>
      </c>
      <c r="E33" s="62">
        <f>ROWS($B$4:$B33)</f>
        <v>30</v>
      </c>
      <c r="F33" s="62" t="str">
        <f>IF($B33=REPORT_CARD!$M$12,$E33,"")</f>
        <v/>
      </c>
      <c r="G33" s="62" t="str">
        <f t="shared" si="0"/>
        <v/>
      </c>
    </row>
    <row r="34" spans="1:7" ht="13" thickBot="1">
      <c r="A34" s="92">
        <v>31</v>
      </c>
      <c r="B34" s="93" t="s">
        <v>154</v>
      </c>
      <c r="C34" s="94">
        <v>602</v>
      </c>
      <c r="D34" s="67" t="str">
        <f>IFERROR(position_two&amp;IF(AND(MOD(ABS(position_two),100)&gt;10,MOD(ABS(position_two),100)&lt;14),"th", CHOOSE(MOD(ABS(position_two),10)+1,"th","st","nd","rd","th","th","th","th","th","th")),"")</f>
        <v>31st</v>
      </c>
      <c r="E34" s="62">
        <f>ROWS($B$4:$B34)</f>
        <v>31</v>
      </c>
      <c r="F34" s="62" t="str">
        <f>IF($B34=REPORT_CARD!$M$12,$E34,"")</f>
        <v/>
      </c>
      <c r="G34" s="62" t="str">
        <f t="shared" si="0"/>
        <v/>
      </c>
    </row>
    <row r="35" spans="1:7" ht="13" thickBot="1">
      <c r="A35" s="92">
        <v>32</v>
      </c>
      <c r="B35" s="93" t="s">
        <v>155</v>
      </c>
      <c r="C35" s="94">
        <v>599</v>
      </c>
      <c r="D35" s="67" t="str">
        <f>IFERROR(position_two&amp;IF(AND(MOD(ABS(position_two),100)&gt;10,MOD(ABS(position_two),100)&lt;14),"th", CHOOSE(MOD(ABS(position_two),10)+1,"th","st","nd","rd","th","th","th","th","th","th")),"")</f>
        <v>32nd</v>
      </c>
      <c r="E35" s="62">
        <f>ROWS($B$4:$B35)</f>
        <v>32</v>
      </c>
      <c r="F35" s="62" t="str">
        <f>IF($B35=REPORT_CARD!$M$12,$E35,"")</f>
        <v/>
      </c>
      <c r="G35" s="62" t="str">
        <f t="shared" si="0"/>
        <v/>
      </c>
    </row>
    <row r="36" spans="1:7" ht="13" thickBot="1">
      <c r="A36" s="92">
        <v>33</v>
      </c>
      <c r="B36" s="93" t="s">
        <v>76</v>
      </c>
      <c r="C36" s="94">
        <v>598</v>
      </c>
      <c r="D36" s="67" t="str">
        <f>IFERROR(position_two&amp;IF(AND(MOD(ABS(position_two),100)&gt;10,MOD(ABS(position_two),100)&lt;14),"th", CHOOSE(MOD(ABS(position_two),10)+1,"th","st","nd","rd","th","th","th","th","th","th")),"")</f>
        <v>33rd</v>
      </c>
      <c r="E36" s="62">
        <f>ROWS($B$4:$B36)</f>
        <v>33</v>
      </c>
      <c r="F36" s="62" t="str">
        <f>IF($B36=REPORT_CARD!$M$12,$E36,"")</f>
        <v/>
      </c>
      <c r="G36" s="62" t="str">
        <f t="shared" si="0"/>
        <v/>
      </c>
    </row>
    <row r="37" spans="1:7" ht="13" thickBot="1">
      <c r="A37" s="92">
        <v>34</v>
      </c>
      <c r="B37" s="93" t="s">
        <v>156</v>
      </c>
      <c r="C37" s="94">
        <v>596</v>
      </c>
      <c r="D37" s="67" t="str">
        <f>IFERROR(position_two&amp;IF(AND(MOD(ABS(position_two),100)&gt;10,MOD(ABS(position_two),100)&lt;14),"th", CHOOSE(MOD(ABS(position_two),10)+1,"th","st","nd","rd","th","th","th","th","th","th")),"")</f>
        <v>34th</v>
      </c>
      <c r="E37" s="62">
        <f>ROWS($B$4:$B37)</f>
        <v>34</v>
      </c>
      <c r="F37" s="62" t="str">
        <f>IF($B37=REPORT_CARD!$M$12,$E37,"")</f>
        <v/>
      </c>
      <c r="G37" s="62" t="str">
        <f t="shared" si="0"/>
        <v/>
      </c>
    </row>
    <row r="38" spans="1:7" ht="13" thickBot="1">
      <c r="A38" s="92">
        <v>35</v>
      </c>
      <c r="B38" s="93" t="s">
        <v>107</v>
      </c>
      <c r="C38" s="94">
        <v>592</v>
      </c>
      <c r="D38" s="67" t="str">
        <f>IFERROR(position_two&amp;IF(AND(MOD(ABS(position_two),100)&gt;10,MOD(ABS(position_two),100)&lt;14),"th", CHOOSE(MOD(ABS(position_two),10)+1,"th","st","nd","rd","th","th","th","th","th","th")),"")</f>
        <v>35th</v>
      </c>
      <c r="E38" s="62">
        <f>ROWS($B$4:$B38)</f>
        <v>35</v>
      </c>
      <c r="F38" s="62">
        <f>IF($B38=REPORT_CARD!$M$12,$E38,"")</f>
        <v>35</v>
      </c>
      <c r="G38" s="62" t="str">
        <f t="shared" si="0"/>
        <v/>
      </c>
    </row>
    <row r="39" spans="1:7" ht="13" thickBot="1">
      <c r="A39" s="92">
        <v>36</v>
      </c>
      <c r="B39" s="93" t="s">
        <v>157</v>
      </c>
      <c r="C39" s="94">
        <v>579</v>
      </c>
      <c r="D39" s="67" t="str">
        <f>IFERROR(position_two&amp;IF(AND(MOD(ABS(position_two),100)&gt;10,MOD(ABS(position_two),100)&lt;14),"th", CHOOSE(MOD(ABS(position_two),10)+1,"th","st","nd","rd","th","th","th","th","th","th")),"")</f>
        <v>36th</v>
      </c>
      <c r="E39" s="62">
        <f>ROWS($B$4:$B39)</f>
        <v>36</v>
      </c>
      <c r="F39" s="62" t="str">
        <f>IF($B39=REPORT_CARD!$M$12,$E39,"")</f>
        <v/>
      </c>
      <c r="G39" s="62" t="str">
        <f t="shared" si="0"/>
        <v/>
      </c>
    </row>
    <row r="40" spans="1:7" ht="13" thickBot="1">
      <c r="A40" s="92">
        <v>37</v>
      </c>
      <c r="B40" s="93" t="s">
        <v>158</v>
      </c>
      <c r="C40" s="94">
        <v>579</v>
      </c>
      <c r="D40" s="67" t="str">
        <f>IFERROR(position_two&amp;IF(AND(MOD(ABS(position_two),100)&gt;10,MOD(ABS(position_two),100)&lt;14),"th", CHOOSE(MOD(ABS(position_two),10)+1,"th","st","nd","rd","th","th","th","th","th","th")),"")</f>
        <v>36th</v>
      </c>
      <c r="E40" s="62">
        <f>ROWS($B$4:$B40)</f>
        <v>37</v>
      </c>
      <c r="F40" s="62" t="str">
        <f>IF($B40=REPORT_CARD!$M$12,$E40,"")</f>
        <v/>
      </c>
      <c r="G40" s="62" t="str">
        <f t="shared" si="0"/>
        <v/>
      </c>
    </row>
    <row r="41" spans="1:7" ht="13" thickBot="1">
      <c r="A41" s="92">
        <v>38</v>
      </c>
      <c r="B41" s="93" t="s">
        <v>159</v>
      </c>
      <c r="C41" s="94">
        <v>576</v>
      </c>
      <c r="D41" s="67" t="str">
        <f>IFERROR(position_two&amp;IF(AND(MOD(ABS(position_two),100)&gt;10,MOD(ABS(position_two),100)&lt;14),"th", CHOOSE(MOD(ABS(position_two),10)+1,"th","st","nd","rd","th","th","th","th","th","th")),"")</f>
        <v>38th</v>
      </c>
      <c r="E41" s="62">
        <f>ROWS($B$4:$B41)</f>
        <v>38</v>
      </c>
      <c r="F41" s="62" t="str">
        <f>IF($B41=REPORT_CARD!$M$12,$E41,"")</f>
        <v/>
      </c>
      <c r="G41" s="62" t="str">
        <f t="shared" si="0"/>
        <v/>
      </c>
    </row>
    <row r="42" spans="1:7" ht="13" thickBot="1">
      <c r="A42" s="92">
        <v>39</v>
      </c>
      <c r="B42" s="93" t="s">
        <v>160</v>
      </c>
      <c r="C42" s="94">
        <v>576</v>
      </c>
      <c r="D42" s="67" t="str">
        <f>IFERROR(position_two&amp;IF(AND(MOD(ABS(position_two),100)&gt;10,MOD(ABS(position_two),100)&lt;14),"th", CHOOSE(MOD(ABS(position_two),10)+1,"th","st","nd","rd","th","th","th","th","th","th")),"")</f>
        <v>38th</v>
      </c>
      <c r="E42" s="62">
        <f>ROWS($B$4:$B42)</f>
        <v>39</v>
      </c>
      <c r="F42" s="62" t="str">
        <f>IF($B42=REPORT_CARD!$M$12,$E42,"")</f>
        <v/>
      </c>
      <c r="G42" s="62" t="str">
        <f t="shared" si="0"/>
        <v/>
      </c>
    </row>
    <row r="43" spans="1:7" ht="13" thickBot="1">
      <c r="A43" s="92">
        <v>40</v>
      </c>
      <c r="B43" s="93" t="s">
        <v>161</v>
      </c>
      <c r="C43" s="94">
        <v>573</v>
      </c>
      <c r="D43" s="67" t="str">
        <f>IFERROR(position_two&amp;IF(AND(MOD(ABS(position_two),100)&gt;10,MOD(ABS(position_two),100)&lt;14),"th", CHOOSE(MOD(ABS(position_two),10)+1,"th","st","nd","rd","th","th","th","th","th","th")),"")</f>
        <v>40th</v>
      </c>
      <c r="E43" s="62">
        <f>ROWS($B$4:$B43)</f>
        <v>40</v>
      </c>
      <c r="F43" s="62" t="str">
        <f>IF($B43=REPORT_CARD!$M$12,$E43,"")</f>
        <v/>
      </c>
      <c r="G43" s="62" t="str">
        <f t="shared" si="0"/>
        <v/>
      </c>
    </row>
    <row r="44" spans="1:7" ht="13" thickBot="1">
      <c r="A44" s="92">
        <v>41</v>
      </c>
      <c r="B44" s="93" t="s">
        <v>162</v>
      </c>
      <c r="C44" s="94">
        <v>572</v>
      </c>
      <c r="D44" s="67" t="str">
        <f>IFERROR(position_two&amp;IF(AND(MOD(ABS(position_two),100)&gt;10,MOD(ABS(position_two),100)&lt;14),"th", CHOOSE(MOD(ABS(position_two),10)+1,"th","st","nd","rd","th","th","th","th","th","th")),"")</f>
        <v>41st</v>
      </c>
      <c r="E44" s="62">
        <f>ROWS($B$4:$B44)</f>
        <v>41</v>
      </c>
      <c r="F44" s="62" t="str">
        <f>IF($B44=REPORT_CARD!$M$12,$E44,"")</f>
        <v/>
      </c>
      <c r="G44" s="62" t="str">
        <f t="shared" si="0"/>
        <v/>
      </c>
    </row>
    <row r="45" spans="1:7" ht="13" thickBot="1">
      <c r="A45" s="92">
        <v>42</v>
      </c>
      <c r="B45" s="93" t="s">
        <v>163</v>
      </c>
      <c r="C45" s="94">
        <v>570</v>
      </c>
      <c r="D45" s="67" t="str">
        <f>IFERROR(position_two&amp;IF(AND(MOD(ABS(position_two),100)&gt;10,MOD(ABS(position_two),100)&lt;14),"th", CHOOSE(MOD(ABS(position_two),10)+1,"th","st","nd","rd","th","th","th","th","th","th")),"")</f>
        <v>42nd</v>
      </c>
      <c r="E45" s="62">
        <f>ROWS($B$4:$B45)</f>
        <v>42</v>
      </c>
      <c r="F45" s="62" t="str">
        <f>IF($B45=REPORT_CARD!$M$12,$E45,"")</f>
        <v/>
      </c>
      <c r="G45" s="62" t="str">
        <f t="shared" si="0"/>
        <v/>
      </c>
    </row>
    <row r="46" spans="1:7" ht="13" thickBot="1">
      <c r="A46" s="92">
        <v>43</v>
      </c>
      <c r="B46" s="93" t="s">
        <v>164</v>
      </c>
      <c r="C46" s="94">
        <v>568</v>
      </c>
      <c r="D46" s="67" t="str">
        <f>IFERROR(position_two&amp;IF(AND(MOD(ABS(position_two),100)&gt;10,MOD(ABS(position_two),100)&lt;14),"th", CHOOSE(MOD(ABS(position_two),10)+1,"th","st","nd","rd","th","th","th","th","th","th")),"")</f>
        <v>43rd</v>
      </c>
      <c r="E46" s="62">
        <f>ROWS($B$4:$B46)</f>
        <v>43</v>
      </c>
      <c r="F46" s="62" t="str">
        <f>IF($B46=REPORT_CARD!$M$12,$E46,"")</f>
        <v/>
      </c>
      <c r="G46" s="62" t="str">
        <f t="shared" si="0"/>
        <v/>
      </c>
    </row>
    <row r="47" spans="1:7" ht="13" thickBot="1">
      <c r="A47" s="92">
        <v>44</v>
      </c>
      <c r="B47" s="93" t="s">
        <v>75</v>
      </c>
      <c r="C47" s="94">
        <v>566</v>
      </c>
      <c r="D47" s="67" t="str">
        <f>IFERROR(position_two&amp;IF(AND(MOD(ABS(position_two),100)&gt;10,MOD(ABS(position_two),100)&lt;14),"th", CHOOSE(MOD(ABS(position_two),10)+1,"th","st","nd","rd","th","th","th","th","th","th")),"")</f>
        <v>44th</v>
      </c>
      <c r="E47" s="62">
        <f>ROWS($B$4:$B47)</f>
        <v>44</v>
      </c>
      <c r="F47" s="62" t="str">
        <f>IF($B47=REPORT_CARD!$M$12,$E47,"")</f>
        <v/>
      </c>
      <c r="G47" s="62" t="str">
        <f t="shared" si="0"/>
        <v/>
      </c>
    </row>
    <row r="48" spans="1:7" ht="13" thickBot="1">
      <c r="A48" s="92">
        <v>45</v>
      </c>
      <c r="B48" s="93" t="s">
        <v>165</v>
      </c>
      <c r="C48" s="94">
        <v>566</v>
      </c>
      <c r="D48" s="67" t="str">
        <f>IFERROR(position_two&amp;IF(AND(MOD(ABS(position_two),100)&gt;10,MOD(ABS(position_two),100)&lt;14),"th", CHOOSE(MOD(ABS(position_two),10)+1,"th","st","nd","rd","th","th","th","th","th","th")),"")</f>
        <v>44th</v>
      </c>
      <c r="E48" s="62">
        <f>ROWS($B$4:$B48)</f>
        <v>45</v>
      </c>
      <c r="F48" s="62" t="str">
        <f>IF($B48=REPORT_CARD!$M$12,$E48,"")</f>
        <v/>
      </c>
      <c r="G48" s="62" t="str">
        <f t="shared" si="0"/>
        <v/>
      </c>
    </row>
    <row r="49" spans="1:7" ht="13" thickBot="1">
      <c r="A49" s="92">
        <v>46</v>
      </c>
      <c r="B49" s="93" t="s">
        <v>166</v>
      </c>
      <c r="C49" s="94">
        <v>566</v>
      </c>
      <c r="D49" s="67" t="str">
        <f>IFERROR(position_two&amp;IF(AND(MOD(ABS(position_two),100)&gt;10,MOD(ABS(position_two),100)&lt;14),"th", CHOOSE(MOD(ABS(position_two),10)+1,"th","st","nd","rd","th","th","th","th","th","th")),"")</f>
        <v>44th</v>
      </c>
      <c r="E49" s="62">
        <f>ROWS($B$4:$B49)</f>
        <v>46</v>
      </c>
      <c r="F49" s="62" t="str">
        <f>IF($B49=REPORT_CARD!$M$12,$E49,"")</f>
        <v/>
      </c>
      <c r="G49" s="62" t="str">
        <f t="shared" si="0"/>
        <v/>
      </c>
    </row>
    <row r="50" spans="1:7" ht="13" thickBot="1">
      <c r="A50" s="92">
        <v>47</v>
      </c>
      <c r="B50" s="93" t="s">
        <v>167</v>
      </c>
      <c r="C50" s="94">
        <v>565</v>
      </c>
      <c r="D50" s="67" t="str">
        <f>IFERROR(position_two&amp;IF(AND(MOD(ABS(position_two),100)&gt;10,MOD(ABS(position_two),100)&lt;14),"th", CHOOSE(MOD(ABS(position_two),10)+1,"th","st","nd","rd","th","th","th","th","th","th")),"")</f>
        <v>47th</v>
      </c>
      <c r="E50" s="62">
        <f>ROWS($B$4:$B50)</f>
        <v>47</v>
      </c>
      <c r="F50" s="62" t="str">
        <f>IF($B50=REPORT_CARD!$M$12,$E50,"")</f>
        <v/>
      </c>
      <c r="G50" s="62" t="str">
        <f t="shared" si="0"/>
        <v/>
      </c>
    </row>
    <row r="51" spans="1:7" ht="13" thickBot="1">
      <c r="A51" s="92">
        <v>48</v>
      </c>
      <c r="B51" s="93" t="s">
        <v>168</v>
      </c>
      <c r="C51" s="94">
        <v>564</v>
      </c>
      <c r="D51" s="67" t="str">
        <f>IFERROR(position_two&amp;IF(AND(MOD(ABS(position_two),100)&gt;10,MOD(ABS(position_two),100)&lt;14),"th", CHOOSE(MOD(ABS(position_two),10)+1,"th","st","nd","rd","th","th","th","th","th","th")),"")</f>
        <v>48th</v>
      </c>
      <c r="E51" s="62">
        <f>ROWS($B$4:$B51)</f>
        <v>48</v>
      </c>
      <c r="F51" s="62" t="str">
        <f>IF($B51=REPORT_CARD!$M$12,$E51,"")</f>
        <v/>
      </c>
      <c r="G51" s="62" t="str">
        <f t="shared" si="0"/>
        <v/>
      </c>
    </row>
    <row r="52" spans="1:7" ht="13" thickBot="1">
      <c r="A52" s="92">
        <v>49</v>
      </c>
      <c r="B52" s="93" t="s">
        <v>169</v>
      </c>
      <c r="C52" s="94">
        <v>564</v>
      </c>
      <c r="D52" s="67" t="str">
        <f>IFERROR(position_two&amp;IF(AND(MOD(ABS(position_two),100)&gt;10,MOD(ABS(position_two),100)&lt;14),"th", CHOOSE(MOD(ABS(position_two),10)+1,"th","st","nd","rd","th","th","th","th","th","th")),"")</f>
        <v>48th</v>
      </c>
      <c r="E52" s="62">
        <f>ROWS($B$4:$B52)</f>
        <v>49</v>
      </c>
      <c r="F52" s="62" t="str">
        <f>IF($B52=REPORT_CARD!$M$12,$E52,"")</f>
        <v/>
      </c>
      <c r="G52" s="62" t="str">
        <f t="shared" si="0"/>
        <v/>
      </c>
    </row>
    <row r="53" spans="1:7" ht="13" thickBot="1">
      <c r="A53" s="92">
        <v>50</v>
      </c>
      <c r="B53" s="93" t="s">
        <v>170</v>
      </c>
      <c r="C53" s="94">
        <v>563</v>
      </c>
      <c r="D53" s="67" t="str">
        <f>IFERROR(position_two&amp;IF(AND(MOD(ABS(position_two),100)&gt;10,MOD(ABS(position_two),100)&lt;14),"th", CHOOSE(MOD(ABS(position_two),10)+1,"th","st","nd","rd","th","th","th","th","th","th")),"")</f>
        <v>50th</v>
      </c>
      <c r="E53" s="62">
        <f>ROWS($B$4:$B53)</f>
        <v>50</v>
      </c>
      <c r="F53" s="62" t="str">
        <f>IF($B53=REPORT_CARD!$M$12,$E53,"")</f>
        <v/>
      </c>
      <c r="G53" s="62" t="str">
        <f t="shared" si="0"/>
        <v/>
      </c>
    </row>
    <row r="54" spans="1:7" ht="13" thickBot="1">
      <c r="A54" s="92">
        <v>51</v>
      </c>
      <c r="B54" s="93" t="s">
        <v>171</v>
      </c>
      <c r="C54" s="94">
        <v>562</v>
      </c>
      <c r="D54" s="67" t="str">
        <f>IFERROR(position_two&amp;IF(AND(MOD(ABS(position_two),100)&gt;10,MOD(ABS(position_two),100)&lt;14),"th", CHOOSE(MOD(ABS(position_two),10)+1,"th","st","nd","rd","th","th","th","th","th","th")),"")</f>
        <v>51st</v>
      </c>
      <c r="E54" s="62">
        <f>ROWS($B$4:$B54)</f>
        <v>51</v>
      </c>
      <c r="F54" s="62" t="str">
        <f>IF($B54=REPORT_CARD!$M$12,$E54,"")</f>
        <v/>
      </c>
      <c r="G54" s="62" t="str">
        <f t="shared" si="0"/>
        <v/>
      </c>
    </row>
    <row r="55" spans="1:7" ht="13" thickBot="1">
      <c r="A55" s="92">
        <v>52</v>
      </c>
      <c r="B55" s="93" t="s">
        <v>71</v>
      </c>
      <c r="C55" s="94">
        <v>558</v>
      </c>
      <c r="D55" s="67" t="str">
        <f>IFERROR(position_two&amp;IF(AND(MOD(ABS(position_two),100)&gt;10,MOD(ABS(position_two),100)&lt;14),"th", CHOOSE(MOD(ABS(position_two),10)+1,"th","st","nd","rd","th","th","th","th","th","th")),"")</f>
        <v>52nd</v>
      </c>
      <c r="E55" s="62">
        <f>ROWS($B$4:$B55)</f>
        <v>52</v>
      </c>
      <c r="F55" s="62" t="str">
        <f>IF($B55=REPORT_CARD!$M$12,$E55,"")</f>
        <v/>
      </c>
      <c r="G55" s="62" t="str">
        <f t="shared" si="0"/>
        <v/>
      </c>
    </row>
    <row r="56" spans="1:7" ht="13" thickBot="1">
      <c r="A56" s="92">
        <v>53</v>
      </c>
      <c r="B56" s="93" t="s">
        <v>110</v>
      </c>
      <c r="C56" s="94">
        <v>558</v>
      </c>
      <c r="D56" s="67" t="str">
        <f>IFERROR(position_two&amp;IF(AND(MOD(ABS(position_two),100)&gt;10,MOD(ABS(position_two),100)&lt;14),"th", CHOOSE(MOD(ABS(position_two),10)+1,"th","st","nd","rd","th","th","th","th","th","th")),"")</f>
        <v>52nd</v>
      </c>
      <c r="E56" s="62">
        <f>ROWS($B$4:$B56)</f>
        <v>53</v>
      </c>
      <c r="F56" s="62" t="str">
        <f>IF($B56=REPORT_CARD!$M$12,$E56,"")</f>
        <v/>
      </c>
      <c r="G56" s="62" t="str">
        <f t="shared" si="0"/>
        <v/>
      </c>
    </row>
    <row r="57" spans="1:7" ht="13" thickBot="1">
      <c r="A57" s="92">
        <v>54</v>
      </c>
      <c r="B57" s="93" t="s">
        <v>91</v>
      </c>
      <c r="C57" s="94">
        <v>558</v>
      </c>
      <c r="D57" s="67" t="str">
        <f>IFERROR(position_two&amp;IF(AND(MOD(ABS(position_two),100)&gt;10,MOD(ABS(position_two),100)&lt;14),"th", CHOOSE(MOD(ABS(position_two),10)+1,"th","st","nd","rd","th","th","th","th","th","th")),"")</f>
        <v>52nd</v>
      </c>
      <c r="E57" s="62">
        <f>ROWS($B$4:$B57)</f>
        <v>54</v>
      </c>
      <c r="F57" s="62" t="str">
        <f>IF($B57=REPORT_CARD!$M$12,$E57,"")</f>
        <v/>
      </c>
      <c r="G57" s="62" t="str">
        <f t="shared" si="0"/>
        <v/>
      </c>
    </row>
    <row r="58" spans="1:7" ht="13" thickBot="1">
      <c r="A58" s="92">
        <v>55</v>
      </c>
      <c r="B58" s="93" t="s">
        <v>172</v>
      </c>
      <c r="C58" s="94">
        <v>558</v>
      </c>
      <c r="D58" s="67" t="str">
        <f>IFERROR(position_two&amp;IF(AND(MOD(ABS(position_two),100)&gt;10,MOD(ABS(position_two),100)&lt;14),"th", CHOOSE(MOD(ABS(position_two),10)+1,"th","st","nd","rd","th","th","th","th","th","th")),"")</f>
        <v>52nd</v>
      </c>
      <c r="E58" s="62">
        <f>ROWS($B$4:$B58)</f>
        <v>55</v>
      </c>
      <c r="F58" s="62" t="str">
        <f>IF($B58=REPORT_CARD!$M$12,$E58,"")</f>
        <v/>
      </c>
      <c r="G58" s="62" t="str">
        <f t="shared" si="0"/>
        <v/>
      </c>
    </row>
    <row r="59" spans="1:7" ht="13" thickBot="1">
      <c r="A59" s="92">
        <v>56</v>
      </c>
      <c r="B59" s="93" t="s">
        <v>97</v>
      </c>
      <c r="C59" s="94">
        <v>557</v>
      </c>
      <c r="D59" s="67" t="str">
        <f>IFERROR(position_two&amp;IF(AND(MOD(ABS(position_two),100)&gt;10,MOD(ABS(position_two),100)&lt;14),"th", CHOOSE(MOD(ABS(position_two),10)+1,"th","st","nd","rd","th","th","th","th","th","th")),"")</f>
        <v>56th</v>
      </c>
      <c r="E59" s="62">
        <f>ROWS($B$4:$B59)</f>
        <v>56</v>
      </c>
      <c r="F59" s="62" t="str">
        <f>IF($B59=REPORT_CARD!$M$12,$E59,"")</f>
        <v/>
      </c>
      <c r="G59" s="62" t="str">
        <f t="shared" si="0"/>
        <v/>
      </c>
    </row>
    <row r="60" spans="1:7" ht="13" thickBot="1">
      <c r="A60" s="92">
        <v>57</v>
      </c>
      <c r="B60" s="93" t="s">
        <v>106</v>
      </c>
      <c r="C60" s="94">
        <v>556</v>
      </c>
      <c r="D60" s="67" t="str">
        <f>IFERROR(position_two&amp;IF(AND(MOD(ABS(position_two),100)&gt;10,MOD(ABS(position_two),100)&lt;14),"th", CHOOSE(MOD(ABS(position_two),10)+1,"th","st","nd","rd","th","th","th","th","th","th")),"")</f>
        <v>57th</v>
      </c>
      <c r="E60" s="62">
        <f>ROWS($B$4:$B60)</f>
        <v>57</v>
      </c>
      <c r="F60" s="62" t="str">
        <f>IF($B60=REPORT_CARD!$M$12,$E60,"")</f>
        <v/>
      </c>
      <c r="G60" s="62" t="str">
        <f t="shared" si="0"/>
        <v/>
      </c>
    </row>
    <row r="61" spans="1:7" ht="13" thickBot="1">
      <c r="A61" s="95">
        <v>58</v>
      </c>
      <c r="B61" s="93" t="s">
        <v>173</v>
      </c>
      <c r="C61" s="94">
        <v>555</v>
      </c>
      <c r="D61" s="67" t="str">
        <f>IFERROR(position_two&amp;IF(AND(MOD(ABS(position_two),100)&gt;10,MOD(ABS(position_two),100)&lt;14),"th", CHOOSE(MOD(ABS(position_two),10)+1,"th","st","nd","rd","th","th","th","th","th","th")),"")</f>
        <v>58th</v>
      </c>
      <c r="E61" s="62">
        <f>ROWS($B$4:$B61)</f>
        <v>58</v>
      </c>
      <c r="F61" s="62" t="str">
        <f>IF($B61=REPORT_CARD!$M$12,$E61,"")</f>
        <v/>
      </c>
      <c r="G61" s="62" t="str">
        <f t="shared" si="0"/>
        <v/>
      </c>
    </row>
    <row r="62" spans="1:7" ht="13" thickBot="1">
      <c r="A62" s="92">
        <v>59</v>
      </c>
      <c r="B62" s="93" t="s">
        <v>174</v>
      </c>
      <c r="C62" s="94">
        <v>554</v>
      </c>
      <c r="D62" s="67" t="str">
        <f>IFERROR(position_two&amp;IF(AND(MOD(ABS(position_two),100)&gt;10,MOD(ABS(position_two),100)&lt;14),"th", CHOOSE(MOD(ABS(position_two),10)+1,"th","st","nd","rd","th","th","th","th","th","th")),"")</f>
        <v>59th</v>
      </c>
      <c r="E62" s="62">
        <f>ROWS($B$4:$B62)</f>
        <v>59</v>
      </c>
      <c r="F62" s="62" t="str">
        <f>IF($B62=REPORT_CARD!$M$12,$E62,"")</f>
        <v/>
      </c>
      <c r="G62" s="62" t="str">
        <f t="shared" si="0"/>
        <v/>
      </c>
    </row>
    <row r="63" spans="1:7" ht="13" thickBot="1">
      <c r="A63" s="92">
        <v>60</v>
      </c>
      <c r="B63" s="93" t="s">
        <v>175</v>
      </c>
      <c r="C63" s="94">
        <v>554</v>
      </c>
      <c r="D63" s="67" t="str">
        <f>IFERROR(position_two&amp;IF(AND(MOD(ABS(position_two),100)&gt;10,MOD(ABS(position_two),100)&lt;14),"th", CHOOSE(MOD(ABS(position_two),10)+1,"th","st","nd","rd","th","th","th","th","th","th")),"")</f>
        <v>59th</v>
      </c>
      <c r="E63" s="62">
        <f>ROWS($B$4:$B63)</f>
        <v>60</v>
      </c>
      <c r="F63" s="62" t="str">
        <f>IF($B63=REPORT_CARD!$M$12,$E63,"")</f>
        <v/>
      </c>
      <c r="G63" s="62" t="str">
        <f t="shared" si="0"/>
        <v/>
      </c>
    </row>
    <row r="64" spans="1:7" ht="13" thickBot="1">
      <c r="A64" s="92">
        <v>61</v>
      </c>
      <c r="B64" s="93" t="s">
        <v>176</v>
      </c>
      <c r="C64" s="94">
        <v>554</v>
      </c>
      <c r="D64" s="67" t="str">
        <f>IFERROR(position_two&amp;IF(AND(MOD(ABS(position_two),100)&gt;10,MOD(ABS(position_two),100)&lt;14),"th", CHOOSE(MOD(ABS(position_two),10)+1,"th","st","nd","rd","th","th","th","th","th","th")),"")</f>
        <v>59th</v>
      </c>
      <c r="E64" s="62">
        <f>ROWS($B$4:$B64)</f>
        <v>61</v>
      </c>
      <c r="F64" s="62" t="str">
        <f>IF($B64=REPORT_CARD!$M$12,$E64,"")</f>
        <v/>
      </c>
      <c r="G64" s="62" t="str">
        <f t="shared" si="0"/>
        <v/>
      </c>
    </row>
    <row r="65" spans="1:7" ht="13" thickBot="1">
      <c r="A65" s="92">
        <v>62</v>
      </c>
      <c r="B65" s="93" t="s">
        <v>177</v>
      </c>
      <c r="C65" s="94">
        <v>551</v>
      </c>
      <c r="D65" s="67" t="str">
        <f>IFERROR(position_two&amp;IF(AND(MOD(ABS(position_two),100)&gt;10,MOD(ABS(position_two),100)&lt;14),"th", CHOOSE(MOD(ABS(position_two),10)+1,"th","st","nd","rd","th","th","th","th","th","th")),"")</f>
        <v>62nd</v>
      </c>
      <c r="E65" s="62">
        <f>ROWS($B$4:$B65)</f>
        <v>62</v>
      </c>
      <c r="F65" s="62" t="str">
        <f>IF($B65=REPORT_CARD!$M$12,$E65,"")</f>
        <v/>
      </c>
      <c r="G65" s="62" t="str">
        <f t="shared" si="0"/>
        <v/>
      </c>
    </row>
    <row r="66" spans="1:7" ht="13" thickBot="1">
      <c r="A66" s="92">
        <v>63</v>
      </c>
      <c r="B66" s="93" t="s">
        <v>178</v>
      </c>
      <c r="C66" s="94">
        <v>551</v>
      </c>
      <c r="D66" s="67" t="str">
        <f>IFERROR(position_two&amp;IF(AND(MOD(ABS(position_two),100)&gt;10,MOD(ABS(position_two),100)&lt;14),"th", CHOOSE(MOD(ABS(position_two),10)+1,"th","st","nd","rd","th","th","th","th","th","th")),"")</f>
        <v>62nd</v>
      </c>
      <c r="E66" s="62">
        <f>ROWS($B$4:$B66)</f>
        <v>63</v>
      </c>
      <c r="F66" s="62" t="str">
        <f>IF($B66=REPORT_CARD!$M$12,$E66,"")</f>
        <v/>
      </c>
      <c r="G66" s="62" t="str">
        <f t="shared" si="0"/>
        <v/>
      </c>
    </row>
    <row r="67" spans="1:7" ht="13" thickBot="1">
      <c r="A67" s="92">
        <v>64</v>
      </c>
      <c r="B67" s="93" t="s">
        <v>78</v>
      </c>
      <c r="C67" s="94">
        <v>550</v>
      </c>
      <c r="D67" s="67" t="str">
        <f>IFERROR(position_two&amp;IF(AND(MOD(ABS(position_two),100)&gt;10,MOD(ABS(position_two),100)&lt;14),"th", CHOOSE(MOD(ABS(position_two),10)+1,"th","st","nd","rd","th","th","th","th","th","th")),"")</f>
        <v>64th</v>
      </c>
      <c r="E67" s="62">
        <f>ROWS($B$4:$B67)</f>
        <v>64</v>
      </c>
      <c r="F67" s="62" t="str">
        <f>IF($B67=REPORT_CARD!$M$12,$E67,"")</f>
        <v/>
      </c>
      <c r="G67" s="62" t="str">
        <f t="shared" si="0"/>
        <v/>
      </c>
    </row>
    <row r="68" spans="1:7" ht="13" thickBot="1">
      <c r="A68" s="92">
        <v>65</v>
      </c>
      <c r="B68" s="93" t="s">
        <v>179</v>
      </c>
      <c r="C68" s="94">
        <v>550</v>
      </c>
      <c r="D68" s="67" t="str">
        <f>IFERROR(position_two&amp;IF(AND(MOD(ABS(position_two),100)&gt;10,MOD(ABS(position_two),100)&lt;14),"th", CHOOSE(MOD(ABS(position_two),10)+1,"th","st","nd","rd","th","th","th","th","th","th")),"")</f>
        <v>64th</v>
      </c>
      <c r="E68" s="62">
        <f>ROWS($B$4:$B68)</f>
        <v>65</v>
      </c>
      <c r="F68" s="62" t="str">
        <f>IF($B68=REPORT_CARD!$M$12,$E68,"")</f>
        <v/>
      </c>
      <c r="G68" s="62" t="str">
        <f t="shared" si="0"/>
        <v/>
      </c>
    </row>
    <row r="69" spans="1:7" ht="13" thickBot="1">
      <c r="A69" s="92">
        <v>66</v>
      </c>
      <c r="B69" s="93" t="s">
        <v>180</v>
      </c>
      <c r="C69" s="94">
        <v>545</v>
      </c>
      <c r="D69" s="67" t="str">
        <f>IFERROR(position_two&amp;IF(AND(MOD(ABS(position_two),100)&gt;10,MOD(ABS(position_two),100)&lt;14),"th", CHOOSE(MOD(ABS(position_two),10)+1,"th","st","nd","rd","th","th","th","th","th","th")),"")</f>
        <v>66th</v>
      </c>
      <c r="E69" s="62">
        <f>ROWS($B$4:$B69)</f>
        <v>66</v>
      </c>
      <c r="F69" s="62" t="str">
        <f>IF($B69=REPORT_CARD!$M$12,$E69,"")</f>
        <v/>
      </c>
      <c r="G69" s="62" t="str">
        <f t="shared" ref="G69:G132" si="1">IFERROR(SMALL($F$4:$F$231,$E69),"")</f>
        <v/>
      </c>
    </row>
    <row r="70" spans="1:7" ht="13" thickBot="1">
      <c r="A70" s="92">
        <v>67</v>
      </c>
      <c r="B70" s="93" t="s">
        <v>181</v>
      </c>
      <c r="C70" s="94">
        <v>544</v>
      </c>
      <c r="D70" s="67" t="str">
        <f>IFERROR(position_two&amp;IF(AND(MOD(ABS(position_two),100)&gt;10,MOD(ABS(position_two),100)&lt;14),"th", CHOOSE(MOD(ABS(position_two),10)+1,"th","st","nd","rd","th","th","th","th","th","th")),"")</f>
        <v>67th</v>
      </c>
      <c r="E70" s="62">
        <f>ROWS($B$4:$B70)</f>
        <v>67</v>
      </c>
      <c r="F70" s="62" t="str">
        <f>IF($B70=REPORT_CARD!$M$12,$E70,"")</f>
        <v/>
      </c>
      <c r="G70" s="62" t="str">
        <f t="shared" si="1"/>
        <v/>
      </c>
    </row>
    <row r="71" spans="1:7" ht="13" thickBot="1">
      <c r="A71" s="92">
        <v>68</v>
      </c>
      <c r="B71" s="93" t="s">
        <v>182</v>
      </c>
      <c r="C71" s="94">
        <v>544</v>
      </c>
      <c r="D71" s="67" t="str">
        <f>IFERROR(position_two&amp;IF(AND(MOD(ABS(position_two),100)&gt;10,MOD(ABS(position_two),100)&lt;14),"th", CHOOSE(MOD(ABS(position_two),10)+1,"th","st","nd","rd","th","th","th","th","th","th")),"")</f>
        <v>67th</v>
      </c>
      <c r="E71" s="62">
        <f>ROWS($B$4:$B71)</f>
        <v>68</v>
      </c>
      <c r="F71" s="62" t="str">
        <f>IF($B71=REPORT_CARD!$M$12,$E71,"")</f>
        <v/>
      </c>
      <c r="G71" s="62" t="str">
        <f t="shared" si="1"/>
        <v/>
      </c>
    </row>
    <row r="72" spans="1:7" ht="13" thickBot="1">
      <c r="A72" s="92">
        <v>69</v>
      </c>
      <c r="B72" s="93" t="s">
        <v>183</v>
      </c>
      <c r="C72" s="94">
        <v>542</v>
      </c>
      <c r="D72" s="67" t="str">
        <f>IFERROR(position_two&amp;IF(AND(MOD(ABS(position_two),100)&gt;10,MOD(ABS(position_two),100)&lt;14),"th", CHOOSE(MOD(ABS(position_two),10)+1,"th","st","nd","rd","th","th","th","th","th","th")),"")</f>
        <v>69th</v>
      </c>
      <c r="E72" s="62">
        <f>ROWS($B$4:$B72)</f>
        <v>69</v>
      </c>
      <c r="F72" s="62" t="str">
        <f>IF($B72=REPORT_CARD!$M$12,$E72,"")</f>
        <v/>
      </c>
      <c r="G72" s="62" t="str">
        <f t="shared" si="1"/>
        <v/>
      </c>
    </row>
    <row r="73" spans="1:7" ht="13" thickBot="1">
      <c r="A73" s="92">
        <v>70</v>
      </c>
      <c r="B73" s="93" t="s">
        <v>184</v>
      </c>
      <c r="C73" s="94">
        <v>541</v>
      </c>
      <c r="D73" s="67" t="str">
        <f>IFERROR(position_two&amp;IF(AND(MOD(ABS(position_two),100)&gt;10,MOD(ABS(position_two),100)&lt;14),"th", CHOOSE(MOD(ABS(position_two),10)+1,"th","st","nd","rd","th","th","th","th","th","th")),"")</f>
        <v>70th</v>
      </c>
      <c r="E73" s="62">
        <f>ROWS($B$4:$B73)</f>
        <v>70</v>
      </c>
      <c r="F73" s="62" t="str">
        <f>IF($B73=REPORT_CARD!$M$12,$E73,"")</f>
        <v/>
      </c>
      <c r="G73" s="62" t="str">
        <f t="shared" si="1"/>
        <v/>
      </c>
    </row>
    <row r="74" spans="1:7" ht="13" thickBot="1">
      <c r="A74" s="92">
        <v>71</v>
      </c>
      <c r="B74" s="93" t="s">
        <v>185</v>
      </c>
      <c r="C74" s="94">
        <v>539</v>
      </c>
      <c r="D74" s="67" t="str">
        <f>IFERROR(position_two&amp;IF(AND(MOD(ABS(position_two),100)&gt;10,MOD(ABS(position_two),100)&lt;14),"th", CHOOSE(MOD(ABS(position_two),10)+1,"th","st","nd","rd","th","th","th","th","th","th")),"")</f>
        <v>71st</v>
      </c>
      <c r="E74" s="62">
        <f>ROWS($B$4:$B74)</f>
        <v>71</v>
      </c>
      <c r="F74" s="62" t="str">
        <f>IF($B74=REPORT_CARD!$M$12,$E74,"")</f>
        <v/>
      </c>
      <c r="G74" s="62" t="str">
        <f t="shared" si="1"/>
        <v/>
      </c>
    </row>
    <row r="75" spans="1:7" ht="13" thickBot="1">
      <c r="A75" s="92">
        <v>72</v>
      </c>
      <c r="B75" s="93" t="s">
        <v>186</v>
      </c>
      <c r="C75" s="94">
        <v>538</v>
      </c>
      <c r="D75" s="67" t="str">
        <f>IFERROR(position_two&amp;IF(AND(MOD(ABS(position_two),100)&gt;10,MOD(ABS(position_two),100)&lt;14),"th", CHOOSE(MOD(ABS(position_two),10)+1,"th","st","nd","rd","th","th","th","th","th","th")),"")</f>
        <v>72nd</v>
      </c>
      <c r="E75" s="62">
        <f>ROWS($B$4:$B75)</f>
        <v>72</v>
      </c>
      <c r="F75" s="62" t="str">
        <f>IF($B75=REPORT_CARD!$M$12,$E75,"")</f>
        <v/>
      </c>
      <c r="G75" s="62" t="str">
        <f t="shared" si="1"/>
        <v/>
      </c>
    </row>
    <row r="76" spans="1:7" ht="13" thickBot="1">
      <c r="A76" s="92">
        <v>73</v>
      </c>
      <c r="B76" s="93" t="s">
        <v>187</v>
      </c>
      <c r="C76" s="94">
        <v>537</v>
      </c>
      <c r="D76" s="67" t="str">
        <f>IFERROR(position_two&amp;IF(AND(MOD(ABS(position_two),100)&gt;10,MOD(ABS(position_two),100)&lt;14),"th", CHOOSE(MOD(ABS(position_two),10)+1,"th","st","nd","rd","th","th","th","th","th","th")),"")</f>
        <v>73rd</v>
      </c>
      <c r="E76" s="62">
        <f>ROWS($B$4:$B76)</f>
        <v>73</v>
      </c>
      <c r="F76" s="62" t="str">
        <f>IF($B76=REPORT_CARD!$M$12,$E76,"")</f>
        <v/>
      </c>
      <c r="G76" s="62" t="str">
        <f t="shared" si="1"/>
        <v/>
      </c>
    </row>
    <row r="77" spans="1:7" ht="13" thickBot="1">
      <c r="A77" s="92">
        <v>74</v>
      </c>
      <c r="B77" s="93" t="s">
        <v>188</v>
      </c>
      <c r="C77" s="94">
        <v>537</v>
      </c>
      <c r="D77" s="67" t="str">
        <f>IFERROR(position_two&amp;IF(AND(MOD(ABS(position_two),100)&gt;10,MOD(ABS(position_two),100)&lt;14),"th", CHOOSE(MOD(ABS(position_two),10)+1,"th","st","nd","rd","th","th","th","th","th","th")),"")</f>
        <v>73rd</v>
      </c>
      <c r="E77" s="62">
        <f>ROWS($B$4:$B77)</f>
        <v>74</v>
      </c>
      <c r="F77" s="62" t="str">
        <f>IF($B77=REPORT_CARD!$M$12,$E77,"")</f>
        <v/>
      </c>
      <c r="G77" s="62" t="str">
        <f t="shared" si="1"/>
        <v/>
      </c>
    </row>
    <row r="78" spans="1:7" ht="13" thickBot="1">
      <c r="A78" s="92">
        <v>75</v>
      </c>
      <c r="B78" s="93" t="s">
        <v>189</v>
      </c>
      <c r="C78" s="94">
        <v>537</v>
      </c>
      <c r="D78" s="67" t="str">
        <f>IFERROR(position_two&amp;IF(AND(MOD(ABS(position_two),100)&gt;10,MOD(ABS(position_two),100)&lt;14),"th", CHOOSE(MOD(ABS(position_two),10)+1,"th","st","nd","rd","th","th","th","th","th","th")),"")</f>
        <v>73rd</v>
      </c>
      <c r="E78" s="62">
        <f>ROWS($B$4:$B78)</f>
        <v>75</v>
      </c>
      <c r="F78" s="62" t="str">
        <f>IF($B78=REPORT_CARD!$M$12,$E78,"")</f>
        <v/>
      </c>
      <c r="G78" s="62" t="str">
        <f t="shared" si="1"/>
        <v/>
      </c>
    </row>
    <row r="79" spans="1:7" ht="13" thickBot="1">
      <c r="A79" s="92">
        <v>76</v>
      </c>
      <c r="B79" s="93" t="s">
        <v>102</v>
      </c>
      <c r="C79" s="94">
        <v>536</v>
      </c>
      <c r="D79" s="67" t="str">
        <f>IFERROR(position_two&amp;IF(AND(MOD(ABS(position_two),100)&gt;10,MOD(ABS(position_two),100)&lt;14),"th", CHOOSE(MOD(ABS(position_two),10)+1,"th","st","nd","rd","th","th","th","th","th","th")),"")</f>
        <v>76th</v>
      </c>
      <c r="E79" s="62">
        <f>ROWS($B$4:$B79)</f>
        <v>76</v>
      </c>
      <c r="F79" s="62" t="str">
        <f>IF($B79=REPORT_CARD!$M$12,$E79,"")</f>
        <v/>
      </c>
      <c r="G79" s="62" t="str">
        <f t="shared" si="1"/>
        <v/>
      </c>
    </row>
    <row r="80" spans="1:7" ht="13" thickBot="1">
      <c r="A80" s="92">
        <v>77</v>
      </c>
      <c r="B80" s="93" t="s">
        <v>117</v>
      </c>
      <c r="C80" s="94">
        <v>535</v>
      </c>
      <c r="D80" s="67" t="str">
        <f>IFERROR(position_two&amp;IF(AND(MOD(ABS(position_two),100)&gt;10,MOD(ABS(position_two),100)&lt;14),"th", CHOOSE(MOD(ABS(position_two),10)+1,"th","st","nd","rd","th","th","th","th","th","th")),"")</f>
        <v>77th</v>
      </c>
      <c r="E80" s="62">
        <f>ROWS($B$4:$B80)</f>
        <v>77</v>
      </c>
      <c r="F80" s="62" t="str">
        <f>IF($B80=REPORT_CARD!$M$12,$E80,"")</f>
        <v/>
      </c>
      <c r="G80" s="62" t="str">
        <f t="shared" si="1"/>
        <v/>
      </c>
    </row>
    <row r="81" spans="1:7" ht="13" thickBot="1">
      <c r="A81" s="92">
        <v>78</v>
      </c>
      <c r="B81" s="93" t="s">
        <v>120</v>
      </c>
      <c r="C81" s="94">
        <v>532</v>
      </c>
      <c r="D81" s="67" t="str">
        <f>IFERROR(position_two&amp;IF(AND(MOD(ABS(position_two),100)&gt;10,MOD(ABS(position_two),100)&lt;14),"th", CHOOSE(MOD(ABS(position_two),10)+1,"th","st","nd","rd","th","th","th","th","th","th")),"")</f>
        <v>78th</v>
      </c>
      <c r="E81" s="62">
        <f>ROWS($B$4:$B81)</f>
        <v>78</v>
      </c>
      <c r="F81" s="62" t="str">
        <f>IF($B81=REPORT_CARD!$M$12,$E81,"")</f>
        <v/>
      </c>
      <c r="G81" s="62" t="str">
        <f t="shared" si="1"/>
        <v/>
      </c>
    </row>
    <row r="82" spans="1:7" ht="13" thickBot="1">
      <c r="A82" s="92">
        <v>79</v>
      </c>
      <c r="B82" s="93" t="s">
        <v>190</v>
      </c>
      <c r="C82" s="94">
        <v>530</v>
      </c>
      <c r="D82" s="67" t="str">
        <f>IFERROR(position_two&amp;IF(AND(MOD(ABS(position_two),100)&gt;10,MOD(ABS(position_two),100)&lt;14),"th", CHOOSE(MOD(ABS(position_two),10)+1,"th","st","nd","rd","th","th","th","th","th","th")),"")</f>
        <v>79th</v>
      </c>
      <c r="E82" s="62">
        <f>ROWS($B$4:$B82)</f>
        <v>79</v>
      </c>
      <c r="F82" s="62" t="str">
        <f>IF($B82=REPORT_CARD!$M$12,$E82,"")</f>
        <v/>
      </c>
      <c r="G82" s="62" t="str">
        <f t="shared" si="1"/>
        <v/>
      </c>
    </row>
    <row r="83" spans="1:7" ht="13" thickBot="1">
      <c r="A83" s="92">
        <v>80</v>
      </c>
      <c r="B83" s="93" t="s">
        <v>191</v>
      </c>
      <c r="C83" s="94">
        <v>528</v>
      </c>
      <c r="D83" s="67" t="str">
        <f>IFERROR(position_two&amp;IF(AND(MOD(ABS(position_two),100)&gt;10,MOD(ABS(position_two),100)&lt;14),"th", CHOOSE(MOD(ABS(position_two),10)+1,"th","st","nd","rd","th","th","th","th","th","th")),"")</f>
        <v>80th</v>
      </c>
      <c r="E83" s="62">
        <f>ROWS($B$4:$B83)</f>
        <v>80</v>
      </c>
      <c r="F83" s="62" t="str">
        <f>IF($B83=REPORT_CARD!$M$12,$E83,"")</f>
        <v/>
      </c>
      <c r="G83" s="62" t="str">
        <f t="shared" si="1"/>
        <v/>
      </c>
    </row>
    <row r="84" spans="1:7" ht="13" thickBot="1">
      <c r="A84" s="92">
        <v>81</v>
      </c>
      <c r="B84" s="93" t="s">
        <v>192</v>
      </c>
      <c r="C84" s="94">
        <v>526</v>
      </c>
      <c r="D84" s="67" t="str">
        <f>IFERROR(position_two&amp;IF(AND(MOD(ABS(position_two),100)&gt;10,MOD(ABS(position_two),100)&lt;14),"th", CHOOSE(MOD(ABS(position_two),10)+1,"th","st","nd","rd","th","th","th","th","th","th")),"")</f>
        <v>81st</v>
      </c>
      <c r="E84" s="62">
        <f>ROWS($B$4:$B84)</f>
        <v>81</v>
      </c>
      <c r="F84" s="62" t="str">
        <f>IF($B84=REPORT_CARD!$M$12,$E84,"")</f>
        <v/>
      </c>
      <c r="G84" s="62" t="str">
        <f t="shared" si="1"/>
        <v/>
      </c>
    </row>
    <row r="85" spans="1:7" ht="13" thickBot="1">
      <c r="A85" s="92">
        <v>82</v>
      </c>
      <c r="B85" s="93" t="s">
        <v>193</v>
      </c>
      <c r="C85" s="94">
        <v>525</v>
      </c>
      <c r="D85" s="67" t="str">
        <f>IFERROR(position_two&amp;IF(AND(MOD(ABS(position_two),100)&gt;10,MOD(ABS(position_two),100)&lt;14),"th", CHOOSE(MOD(ABS(position_two),10)+1,"th","st","nd","rd","th","th","th","th","th","th")),"")</f>
        <v>82nd</v>
      </c>
      <c r="E85" s="62">
        <f>ROWS($B$4:$B85)</f>
        <v>82</v>
      </c>
      <c r="F85" s="62" t="str">
        <f>IF($B85=REPORT_CARD!$M$12,$E85,"")</f>
        <v/>
      </c>
      <c r="G85" s="62" t="str">
        <f t="shared" si="1"/>
        <v/>
      </c>
    </row>
    <row r="86" spans="1:7" ht="13" thickBot="1">
      <c r="A86" s="92">
        <v>83</v>
      </c>
      <c r="B86" s="93" t="s">
        <v>194</v>
      </c>
      <c r="C86" s="94">
        <v>524</v>
      </c>
      <c r="D86" s="67" t="str">
        <f>IFERROR(position_two&amp;IF(AND(MOD(ABS(position_two),100)&gt;10,MOD(ABS(position_two),100)&lt;14),"th", CHOOSE(MOD(ABS(position_two),10)+1,"th","st","nd","rd","th","th","th","th","th","th")),"")</f>
        <v>83rd</v>
      </c>
      <c r="E86" s="62">
        <f>ROWS($B$4:$B86)</f>
        <v>83</v>
      </c>
      <c r="F86" s="62" t="str">
        <f>IF($B86=REPORT_CARD!$M$12,$E86,"")</f>
        <v/>
      </c>
      <c r="G86" s="62" t="str">
        <f t="shared" si="1"/>
        <v/>
      </c>
    </row>
    <row r="87" spans="1:7" ht="13" thickBot="1">
      <c r="A87" s="92">
        <v>84</v>
      </c>
      <c r="B87" s="93" t="s">
        <v>195</v>
      </c>
      <c r="C87" s="94">
        <v>524</v>
      </c>
      <c r="D87" s="67" t="str">
        <f>IFERROR(position_two&amp;IF(AND(MOD(ABS(position_two),100)&gt;10,MOD(ABS(position_two),100)&lt;14),"th", CHOOSE(MOD(ABS(position_two),10)+1,"th","st","nd","rd","th","th","th","th","th","th")),"")</f>
        <v>83rd</v>
      </c>
      <c r="E87" s="62">
        <f>ROWS($B$4:$B87)</f>
        <v>84</v>
      </c>
      <c r="F87" s="62" t="str">
        <f>IF($B87=REPORT_CARD!$M$12,$E87,"")</f>
        <v/>
      </c>
      <c r="G87" s="62" t="str">
        <f t="shared" si="1"/>
        <v/>
      </c>
    </row>
    <row r="88" spans="1:7" ht="13" thickBot="1">
      <c r="A88" s="92">
        <v>85</v>
      </c>
      <c r="B88" s="93" t="s">
        <v>196</v>
      </c>
      <c r="C88" s="94">
        <v>524</v>
      </c>
      <c r="D88" s="67" t="str">
        <f>IFERROR(position_two&amp;IF(AND(MOD(ABS(position_two),100)&gt;10,MOD(ABS(position_two),100)&lt;14),"th", CHOOSE(MOD(ABS(position_two),10)+1,"th","st","nd","rd","th","th","th","th","th","th")),"")</f>
        <v>83rd</v>
      </c>
      <c r="E88" s="62">
        <f>ROWS($B$4:$B88)</f>
        <v>85</v>
      </c>
      <c r="F88" s="62" t="str">
        <f>IF($B88=REPORT_CARD!$M$12,$E88,"")</f>
        <v/>
      </c>
      <c r="G88" s="62" t="str">
        <f t="shared" si="1"/>
        <v/>
      </c>
    </row>
    <row r="89" spans="1:7" ht="13" thickBot="1">
      <c r="A89" s="92">
        <v>86</v>
      </c>
      <c r="B89" s="93" t="s">
        <v>197</v>
      </c>
      <c r="C89" s="94">
        <v>523</v>
      </c>
      <c r="D89" s="67" t="str">
        <f>IFERROR(position_two&amp;IF(AND(MOD(ABS(position_two),100)&gt;10,MOD(ABS(position_two),100)&lt;14),"th", CHOOSE(MOD(ABS(position_two),10)+1,"th","st","nd","rd","th","th","th","th","th","th")),"")</f>
        <v>86th</v>
      </c>
      <c r="E89" s="62">
        <f>ROWS($B$4:$B89)</f>
        <v>86</v>
      </c>
      <c r="F89" s="62" t="str">
        <f>IF($B89=REPORT_CARD!$M$12,$E89,"")</f>
        <v/>
      </c>
      <c r="G89" s="62" t="str">
        <f t="shared" si="1"/>
        <v/>
      </c>
    </row>
    <row r="90" spans="1:7" ht="13" thickBot="1">
      <c r="A90" s="92">
        <v>87</v>
      </c>
      <c r="B90" s="93" t="s">
        <v>198</v>
      </c>
      <c r="C90" s="94">
        <v>522</v>
      </c>
      <c r="D90" s="67" t="str">
        <f>IFERROR(position_two&amp;IF(AND(MOD(ABS(position_two),100)&gt;10,MOD(ABS(position_two),100)&lt;14),"th", CHOOSE(MOD(ABS(position_two),10)+1,"th","st","nd","rd","th","th","th","th","th","th")),"")</f>
        <v>87th</v>
      </c>
      <c r="E90" s="62">
        <f>ROWS($B$4:$B90)</f>
        <v>87</v>
      </c>
      <c r="F90" s="62" t="str">
        <f>IF($B90=REPORT_CARD!$M$12,$E90,"")</f>
        <v/>
      </c>
      <c r="G90" s="62" t="str">
        <f t="shared" si="1"/>
        <v/>
      </c>
    </row>
    <row r="91" spans="1:7" ht="13" thickBot="1">
      <c r="A91" s="92">
        <v>88</v>
      </c>
      <c r="B91" s="93" t="s">
        <v>67</v>
      </c>
      <c r="C91" s="94">
        <v>521</v>
      </c>
      <c r="D91" s="67" t="str">
        <f>IFERROR(position_two&amp;IF(AND(MOD(ABS(position_two),100)&gt;10,MOD(ABS(position_two),100)&lt;14),"th", CHOOSE(MOD(ABS(position_two),10)+1,"th","st","nd","rd","th","th","th","th","th","th")),"")</f>
        <v>88th</v>
      </c>
      <c r="E91" s="62">
        <f>ROWS($B$4:$B91)</f>
        <v>88</v>
      </c>
      <c r="F91" s="62" t="str">
        <f>IF($B91=REPORT_CARD!$M$12,$E91,"")</f>
        <v/>
      </c>
      <c r="G91" s="62" t="str">
        <f t="shared" si="1"/>
        <v/>
      </c>
    </row>
    <row r="92" spans="1:7" ht="13" thickBot="1">
      <c r="A92" s="92">
        <v>89</v>
      </c>
      <c r="B92" s="93" t="s">
        <v>100</v>
      </c>
      <c r="C92" s="94">
        <v>520</v>
      </c>
      <c r="D92" s="67" t="str">
        <f>IFERROR(position_two&amp;IF(AND(MOD(ABS(position_two),100)&gt;10,MOD(ABS(position_two),100)&lt;14),"th", CHOOSE(MOD(ABS(position_two),10)+1,"th","st","nd","rd","th","th","th","th","th","th")),"")</f>
        <v>89th</v>
      </c>
      <c r="E92" s="62">
        <f>ROWS($B$4:$B92)</f>
        <v>89</v>
      </c>
      <c r="F92" s="62" t="str">
        <f>IF($B92=REPORT_CARD!$M$12,$E92,"")</f>
        <v/>
      </c>
      <c r="G92" s="62" t="str">
        <f t="shared" si="1"/>
        <v/>
      </c>
    </row>
    <row r="93" spans="1:7" ht="13" thickBot="1">
      <c r="A93" s="92">
        <v>90</v>
      </c>
      <c r="B93" s="93" t="s">
        <v>199</v>
      </c>
      <c r="C93" s="94">
        <v>520</v>
      </c>
      <c r="D93" s="67" t="str">
        <f>IFERROR(position_two&amp;IF(AND(MOD(ABS(position_two),100)&gt;10,MOD(ABS(position_two),100)&lt;14),"th", CHOOSE(MOD(ABS(position_two),10)+1,"th","st","nd","rd","th","th","th","th","th","th")),"")</f>
        <v>89th</v>
      </c>
      <c r="E93" s="62">
        <f>ROWS($B$4:$B93)</f>
        <v>90</v>
      </c>
      <c r="F93" s="62" t="str">
        <f>IF($B93=REPORT_CARD!$M$12,$E93,"")</f>
        <v/>
      </c>
      <c r="G93" s="62" t="str">
        <f t="shared" si="1"/>
        <v/>
      </c>
    </row>
    <row r="94" spans="1:7" ht="13" thickBot="1">
      <c r="A94" s="92">
        <v>91</v>
      </c>
      <c r="B94" s="93" t="s">
        <v>200</v>
      </c>
      <c r="C94" s="94">
        <v>518</v>
      </c>
      <c r="D94" s="67" t="str">
        <f>IFERROR(position_two&amp;IF(AND(MOD(ABS(position_two),100)&gt;10,MOD(ABS(position_two),100)&lt;14),"th", CHOOSE(MOD(ABS(position_two),10)+1,"th","st","nd","rd","th","th","th","th","th","th")),"")</f>
        <v>91st</v>
      </c>
      <c r="E94" s="62">
        <f>ROWS($B$4:$B94)</f>
        <v>91</v>
      </c>
      <c r="F94" s="62" t="str">
        <f>IF($B94=REPORT_CARD!$M$12,$E94,"")</f>
        <v/>
      </c>
      <c r="G94" s="62" t="str">
        <f t="shared" si="1"/>
        <v/>
      </c>
    </row>
    <row r="95" spans="1:7" ht="13" thickBot="1">
      <c r="A95" s="92">
        <v>92</v>
      </c>
      <c r="B95" s="93" t="s">
        <v>201</v>
      </c>
      <c r="C95" s="94">
        <v>518</v>
      </c>
      <c r="D95" s="67" t="str">
        <f>IFERROR(position_two&amp;IF(AND(MOD(ABS(position_two),100)&gt;10,MOD(ABS(position_two),100)&lt;14),"th", CHOOSE(MOD(ABS(position_two),10)+1,"th","st","nd","rd","th","th","th","th","th","th")),"")</f>
        <v>91st</v>
      </c>
      <c r="E95" s="62">
        <f>ROWS($B$4:$B95)</f>
        <v>92</v>
      </c>
      <c r="F95" s="62" t="str">
        <f>IF($B95=REPORT_CARD!$M$12,$E95,"")</f>
        <v/>
      </c>
      <c r="G95" s="62" t="str">
        <f t="shared" si="1"/>
        <v/>
      </c>
    </row>
    <row r="96" spans="1:7" ht="13" thickBot="1">
      <c r="A96" s="92">
        <v>93</v>
      </c>
      <c r="B96" s="93" t="s">
        <v>99</v>
      </c>
      <c r="C96" s="94">
        <v>515</v>
      </c>
      <c r="D96" s="67" t="str">
        <f>IFERROR(position_two&amp;IF(AND(MOD(ABS(position_two),100)&gt;10,MOD(ABS(position_two),100)&lt;14),"th", CHOOSE(MOD(ABS(position_two),10)+1,"th","st","nd","rd","th","th","th","th","th","th")),"")</f>
        <v>93rd</v>
      </c>
      <c r="E96" s="62">
        <f>ROWS($B$4:$B96)</f>
        <v>93</v>
      </c>
      <c r="F96" s="62" t="str">
        <f>IF($B96=REPORT_CARD!$M$12,$E96,"")</f>
        <v/>
      </c>
      <c r="G96" s="62" t="str">
        <f t="shared" si="1"/>
        <v/>
      </c>
    </row>
    <row r="97" spans="1:7" ht="13" thickBot="1">
      <c r="A97" s="92">
        <v>94</v>
      </c>
      <c r="B97" s="93" t="s">
        <v>202</v>
      </c>
      <c r="C97" s="94">
        <v>515</v>
      </c>
      <c r="D97" s="67" t="str">
        <f>IFERROR(position_two&amp;IF(AND(MOD(ABS(position_two),100)&gt;10,MOD(ABS(position_two),100)&lt;14),"th", CHOOSE(MOD(ABS(position_two),10)+1,"th","st","nd","rd","th","th","th","th","th","th")),"")</f>
        <v>93rd</v>
      </c>
      <c r="E97" s="62">
        <f>ROWS($B$4:$B97)</f>
        <v>94</v>
      </c>
      <c r="F97" s="62" t="str">
        <f>IF($B97=REPORT_CARD!$M$12,$E97,"")</f>
        <v/>
      </c>
      <c r="G97" s="62" t="str">
        <f t="shared" si="1"/>
        <v/>
      </c>
    </row>
    <row r="98" spans="1:7" ht="13" thickBot="1">
      <c r="A98" s="92">
        <v>95</v>
      </c>
      <c r="B98" s="93" t="s">
        <v>203</v>
      </c>
      <c r="C98" s="94">
        <v>515</v>
      </c>
      <c r="D98" s="67" t="str">
        <f>IFERROR(position_two&amp;IF(AND(MOD(ABS(position_two),100)&gt;10,MOD(ABS(position_two),100)&lt;14),"th", CHOOSE(MOD(ABS(position_two),10)+1,"th","st","nd","rd","th","th","th","th","th","th")),"")</f>
        <v>93rd</v>
      </c>
      <c r="E98" s="62">
        <f>ROWS($B$4:$B98)</f>
        <v>95</v>
      </c>
      <c r="F98" s="62" t="str">
        <f>IF($B98=REPORT_CARD!$M$12,$E98,"")</f>
        <v/>
      </c>
      <c r="G98" s="62" t="str">
        <f t="shared" si="1"/>
        <v/>
      </c>
    </row>
    <row r="99" spans="1:7" ht="13" thickBot="1">
      <c r="A99" s="92">
        <v>96</v>
      </c>
      <c r="B99" s="93" t="s">
        <v>204</v>
      </c>
      <c r="C99" s="94">
        <v>515</v>
      </c>
      <c r="D99" s="67" t="str">
        <f>IFERROR(position_two&amp;IF(AND(MOD(ABS(position_two),100)&gt;10,MOD(ABS(position_two),100)&lt;14),"th", CHOOSE(MOD(ABS(position_two),10)+1,"th","st","nd","rd","th","th","th","th","th","th")),"")</f>
        <v>93rd</v>
      </c>
      <c r="E99" s="62">
        <f>ROWS($B$4:$B99)</f>
        <v>96</v>
      </c>
      <c r="F99" s="62" t="str">
        <f>IF($B99=REPORT_CARD!$M$12,$E99,"")</f>
        <v/>
      </c>
      <c r="G99" s="62" t="str">
        <f t="shared" si="1"/>
        <v/>
      </c>
    </row>
    <row r="100" spans="1:7" ht="13" thickBot="1">
      <c r="A100" s="92">
        <v>97</v>
      </c>
      <c r="B100" s="93" t="s">
        <v>205</v>
      </c>
      <c r="C100" s="94">
        <v>513</v>
      </c>
      <c r="D100" s="67" t="str">
        <f>IFERROR(position_two&amp;IF(AND(MOD(ABS(position_two),100)&gt;10,MOD(ABS(position_two),100)&lt;14),"th", CHOOSE(MOD(ABS(position_two),10)+1,"th","st","nd","rd","th","th","th","th","th","th")),"")</f>
        <v>97th</v>
      </c>
      <c r="E100" s="62">
        <f>ROWS($B$4:$B100)</f>
        <v>97</v>
      </c>
      <c r="F100" s="62" t="str">
        <f>IF($B100=REPORT_CARD!$M$12,$E100,"")</f>
        <v/>
      </c>
      <c r="G100" s="62" t="str">
        <f t="shared" si="1"/>
        <v/>
      </c>
    </row>
    <row r="101" spans="1:7" ht="13" thickBot="1">
      <c r="A101" s="92">
        <v>98</v>
      </c>
      <c r="B101" s="93" t="s">
        <v>206</v>
      </c>
      <c r="C101" s="94">
        <v>513</v>
      </c>
      <c r="D101" s="67" t="str">
        <f>IFERROR(position_two&amp;IF(AND(MOD(ABS(position_two),100)&gt;10,MOD(ABS(position_two),100)&lt;14),"th", CHOOSE(MOD(ABS(position_two),10)+1,"th","st","nd","rd","th","th","th","th","th","th")),"")</f>
        <v>97th</v>
      </c>
      <c r="E101" s="62">
        <f>ROWS($B$4:$B101)</f>
        <v>98</v>
      </c>
      <c r="F101" s="62" t="str">
        <f>IF($B101=REPORT_CARD!$M$12,$E101,"")</f>
        <v/>
      </c>
      <c r="G101" s="62" t="str">
        <f t="shared" si="1"/>
        <v/>
      </c>
    </row>
    <row r="102" spans="1:7" ht="13" thickBot="1">
      <c r="A102" s="92">
        <v>99</v>
      </c>
      <c r="B102" s="93" t="s">
        <v>207</v>
      </c>
      <c r="C102" s="94">
        <v>513</v>
      </c>
      <c r="D102" s="67" t="str">
        <f>IFERROR(position_two&amp;IF(AND(MOD(ABS(position_two),100)&gt;10,MOD(ABS(position_two),100)&lt;14),"th", CHOOSE(MOD(ABS(position_two),10)+1,"th","st","nd","rd","th","th","th","th","th","th")),"")</f>
        <v>97th</v>
      </c>
      <c r="E102" s="62">
        <f>ROWS($B$4:$B102)</f>
        <v>99</v>
      </c>
      <c r="F102" s="62" t="str">
        <f>IF($B102=REPORT_CARD!$M$12,$E102,"")</f>
        <v/>
      </c>
      <c r="G102" s="62" t="str">
        <f t="shared" si="1"/>
        <v/>
      </c>
    </row>
    <row r="103" spans="1:7" ht="13" thickBot="1">
      <c r="A103" s="92">
        <v>100</v>
      </c>
      <c r="B103" s="93" t="s">
        <v>208</v>
      </c>
      <c r="C103" s="94">
        <v>512</v>
      </c>
      <c r="D103" s="67" t="str">
        <f>IFERROR(position_two&amp;IF(AND(MOD(ABS(position_two),100)&gt;10,MOD(ABS(position_two),100)&lt;14),"th", CHOOSE(MOD(ABS(position_two),10)+1,"th","st","nd","rd","th","th","th","th","th","th")),"")</f>
        <v>100th</v>
      </c>
      <c r="E103" s="62">
        <f>ROWS($B$4:$B103)</f>
        <v>100</v>
      </c>
      <c r="F103" s="62" t="str">
        <f>IF($B103=REPORT_CARD!$M$12,$E103,"")</f>
        <v/>
      </c>
      <c r="G103" s="62" t="str">
        <f t="shared" si="1"/>
        <v/>
      </c>
    </row>
    <row r="104" spans="1:7" ht="13" thickBot="1">
      <c r="A104" s="92">
        <v>101</v>
      </c>
      <c r="B104" s="93" t="s">
        <v>209</v>
      </c>
      <c r="C104" s="94">
        <v>512</v>
      </c>
      <c r="D104" s="67" t="str">
        <f>IFERROR(position_two&amp;IF(AND(MOD(ABS(position_two),100)&gt;10,MOD(ABS(position_two),100)&lt;14),"th", CHOOSE(MOD(ABS(position_two),10)+1,"th","st","nd","rd","th","th","th","th","th","th")),"")</f>
        <v>100th</v>
      </c>
      <c r="E104" s="62">
        <f>ROWS($B$4:$B104)</f>
        <v>101</v>
      </c>
      <c r="F104" s="62" t="str">
        <f>IF($B104=REPORT_CARD!$M$12,$E104,"")</f>
        <v/>
      </c>
      <c r="G104" s="62" t="str">
        <f t="shared" si="1"/>
        <v/>
      </c>
    </row>
    <row r="105" spans="1:7" ht="13" thickBot="1">
      <c r="A105" s="92">
        <v>102</v>
      </c>
      <c r="B105" s="93" t="s">
        <v>210</v>
      </c>
      <c r="C105" s="94">
        <v>511</v>
      </c>
      <c r="D105" s="67" t="str">
        <f>IFERROR(position_two&amp;IF(AND(MOD(ABS(position_two),100)&gt;10,MOD(ABS(position_two),100)&lt;14),"th", CHOOSE(MOD(ABS(position_two),10)+1,"th","st","nd","rd","th","th","th","th","th","th")),"")</f>
        <v>102nd</v>
      </c>
      <c r="E105" s="62">
        <f>ROWS($B$4:$B105)</f>
        <v>102</v>
      </c>
      <c r="F105" s="62" t="str">
        <f>IF($B105=REPORT_CARD!$M$12,$E105,"")</f>
        <v/>
      </c>
      <c r="G105" s="62" t="str">
        <f t="shared" si="1"/>
        <v/>
      </c>
    </row>
    <row r="106" spans="1:7" ht="13" thickBot="1">
      <c r="A106" s="92">
        <v>103</v>
      </c>
      <c r="B106" s="93" t="s">
        <v>211</v>
      </c>
      <c r="C106" s="94">
        <v>511</v>
      </c>
      <c r="D106" s="67" t="str">
        <f>IFERROR(position_two&amp;IF(AND(MOD(ABS(position_two),100)&gt;10,MOD(ABS(position_two),100)&lt;14),"th", CHOOSE(MOD(ABS(position_two),10)+1,"th","st","nd","rd","th","th","th","th","th","th")),"")</f>
        <v>102nd</v>
      </c>
      <c r="E106" s="62">
        <f>ROWS($B$4:$B106)</f>
        <v>103</v>
      </c>
      <c r="F106" s="62" t="str">
        <f>IF($B106=REPORT_CARD!$M$12,$E106,"")</f>
        <v/>
      </c>
      <c r="G106" s="62" t="str">
        <f t="shared" si="1"/>
        <v/>
      </c>
    </row>
    <row r="107" spans="1:7" ht="13" thickBot="1">
      <c r="A107" s="92">
        <v>104</v>
      </c>
      <c r="B107" s="93" t="s">
        <v>112</v>
      </c>
      <c r="C107" s="94">
        <v>509</v>
      </c>
      <c r="D107" s="67" t="str">
        <f>IFERROR(position_two&amp;IF(AND(MOD(ABS(position_two),100)&gt;10,MOD(ABS(position_two),100)&lt;14),"th", CHOOSE(MOD(ABS(position_two),10)+1,"th","st","nd","rd","th","th","th","th","th","th")),"")</f>
        <v>104th</v>
      </c>
      <c r="E107" s="62">
        <f>ROWS($B$4:$B107)</f>
        <v>104</v>
      </c>
      <c r="F107" s="62" t="str">
        <f>IF($B107=REPORT_CARD!$M$12,$E107,"")</f>
        <v/>
      </c>
      <c r="G107" s="62" t="str">
        <f t="shared" si="1"/>
        <v/>
      </c>
    </row>
    <row r="108" spans="1:7" ht="13" thickBot="1">
      <c r="A108" s="92">
        <v>105</v>
      </c>
      <c r="B108" s="93" t="s">
        <v>92</v>
      </c>
      <c r="C108" s="94">
        <v>508</v>
      </c>
      <c r="D108" s="67" t="str">
        <f>IFERROR(position_two&amp;IF(AND(MOD(ABS(position_two),100)&gt;10,MOD(ABS(position_two),100)&lt;14),"th", CHOOSE(MOD(ABS(position_two),10)+1,"th","st","nd","rd","th","th","th","th","th","th")),"")</f>
        <v>105th</v>
      </c>
      <c r="E108" s="62">
        <f>ROWS($B$4:$B108)</f>
        <v>105</v>
      </c>
      <c r="F108" s="62" t="str">
        <f>IF($B108=REPORT_CARD!$M$12,$E108,"")</f>
        <v/>
      </c>
      <c r="G108" s="62" t="str">
        <f t="shared" si="1"/>
        <v/>
      </c>
    </row>
    <row r="109" spans="1:7" ht="13" thickBot="1">
      <c r="A109" s="92">
        <v>106</v>
      </c>
      <c r="B109" s="93" t="s">
        <v>212</v>
      </c>
      <c r="C109" s="94">
        <v>507</v>
      </c>
      <c r="D109" s="67" t="str">
        <f>IFERROR(position_two&amp;IF(AND(MOD(ABS(position_two),100)&gt;10,MOD(ABS(position_two),100)&lt;14),"th", CHOOSE(MOD(ABS(position_two),10)+1,"th","st","nd","rd","th","th","th","th","th","th")),"")</f>
        <v>106th</v>
      </c>
      <c r="E109" s="62">
        <f>ROWS($B$4:$B109)</f>
        <v>106</v>
      </c>
      <c r="F109" s="62" t="str">
        <f>IF($B109=REPORT_CARD!$M$12,$E109,"")</f>
        <v/>
      </c>
      <c r="G109" s="62" t="str">
        <f t="shared" si="1"/>
        <v/>
      </c>
    </row>
    <row r="110" spans="1:7" ht="13" thickBot="1">
      <c r="A110" s="92">
        <v>107</v>
      </c>
      <c r="B110" s="93" t="s">
        <v>213</v>
      </c>
      <c r="C110" s="94">
        <v>506</v>
      </c>
      <c r="D110" s="67" t="str">
        <f>IFERROR(position_two&amp;IF(AND(MOD(ABS(position_two),100)&gt;10,MOD(ABS(position_two),100)&lt;14),"th", CHOOSE(MOD(ABS(position_two),10)+1,"th","st","nd","rd","th","th","th","th","th","th")),"")</f>
        <v>107th</v>
      </c>
      <c r="E110" s="62">
        <f>ROWS($B$4:$B110)</f>
        <v>107</v>
      </c>
      <c r="F110" s="62" t="str">
        <f>IF($B110=REPORT_CARD!$M$12,$E110,"")</f>
        <v/>
      </c>
      <c r="G110" s="62" t="str">
        <f t="shared" si="1"/>
        <v/>
      </c>
    </row>
    <row r="111" spans="1:7" ht="13" thickBot="1">
      <c r="A111" s="92">
        <v>108</v>
      </c>
      <c r="B111" s="93" t="s">
        <v>214</v>
      </c>
      <c r="C111" s="94">
        <v>506</v>
      </c>
      <c r="D111" s="67" t="str">
        <f>IFERROR(position_two&amp;IF(AND(MOD(ABS(position_two),100)&gt;10,MOD(ABS(position_two),100)&lt;14),"th", CHOOSE(MOD(ABS(position_two),10)+1,"th","st","nd","rd","th","th","th","th","th","th")),"")</f>
        <v>107th</v>
      </c>
      <c r="E111" s="62">
        <f>ROWS($B$4:$B111)</f>
        <v>108</v>
      </c>
      <c r="F111" s="62" t="str">
        <f>IF($B111=REPORT_CARD!$M$12,$E111,"")</f>
        <v/>
      </c>
      <c r="G111" s="62" t="str">
        <f t="shared" si="1"/>
        <v/>
      </c>
    </row>
    <row r="112" spans="1:7" ht="13" thickBot="1">
      <c r="A112" s="92">
        <v>109</v>
      </c>
      <c r="B112" s="93" t="s">
        <v>215</v>
      </c>
      <c r="C112" s="94">
        <v>506</v>
      </c>
      <c r="D112" s="67" t="str">
        <f>IFERROR(position_two&amp;IF(AND(MOD(ABS(position_two),100)&gt;10,MOD(ABS(position_two),100)&lt;14),"th", CHOOSE(MOD(ABS(position_two),10)+1,"th","st","nd","rd","th","th","th","th","th","th")),"")</f>
        <v>107th</v>
      </c>
      <c r="E112" s="62">
        <f>ROWS($B$4:$B112)</f>
        <v>109</v>
      </c>
      <c r="F112" s="62" t="str">
        <f>IF($B112=REPORT_CARD!$M$12,$E112,"")</f>
        <v/>
      </c>
      <c r="G112" s="62" t="str">
        <f t="shared" si="1"/>
        <v/>
      </c>
    </row>
    <row r="113" spans="1:7" ht="13" thickBot="1">
      <c r="A113" s="92">
        <v>110</v>
      </c>
      <c r="B113" s="93" t="s">
        <v>216</v>
      </c>
      <c r="C113" s="94">
        <v>506</v>
      </c>
      <c r="D113" s="67" t="str">
        <f>IFERROR(position_two&amp;IF(AND(MOD(ABS(position_two),100)&gt;10,MOD(ABS(position_two),100)&lt;14),"th", CHOOSE(MOD(ABS(position_two),10)+1,"th","st","nd","rd","th","th","th","th","th","th")),"")</f>
        <v>107th</v>
      </c>
      <c r="E113" s="62">
        <f>ROWS($B$4:$B113)</f>
        <v>110</v>
      </c>
      <c r="F113" s="62" t="str">
        <f>IF($B113=REPORT_CARD!$M$12,$E113,"")</f>
        <v/>
      </c>
      <c r="G113" s="62" t="str">
        <f t="shared" si="1"/>
        <v/>
      </c>
    </row>
    <row r="114" spans="1:7" ht="13" thickBot="1">
      <c r="A114" s="92">
        <v>111</v>
      </c>
      <c r="B114" s="93" t="s">
        <v>217</v>
      </c>
      <c r="C114" s="94">
        <v>506</v>
      </c>
      <c r="D114" s="67" t="str">
        <f>IFERROR(position_two&amp;IF(AND(MOD(ABS(position_two),100)&gt;10,MOD(ABS(position_two),100)&lt;14),"th", CHOOSE(MOD(ABS(position_two),10)+1,"th","st","nd","rd","th","th","th","th","th","th")),"")</f>
        <v>107th</v>
      </c>
      <c r="E114" s="62">
        <f>ROWS($B$4:$B114)</f>
        <v>111</v>
      </c>
      <c r="F114" s="62" t="str">
        <f>IF($B114=REPORT_CARD!$M$12,$E114,"")</f>
        <v/>
      </c>
      <c r="G114" s="62" t="str">
        <f t="shared" si="1"/>
        <v/>
      </c>
    </row>
    <row r="115" spans="1:7" ht="13" thickBot="1">
      <c r="A115" s="92">
        <v>112</v>
      </c>
      <c r="B115" s="93" t="s">
        <v>218</v>
      </c>
      <c r="C115" s="94">
        <v>503</v>
      </c>
      <c r="D115" s="67" t="str">
        <f>IFERROR(position_two&amp;IF(AND(MOD(ABS(position_two),100)&gt;10,MOD(ABS(position_two),100)&lt;14),"th", CHOOSE(MOD(ABS(position_two),10)+1,"th","st","nd","rd","th","th","th","th","th","th")),"")</f>
        <v>112th</v>
      </c>
      <c r="E115" s="62">
        <f>ROWS($B$4:$B115)</f>
        <v>112</v>
      </c>
      <c r="F115" s="62" t="str">
        <f>IF($B115=REPORT_CARD!$M$12,$E115,"")</f>
        <v/>
      </c>
      <c r="G115" s="62" t="str">
        <f t="shared" si="1"/>
        <v/>
      </c>
    </row>
    <row r="116" spans="1:7" ht="13" thickBot="1">
      <c r="A116" s="92">
        <v>113</v>
      </c>
      <c r="B116" s="93" t="s">
        <v>219</v>
      </c>
      <c r="C116" s="94">
        <v>503</v>
      </c>
      <c r="D116" s="67" t="str">
        <f>IFERROR(position_two&amp;IF(AND(MOD(ABS(position_two),100)&gt;10,MOD(ABS(position_two),100)&lt;14),"th", CHOOSE(MOD(ABS(position_two),10)+1,"th","st","nd","rd","th","th","th","th","th","th")),"")</f>
        <v>112th</v>
      </c>
      <c r="E116" s="62">
        <f>ROWS($B$4:$B116)</f>
        <v>113</v>
      </c>
      <c r="F116" s="62" t="str">
        <f>IF($B116=REPORT_CARD!$M$12,$E116,"")</f>
        <v/>
      </c>
      <c r="G116" s="62" t="str">
        <f t="shared" si="1"/>
        <v/>
      </c>
    </row>
    <row r="117" spans="1:7" ht="13" thickBot="1">
      <c r="A117" s="92">
        <v>114</v>
      </c>
      <c r="B117" s="93" t="s">
        <v>98</v>
      </c>
      <c r="C117" s="94">
        <v>500</v>
      </c>
      <c r="D117" s="67" t="str">
        <f>IFERROR(position_two&amp;IF(AND(MOD(ABS(position_two),100)&gt;10,MOD(ABS(position_two),100)&lt;14),"th", CHOOSE(MOD(ABS(position_two),10)+1,"th","st","nd","rd","th","th","th","th","th","th")),"")</f>
        <v>114th</v>
      </c>
      <c r="E117" s="62">
        <f>ROWS($B$4:$B117)</f>
        <v>114</v>
      </c>
      <c r="F117" s="62" t="str">
        <f>IF($B117=REPORT_CARD!$M$12,$E117,"")</f>
        <v/>
      </c>
      <c r="G117" s="62" t="str">
        <f t="shared" si="1"/>
        <v/>
      </c>
    </row>
    <row r="118" spans="1:7" ht="13" thickBot="1">
      <c r="A118" s="95">
        <v>115</v>
      </c>
      <c r="B118" s="93" t="s">
        <v>220</v>
      </c>
      <c r="C118" s="94">
        <v>499</v>
      </c>
      <c r="D118" s="67" t="str">
        <f>IFERROR(position_two&amp;IF(AND(MOD(ABS(position_two),100)&gt;10,MOD(ABS(position_two),100)&lt;14),"th", CHOOSE(MOD(ABS(position_two),10)+1,"th","st","nd","rd","th","th","th","th","th","th")),"")</f>
        <v>115th</v>
      </c>
      <c r="E118" s="62">
        <f>ROWS($B$4:$B118)</f>
        <v>115</v>
      </c>
      <c r="F118" s="62" t="str">
        <f>IF($B118=REPORT_CARD!$M$12,$E118,"")</f>
        <v/>
      </c>
      <c r="G118" s="62" t="str">
        <f t="shared" si="1"/>
        <v/>
      </c>
    </row>
    <row r="119" spans="1:7" ht="13" thickBot="1">
      <c r="A119" s="92">
        <v>116</v>
      </c>
      <c r="B119" s="93" t="s">
        <v>221</v>
      </c>
      <c r="C119" s="94">
        <v>498</v>
      </c>
      <c r="D119" s="67" t="str">
        <f>IFERROR(position_two&amp;IF(AND(MOD(ABS(position_two),100)&gt;10,MOD(ABS(position_two),100)&lt;14),"th", CHOOSE(MOD(ABS(position_two),10)+1,"th","st","nd","rd","th","th","th","th","th","th")),"")</f>
        <v>116th</v>
      </c>
      <c r="E119" s="62">
        <f>ROWS($B$4:$B119)</f>
        <v>116</v>
      </c>
      <c r="F119" s="62" t="str">
        <f>IF($B119=REPORT_CARD!$M$12,$E119,"")</f>
        <v/>
      </c>
      <c r="G119" s="62" t="str">
        <f t="shared" si="1"/>
        <v/>
      </c>
    </row>
    <row r="120" spans="1:7" ht="13" thickBot="1">
      <c r="A120" s="92">
        <v>117</v>
      </c>
      <c r="B120" s="93" t="s">
        <v>79</v>
      </c>
      <c r="C120" s="94">
        <v>496</v>
      </c>
      <c r="D120" s="67" t="str">
        <f>IFERROR(position_two&amp;IF(AND(MOD(ABS(position_two),100)&gt;10,MOD(ABS(position_two),100)&lt;14),"th", CHOOSE(MOD(ABS(position_two),10)+1,"th","st","nd","rd","th","th","th","th","th","th")),"")</f>
        <v>117th</v>
      </c>
      <c r="E120" s="62">
        <f>ROWS($B$4:$B120)</f>
        <v>117</v>
      </c>
      <c r="F120" s="62" t="str">
        <f>IF($B120=REPORT_CARD!$M$12,$E120,"")</f>
        <v/>
      </c>
      <c r="G120" s="62" t="str">
        <f t="shared" si="1"/>
        <v/>
      </c>
    </row>
    <row r="121" spans="1:7" ht="13" thickBot="1">
      <c r="A121" s="92">
        <v>118</v>
      </c>
      <c r="B121" s="93" t="s">
        <v>90</v>
      </c>
      <c r="C121" s="94">
        <v>496</v>
      </c>
      <c r="D121" s="67" t="str">
        <f>IFERROR(position_two&amp;IF(AND(MOD(ABS(position_two),100)&gt;10,MOD(ABS(position_two),100)&lt;14),"th", CHOOSE(MOD(ABS(position_two),10)+1,"th","st","nd","rd","th","th","th","th","th","th")),"")</f>
        <v>117th</v>
      </c>
      <c r="E121" s="62">
        <f>ROWS($B$4:$B121)</f>
        <v>118</v>
      </c>
      <c r="F121" s="62" t="str">
        <f>IF($B121=REPORT_CARD!$M$12,$E121,"")</f>
        <v/>
      </c>
      <c r="G121" s="62" t="str">
        <f t="shared" si="1"/>
        <v/>
      </c>
    </row>
    <row r="122" spans="1:7" ht="13" thickBot="1">
      <c r="A122" s="92">
        <v>119</v>
      </c>
      <c r="B122" s="93" t="s">
        <v>222</v>
      </c>
      <c r="C122" s="94">
        <v>496</v>
      </c>
      <c r="D122" s="67" t="str">
        <f>IFERROR(position_two&amp;IF(AND(MOD(ABS(position_two),100)&gt;10,MOD(ABS(position_two),100)&lt;14),"th", CHOOSE(MOD(ABS(position_two),10)+1,"th","st","nd","rd","th","th","th","th","th","th")),"")</f>
        <v>117th</v>
      </c>
      <c r="E122" s="62">
        <f>ROWS($B$4:$B122)</f>
        <v>119</v>
      </c>
      <c r="F122" s="62" t="str">
        <f>IF($B122=REPORT_CARD!$M$12,$E122,"")</f>
        <v/>
      </c>
      <c r="G122" s="62" t="str">
        <f t="shared" si="1"/>
        <v/>
      </c>
    </row>
    <row r="123" spans="1:7" ht="13" thickBot="1">
      <c r="A123" s="92">
        <v>120</v>
      </c>
      <c r="B123" s="93" t="s">
        <v>223</v>
      </c>
      <c r="C123" s="94">
        <v>496</v>
      </c>
      <c r="D123" s="67" t="str">
        <f>IFERROR(position_two&amp;IF(AND(MOD(ABS(position_two),100)&gt;10,MOD(ABS(position_two),100)&lt;14),"th", CHOOSE(MOD(ABS(position_two),10)+1,"th","st","nd","rd","th","th","th","th","th","th")),"")</f>
        <v>117th</v>
      </c>
      <c r="E123" s="62">
        <f>ROWS($B$4:$B123)</f>
        <v>120</v>
      </c>
      <c r="F123" s="62" t="str">
        <f>IF($B123=REPORT_CARD!$M$12,$E123,"")</f>
        <v/>
      </c>
      <c r="G123" s="62" t="str">
        <f t="shared" si="1"/>
        <v/>
      </c>
    </row>
    <row r="124" spans="1:7" ht="13" thickBot="1">
      <c r="A124" s="92">
        <v>121</v>
      </c>
      <c r="B124" s="93" t="s">
        <v>224</v>
      </c>
      <c r="C124" s="94">
        <v>493</v>
      </c>
      <c r="D124" s="67" t="str">
        <f>IFERROR(position_two&amp;IF(AND(MOD(ABS(position_two),100)&gt;10,MOD(ABS(position_two),100)&lt;14),"th", CHOOSE(MOD(ABS(position_two),10)+1,"th","st","nd","rd","th","th","th","th","th","th")),"")</f>
        <v>121st</v>
      </c>
      <c r="E124" s="62">
        <f>ROWS($B$4:$B124)</f>
        <v>121</v>
      </c>
      <c r="F124" s="62" t="str">
        <f>IF($B124=REPORT_CARD!$M$12,$E124,"")</f>
        <v/>
      </c>
      <c r="G124" s="62" t="str">
        <f t="shared" si="1"/>
        <v/>
      </c>
    </row>
    <row r="125" spans="1:7" ht="13" thickBot="1">
      <c r="A125" s="92">
        <v>122</v>
      </c>
      <c r="B125" s="93" t="s">
        <v>225</v>
      </c>
      <c r="C125" s="94">
        <v>493</v>
      </c>
      <c r="D125" s="67" t="str">
        <f>IFERROR(position_two&amp;IF(AND(MOD(ABS(position_two),100)&gt;10,MOD(ABS(position_two),100)&lt;14),"th", CHOOSE(MOD(ABS(position_two),10)+1,"th","st","nd","rd","th","th","th","th","th","th")),"")</f>
        <v>121st</v>
      </c>
      <c r="E125" s="62">
        <f>ROWS($B$4:$B125)</f>
        <v>122</v>
      </c>
      <c r="F125" s="62" t="str">
        <f>IF($B125=REPORT_CARD!$M$12,$E125,"")</f>
        <v/>
      </c>
      <c r="G125" s="62" t="str">
        <f t="shared" si="1"/>
        <v/>
      </c>
    </row>
    <row r="126" spans="1:7" ht="13" thickBot="1">
      <c r="A126" s="92">
        <v>123</v>
      </c>
      <c r="B126" s="93" t="s">
        <v>226</v>
      </c>
      <c r="C126" s="94">
        <v>492</v>
      </c>
      <c r="D126" s="67" t="str">
        <f>IFERROR(position_two&amp;IF(AND(MOD(ABS(position_two),100)&gt;10,MOD(ABS(position_two),100)&lt;14),"th", CHOOSE(MOD(ABS(position_two),10)+1,"th","st","nd","rd","th","th","th","th","th","th")),"")</f>
        <v>123rd</v>
      </c>
      <c r="E126" s="62">
        <f>ROWS($B$4:$B126)</f>
        <v>123</v>
      </c>
      <c r="F126" s="62" t="str">
        <f>IF($B126=REPORT_CARD!$M$12,$E126,"")</f>
        <v/>
      </c>
      <c r="G126" s="62" t="str">
        <f t="shared" si="1"/>
        <v/>
      </c>
    </row>
    <row r="127" spans="1:7" ht="13" thickBot="1">
      <c r="A127" s="92">
        <v>124</v>
      </c>
      <c r="B127" s="93" t="s">
        <v>227</v>
      </c>
      <c r="C127" s="94">
        <v>491</v>
      </c>
      <c r="D127" s="67" t="str">
        <f>IFERROR(position_two&amp;IF(AND(MOD(ABS(position_two),100)&gt;10,MOD(ABS(position_two),100)&lt;14),"th", CHOOSE(MOD(ABS(position_two),10)+1,"th","st","nd","rd","th","th","th","th","th","th")),"")</f>
        <v>124th</v>
      </c>
      <c r="E127" s="62">
        <f>ROWS($B$4:$B127)</f>
        <v>124</v>
      </c>
      <c r="F127" s="62" t="str">
        <f>IF($B127=REPORT_CARD!$M$12,$E127,"")</f>
        <v/>
      </c>
      <c r="G127" s="62" t="str">
        <f t="shared" si="1"/>
        <v/>
      </c>
    </row>
    <row r="128" spans="1:7" ht="13" thickBot="1">
      <c r="A128" s="92">
        <v>125</v>
      </c>
      <c r="B128" s="93" t="s">
        <v>228</v>
      </c>
      <c r="C128" s="94">
        <v>490</v>
      </c>
      <c r="D128" s="67" t="str">
        <f>IFERROR(position_two&amp;IF(AND(MOD(ABS(position_two),100)&gt;10,MOD(ABS(position_two),100)&lt;14),"th", CHOOSE(MOD(ABS(position_two),10)+1,"th","st","nd","rd","th","th","th","th","th","th")),"")</f>
        <v>125th</v>
      </c>
      <c r="E128" s="62">
        <f>ROWS($B$4:$B128)</f>
        <v>125</v>
      </c>
      <c r="F128" s="62" t="str">
        <f>IF($B128=REPORT_CARD!$M$12,$E128,"")</f>
        <v/>
      </c>
      <c r="G128" s="62" t="str">
        <f t="shared" si="1"/>
        <v/>
      </c>
    </row>
    <row r="129" spans="1:7" ht="13" thickBot="1">
      <c r="A129" s="92">
        <v>126</v>
      </c>
      <c r="B129" s="93" t="s">
        <v>229</v>
      </c>
      <c r="C129" s="94">
        <v>490</v>
      </c>
      <c r="D129" s="67" t="str">
        <f>IFERROR(position_two&amp;IF(AND(MOD(ABS(position_two),100)&gt;10,MOD(ABS(position_two),100)&lt;14),"th", CHOOSE(MOD(ABS(position_two),10)+1,"th","st","nd","rd","th","th","th","th","th","th")),"")</f>
        <v>125th</v>
      </c>
      <c r="E129" s="62">
        <f>ROWS($B$4:$B129)</f>
        <v>126</v>
      </c>
      <c r="F129" s="62" t="str">
        <f>IF($B129=REPORT_CARD!$M$12,$E129,"")</f>
        <v/>
      </c>
      <c r="G129" s="62" t="str">
        <f t="shared" si="1"/>
        <v/>
      </c>
    </row>
    <row r="130" spans="1:7" ht="13" thickBot="1">
      <c r="A130" s="92">
        <v>127</v>
      </c>
      <c r="B130" s="93" t="s">
        <v>85</v>
      </c>
      <c r="C130" s="94">
        <v>489</v>
      </c>
      <c r="D130" s="67" t="str">
        <f>IFERROR(position_two&amp;IF(AND(MOD(ABS(position_two),100)&gt;10,MOD(ABS(position_two),100)&lt;14),"th", CHOOSE(MOD(ABS(position_two),10)+1,"th","st","nd","rd","th","th","th","th","th","th")),"")</f>
        <v>127th</v>
      </c>
      <c r="E130" s="62">
        <f>ROWS($B$4:$B130)</f>
        <v>127</v>
      </c>
      <c r="F130" s="62" t="str">
        <f>IF($B130=REPORT_CARD!$M$12,$E130,"")</f>
        <v/>
      </c>
      <c r="G130" s="62" t="str">
        <f t="shared" si="1"/>
        <v/>
      </c>
    </row>
    <row r="131" spans="1:7" ht="13" thickBot="1">
      <c r="A131" s="92">
        <v>128</v>
      </c>
      <c r="B131" s="93" t="s">
        <v>230</v>
      </c>
      <c r="C131" s="94">
        <v>489</v>
      </c>
      <c r="D131" s="67" t="str">
        <f>IFERROR(position_two&amp;IF(AND(MOD(ABS(position_two),100)&gt;10,MOD(ABS(position_two),100)&lt;14),"th", CHOOSE(MOD(ABS(position_two),10)+1,"th","st","nd","rd","th","th","th","th","th","th")),"")</f>
        <v>127th</v>
      </c>
      <c r="E131" s="62">
        <f>ROWS($B$4:$B131)</f>
        <v>128</v>
      </c>
      <c r="F131" s="62" t="str">
        <f>IF($B131=REPORT_CARD!$M$12,$E131,"")</f>
        <v/>
      </c>
      <c r="G131" s="62" t="str">
        <f t="shared" si="1"/>
        <v/>
      </c>
    </row>
    <row r="132" spans="1:7" ht="13" thickBot="1">
      <c r="A132" s="92">
        <v>129</v>
      </c>
      <c r="B132" s="93" t="s">
        <v>231</v>
      </c>
      <c r="C132" s="94">
        <v>489</v>
      </c>
      <c r="D132" s="67" t="str">
        <f>IFERROR(position_two&amp;IF(AND(MOD(ABS(position_two),100)&gt;10,MOD(ABS(position_two),100)&lt;14),"th", CHOOSE(MOD(ABS(position_two),10)+1,"th","st","nd","rd","th","th","th","th","th","th")),"")</f>
        <v>127th</v>
      </c>
      <c r="E132" s="62">
        <f>ROWS($B$4:$B132)</f>
        <v>129</v>
      </c>
      <c r="F132" s="62" t="str">
        <f>IF($B132=REPORT_CARD!$M$12,$E132,"")</f>
        <v/>
      </c>
      <c r="G132" s="62" t="str">
        <f t="shared" si="1"/>
        <v/>
      </c>
    </row>
    <row r="133" spans="1:7" ht="13" thickBot="1">
      <c r="A133" s="92">
        <v>130</v>
      </c>
      <c r="B133" s="93" t="s">
        <v>232</v>
      </c>
      <c r="C133" s="94">
        <v>488</v>
      </c>
      <c r="D133" s="67" t="str">
        <f>IFERROR(position_two&amp;IF(AND(MOD(ABS(position_two),100)&gt;10,MOD(ABS(position_two),100)&lt;14),"th", CHOOSE(MOD(ABS(position_two),10)+1,"th","st","nd","rd","th","th","th","th","th","th")),"")</f>
        <v>130th</v>
      </c>
      <c r="E133" s="62">
        <f>ROWS($B$4:$B133)</f>
        <v>130</v>
      </c>
      <c r="F133" s="62" t="str">
        <f>IF($B133=REPORT_CARD!$M$12,$E133,"")</f>
        <v/>
      </c>
      <c r="G133" s="62" t="str">
        <f t="shared" ref="G133:G196" si="2">IFERROR(SMALL($F$4:$F$231,$E133),"")</f>
        <v/>
      </c>
    </row>
    <row r="134" spans="1:7" ht="13" thickBot="1">
      <c r="A134" s="92">
        <v>131</v>
      </c>
      <c r="B134" s="93" t="s">
        <v>108</v>
      </c>
      <c r="C134" s="94">
        <v>486</v>
      </c>
      <c r="D134" s="67" t="str">
        <f>IFERROR(position_two&amp;IF(AND(MOD(ABS(position_two),100)&gt;10,MOD(ABS(position_two),100)&lt;14),"th", CHOOSE(MOD(ABS(position_two),10)+1,"th","st","nd","rd","th","th","th","th","th","th")),"")</f>
        <v>131st</v>
      </c>
      <c r="E134" s="62">
        <f>ROWS($B$4:$B134)</f>
        <v>131</v>
      </c>
      <c r="F134" s="62" t="str">
        <f>IF($B134=REPORT_CARD!$M$12,$E134,"")</f>
        <v/>
      </c>
      <c r="G134" s="62" t="str">
        <f t="shared" si="2"/>
        <v/>
      </c>
    </row>
    <row r="135" spans="1:7" ht="13" thickBot="1">
      <c r="A135" s="92">
        <v>132</v>
      </c>
      <c r="B135" s="93" t="s">
        <v>233</v>
      </c>
      <c r="C135" s="94">
        <v>486</v>
      </c>
      <c r="D135" s="67" t="str">
        <f>IFERROR(position_two&amp;IF(AND(MOD(ABS(position_two),100)&gt;10,MOD(ABS(position_two),100)&lt;14),"th", CHOOSE(MOD(ABS(position_two),10)+1,"th","st","nd","rd","th","th","th","th","th","th")),"")</f>
        <v>131st</v>
      </c>
      <c r="E135" s="62">
        <f>ROWS($B$4:$B135)</f>
        <v>132</v>
      </c>
      <c r="F135" s="62" t="str">
        <f>IF($B135=REPORT_CARD!$M$12,$E135,"")</f>
        <v/>
      </c>
      <c r="G135" s="62" t="str">
        <f t="shared" si="2"/>
        <v/>
      </c>
    </row>
    <row r="136" spans="1:7" ht="13" thickBot="1">
      <c r="A136" s="92">
        <v>133</v>
      </c>
      <c r="B136" s="93" t="s">
        <v>234</v>
      </c>
      <c r="C136" s="94">
        <v>486</v>
      </c>
      <c r="D136" s="67" t="str">
        <f>IFERROR(position_two&amp;IF(AND(MOD(ABS(position_two),100)&gt;10,MOD(ABS(position_two),100)&lt;14),"th", CHOOSE(MOD(ABS(position_two),10)+1,"th","st","nd","rd","th","th","th","th","th","th")),"")</f>
        <v>131st</v>
      </c>
      <c r="E136" s="62">
        <f>ROWS($B$4:$B136)</f>
        <v>133</v>
      </c>
      <c r="F136" s="62" t="str">
        <f>IF($B136=REPORT_CARD!$M$12,$E136,"")</f>
        <v/>
      </c>
      <c r="G136" s="62" t="str">
        <f t="shared" si="2"/>
        <v/>
      </c>
    </row>
    <row r="137" spans="1:7" ht="13" thickBot="1">
      <c r="A137" s="92">
        <v>134</v>
      </c>
      <c r="B137" s="93" t="s">
        <v>105</v>
      </c>
      <c r="C137" s="94">
        <v>485</v>
      </c>
      <c r="D137" s="67" t="str">
        <f>IFERROR(position_two&amp;IF(AND(MOD(ABS(position_two),100)&gt;10,MOD(ABS(position_two),100)&lt;14),"th", CHOOSE(MOD(ABS(position_two),10)+1,"th","st","nd","rd","th","th","th","th","th","th")),"")</f>
        <v>134th</v>
      </c>
      <c r="E137" s="62">
        <f>ROWS($B$4:$B137)</f>
        <v>134</v>
      </c>
      <c r="F137" s="62" t="str">
        <f>IF($B137=REPORT_CARD!$M$12,$E137,"")</f>
        <v/>
      </c>
      <c r="G137" s="62" t="str">
        <f t="shared" si="2"/>
        <v/>
      </c>
    </row>
    <row r="138" spans="1:7" ht="13" thickBot="1">
      <c r="A138" s="92">
        <v>135</v>
      </c>
      <c r="B138" s="93" t="s">
        <v>70</v>
      </c>
      <c r="C138" s="94">
        <v>484</v>
      </c>
      <c r="D138" s="67" t="str">
        <f>IFERROR(position_two&amp;IF(AND(MOD(ABS(position_two),100)&gt;10,MOD(ABS(position_two),100)&lt;14),"th", CHOOSE(MOD(ABS(position_two),10)+1,"th","st","nd","rd","th","th","th","th","th","th")),"")</f>
        <v>135th</v>
      </c>
      <c r="E138" s="62">
        <f>ROWS($B$4:$B138)</f>
        <v>135</v>
      </c>
      <c r="F138" s="62" t="str">
        <f>IF($B138=REPORT_CARD!$M$12,$E138,"")</f>
        <v/>
      </c>
      <c r="G138" s="62" t="str">
        <f t="shared" si="2"/>
        <v/>
      </c>
    </row>
    <row r="139" spans="1:7" ht="13" thickBot="1">
      <c r="A139" s="92">
        <v>136</v>
      </c>
      <c r="B139" s="93" t="s">
        <v>235</v>
      </c>
      <c r="C139" s="94">
        <v>482</v>
      </c>
      <c r="D139" s="67" t="str">
        <f>IFERROR(position_two&amp;IF(AND(MOD(ABS(position_two),100)&gt;10,MOD(ABS(position_two),100)&lt;14),"th", CHOOSE(MOD(ABS(position_two),10)+1,"th","st","nd","rd","th","th","th","th","th","th")),"")</f>
        <v>136th</v>
      </c>
      <c r="E139" s="62">
        <f>ROWS($B$4:$B139)</f>
        <v>136</v>
      </c>
      <c r="F139" s="62" t="str">
        <f>IF($B139=REPORT_CARD!$M$12,$E139,"")</f>
        <v/>
      </c>
      <c r="G139" s="62" t="str">
        <f t="shared" si="2"/>
        <v/>
      </c>
    </row>
    <row r="140" spans="1:7" ht="13" thickBot="1">
      <c r="A140" s="92">
        <v>137</v>
      </c>
      <c r="B140" s="93" t="s">
        <v>236</v>
      </c>
      <c r="C140" s="94">
        <v>481</v>
      </c>
      <c r="D140" s="67" t="str">
        <f>IFERROR(position_two&amp;IF(AND(MOD(ABS(position_two),100)&gt;10,MOD(ABS(position_two),100)&lt;14),"th", CHOOSE(MOD(ABS(position_two),10)+1,"th","st","nd","rd","th","th","th","th","th","th")),"")</f>
        <v>137th</v>
      </c>
      <c r="E140" s="62">
        <f>ROWS($B$4:$B140)</f>
        <v>137</v>
      </c>
      <c r="F140" s="62" t="str">
        <f>IF($B140=REPORT_CARD!$M$12,$E140,"")</f>
        <v/>
      </c>
      <c r="G140" s="62" t="str">
        <f t="shared" si="2"/>
        <v/>
      </c>
    </row>
    <row r="141" spans="1:7" ht="13" thickBot="1">
      <c r="A141" s="92">
        <v>138</v>
      </c>
      <c r="B141" s="93" t="s">
        <v>237</v>
      </c>
      <c r="C141" s="94">
        <v>481</v>
      </c>
      <c r="D141" s="67" t="str">
        <f>IFERROR(position_two&amp;IF(AND(MOD(ABS(position_two),100)&gt;10,MOD(ABS(position_two),100)&lt;14),"th", CHOOSE(MOD(ABS(position_two),10)+1,"th","st","nd","rd","th","th","th","th","th","th")),"")</f>
        <v>137th</v>
      </c>
      <c r="E141" s="62">
        <f>ROWS($B$4:$B141)</f>
        <v>138</v>
      </c>
      <c r="F141" s="62" t="str">
        <f>IF($B141=REPORT_CARD!$M$12,$E141,"")</f>
        <v/>
      </c>
      <c r="G141" s="62" t="str">
        <f t="shared" si="2"/>
        <v/>
      </c>
    </row>
    <row r="142" spans="1:7" ht="13" thickBot="1">
      <c r="A142" s="92">
        <v>139</v>
      </c>
      <c r="B142" s="93" t="s">
        <v>238</v>
      </c>
      <c r="C142" s="94">
        <v>481</v>
      </c>
      <c r="D142" s="67" t="str">
        <f>IFERROR(position_two&amp;IF(AND(MOD(ABS(position_two),100)&gt;10,MOD(ABS(position_two),100)&lt;14),"th", CHOOSE(MOD(ABS(position_two),10)+1,"th","st","nd","rd","th","th","th","th","th","th")),"")</f>
        <v>137th</v>
      </c>
      <c r="E142" s="62">
        <f>ROWS($B$4:$B142)</f>
        <v>139</v>
      </c>
      <c r="F142" s="62" t="str">
        <f>IF($B142=REPORT_CARD!$M$12,$E142,"")</f>
        <v/>
      </c>
      <c r="G142" s="62" t="str">
        <f t="shared" si="2"/>
        <v/>
      </c>
    </row>
    <row r="143" spans="1:7" ht="13" thickBot="1">
      <c r="A143" s="92">
        <v>140</v>
      </c>
      <c r="B143" s="93" t="s">
        <v>239</v>
      </c>
      <c r="C143" s="94">
        <v>480</v>
      </c>
      <c r="D143" s="67" t="str">
        <f>IFERROR(position_two&amp;IF(AND(MOD(ABS(position_two),100)&gt;10,MOD(ABS(position_two),100)&lt;14),"th", CHOOSE(MOD(ABS(position_two),10)+1,"th","st","nd","rd","th","th","th","th","th","th")),"")</f>
        <v>140th</v>
      </c>
      <c r="E143" s="62">
        <f>ROWS($B$4:$B143)</f>
        <v>140</v>
      </c>
      <c r="F143" s="62" t="str">
        <f>IF($B143=REPORT_CARD!$M$12,$E143,"")</f>
        <v/>
      </c>
      <c r="G143" s="62" t="str">
        <f t="shared" si="2"/>
        <v/>
      </c>
    </row>
    <row r="144" spans="1:7" ht="13" thickBot="1">
      <c r="A144" s="92">
        <v>141</v>
      </c>
      <c r="B144" s="93" t="s">
        <v>240</v>
      </c>
      <c r="C144" s="94">
        <v>478</v>
      </c>
      <c r="D144" s="67" t="str">
        <f>IFERROR(position_two&amp;IF(AND(MOD(ABS(position_two),100)&gt;10,MOD(ABS(position_two),100)&lt;14),"th", CHOOSE(MOD(ABS(position_two),10)+1,"th","st","nd","rd","th","th","th","th","th","th")),"")</f>
        <v>141st</v>
      </c>
      <c r="E144" s="62">
        <f>ROWS($B$4:$B144)</f>
        <v>141</v>
      </c>
      <c r="F144" s="62" t="str">
        <f>IF($B144=REPORT_CARD!$M$12,$E144,"")</f>
        <v/>
      </c>
      <c r="G144" s="62" t="str">
        <f t="shared" si="2"/>
        <v/>
      </c>
    </row>
    <row r="145" spans="1:7" ht="13" thickBot="1">
      <c r="A145" s="92">
        <v>142</v>
      </c>
      <c r="B145" s="93" t="s">
        <v>241</v>
      </c>
      <c r="C145" s="94">
        <v>478</v>
      </c>
      <c r="D145" s="67" t="str">
        <f>IFERROR(position_two&amp;IF(AND(MOD(ABS(position_two),100)&gt;10,MOD(ABS(position_two),100)&lt;14),"th", CHOOSE(MOD(ABS(position_two),10)+1,"th","st","nd","rd","th","th","th","th","th","th")),"")</f>
        <v>141st</v>
      </c>
      <c r="E145" s="62">
        <f>ROWS($B$4:$B145)</f>
        <v>142</v>
      </c>
      <c r="F145" s="62" t="str">
        <f>IF($B145=REPORT_CARD!$M$12,$E145,"")</f>
        <v/>
      </c>
      <c r="G145" s="62" t="str">
        <f t="shared" si="2"/>
        <v/>
      </c>
    </row>
    <row r="146" spans="1:7" ht="13" thickBot="1">
      <c r="A146" s="92">
        <v>143</v>
      </c>
      <c r="B146" s="93" t="s">
        <v>242</v>
      </c>
      <c r="C146" s="94">
        <v>478</v>
      </c>
      <c r="D146" s="67" t="str">
        <f>IFERROR(position_two&amp;IF(AND(MOD(ABS(position_two),100)&gt;10,MOD(ABS(position_two),100)&lt;14),"th", CHOOSE(MOD(ABS(position_two),10)+1,"th","st","nd","rd","th","th","th","th","th","th")),"")</f>
        <v>141st</v>
      </c>
      <c r="E146" s="62">
        <f>ROWS($B$4:$B146)</f>
        <v>143</v>
      </c>
      <c r="F146" s="62" t="str">
        <f>IF($B146=REPORT_CARD!$M$12,$E146,"")</f>
        <v/>
      </c>
      <c r="G146" s="62" t="str">
        <f t="shared" si="2"/>
        <v/>
      </c>
    </row>
    <row r="147" spans="1:7" ht="13" thickBot="1">
      <c r="A147" s="92">
        <v>144</v>
      </c>
      <c r="B147" s="93" t="s">
        <v>243</v>
      </c>
      <c r="C147" s="94">
        <v>478</v>
      </c>
      <c r="D147" s="67" t="str">
        <f>IFERROR(position_two&amp;IF(AND(MOD(ABS(position_two),100)&gt;10,MOD(ABS(position_two),100)&lt;14),"th", CHOOSE(MOD(ABS(position_two),10)+1,"th","st","nd","rd","th","th","th","th","th","th")),"")</f>
        <v>141st</v>
      </c>
      <c r="E147" s="62">
        <f>ROWS($B$4:$B147)</f>
        <v>144</v>
      </c>
      <c r="F147" s="62" t="str">
        <f>IF($B147=REPORT_CARD!$M$12,$E147,"")</f>
        <v/>
      </c>
      <c r="G147" s="62" t="str">
        <f t="shared" si="2"/>
        <v/>
      </c>
    </row>
    <row r="148" spans="1:7" ht="13" thickBot="1">
      <c r="A148" s="92">
        <v>145</v>
      </c>
      <c r="B148" s="93" t="s">
        <v>244</v>
      </c>
      <c r="C148" s="94">
        <v>476</v>
      </c>
      <c r="D148" s="67" t="str">
        <f>IFERROR(position_two&amp;IF(AND(MOD(ABS(position_two),100)&gt;10,MOD(ABS(position_two),100)&lt;14),"th", CHOOSE(MOD(ABS(position_two),10)+1,"th","st","nd","rd","th","th","th","th","th","th")),"")</f>
        <v>145th</v>
      </c>
      <c r="E148" s="62">
        <f>ROWS($B$4:$B148)</f>
        <v>145</v>
      </c>
      <c r="F148" s="62" t="str">
        <f>IF($B148=REPORT_CARD!$M$12,$E148,"")</f>
        <v/>
      </c>
      <c r="G148" s="62" t="str">
        <f t="shared" si="2"/>
        <v/>
      </c>
    </row>
    <row r="149" spans="1:7" ht="13" thickBot="1">
      <c r="A149" s="92">
        <v>146</v>
      </c>
      <c r="B149" s="93" t="s">
        <v>245</v>
      </c>
      <c r="C149" s="94">
        <v>476</v>
      </c>
      <c r="D149" s="67" t="str">
        <f>IFERROR(position_two&amp;IF(AND(MOD(ABS(position_two),100)&gt;10,MOD(ABS(position_two),100)&lt;14),"th", CHOOSE(MOD(ABS(position_two),10)+1,"th","st","nd","rd","th","th","th","th","th","th")),"")</f>
        <v>145th</v>
      </c>
      <c r="E149" s="62">
        <f>ROWS($B$4:$B149)</f>
        <v>146</v>
      </c>
      <c r="F149" s="62" t="str">
        <f>IF($B149=REPORT_CARD!$M$12,$E149,"")</f>
        <v/>
      </c>
      <c r="G149" s="62" t="str">
        <f t="shared" si="2"/>
        <v/>
      </c>
    </row>
    <row r="150" spans="1:7" ht="13" thickBot="1">
      <c r="A150" s="92">
        <v>147</v>
      </c>
      <c r="B150" s="93" t="s">
        <v>246</v>
      </c>
      <c r="C150" s="94">
        <v>476</v>
      </c>
      <c r="D150" s="67" t="str">
        <f>IFERROR(position_two&amp;IF(AND(MOD(ABS(position_two),100)&gt;10,MOD(ABS(position_two),100)&lt;14),"th", CHOOSE(MOD(ABS(position_two),10)+1,"th","st","nd","rd","th","th","th","th","th","th")),"")</f>
        <v>145th</v>
      </c>
      <c r="E150" s="62">
        <f>ROWS($B$4:$B150)</f>
        <v>147</v>
      </c>
      <c r="F150" s="62" t="str">
        <f>IF($B150=REPORT_CARD!$M$12,$E150,"")</f>
        <v/>
      </c>
      <c r="G150" s="62" t="str">
        <f t="shared" si="2"/>
        <v/>
      </c>
    </row>
    <row r="151" spans="1:7" ht="13" thickBot="1">
      <c r="A151" s="92">
        <v>148</v>
      </c>
      <c r="B151" s="93" t="s">
        <v>247</v>
      </c>
      <c r="C151" s="94">
        <v>475</v>
      </c>
      <c r="D151" s="67" t="str">
        <f>IFERROR(position_two&amp;IF(AND(MOD(ABS(position_two),100)&gt;10,MOD(ABS(position_two),100)&lt;14),"th", CHOOSE(MOD(ABS(position_two),10)+1,"th","st","nd","rd","th","th","th","th","th","th")),"")</f>
        <v>148th</v>
      </c>
      <c r="E151" s="62">
        <f>ROWS($B$4:$B151)</f>
        <v>148</v>
      </c>
      <c r="F151" s="62" t="str">
        <f>IF($B151=REPORT_CARD!$M$12,$E151,"")</f>
        <v/>
      </c>
      <c r="G151" s="62" t="str">
        <f t="shared" si="2"/>
        <v/>
      </c>
    </row>
    <row r="152" spans="1:7" ht="13" thickBot="1">
      <c r="A152" s="92">
        <v>149</v>
      </c>
      <c r="B152" s="93" t="s">
        <v>248</v>
      </c>
      <c r="C152" s="94">
        <v>474</v>
      </c>
      <c r="D152" s="67" t="str">
        <f>IFERROR(position_two&amp;IF(AND(MOD(ABS(position_two),100)&gt;10,MOD(ABS(position_two),100)&lt;14),"th", CHOOSE(MOD(ABS(position_two),10)+1,"th","st","nd","rd","th","th","th","th","th","th")),"")</f>
        <v>149th</v>
      </c>
      <c r="E152" s="62">
        <f>ROWS($B$4:$B152)</f>
        <v>149</v>
      </c>
      <c r="F152" s="62" t="str">
        <f>IF($B152=REPORT_CARD!$M$12,$E152,"")</f>
        <v/>
      </c>
      <c r="G152" s="62" t="str">
        <f t="shared" si="2"/>
        <v/>
      </c>
    </row>
    <row r="153" spans="1:7" ht="13" thickBot="1">
      <c r="A153" s="92">
        <v>150</v>
      </c>
      <c r="B153" s="93" t="s">
        <v>119</v>
      </c>
      <c r="C153" s="94">
        <v>472</v>
      </c>
      <c r="D153" s="67" t="str">
        <f>IFERROR(position_two&amp;IF(AND(MOD(ABS(position_two),100)&gt;10,MOD(ABS(position_two),100)&lt;14),"th", CHOOSE(MOD(ABS(position_two),10)+1,"th","st","nd","rd","th","th","th","th","th","th")),"")</f>
        <v>150th</v>
      </c>
      <c r="E153" s="62">
        <f>ROWS($B$4:$B153)</f>
        <v>150</v>
      </c>
      <c r="F153" s="62" t="str">
        <f>IF($B153=REPORT_CARD!$M$12,$E153,"")</f>
        <v/>
      </c>
      <c r="G153" s="62" t="str">
        <f t="shared" si="2"/>
        <v/>
      </c>
    </row>
    <row r="154" spans="1:7" ht="13" thickBot="1">
      <c r="A154" s="92">
        <v>151</v>
      </c>
      <c r="B154" s="93" t="s">
        <v>249</v>
      </c>
      <c r="C154" s="94">
        <v>472</v>
      </c>
      <c r="D154" s="67" t="str">
        <f>IFERROR(position_two&amp;IF(AND(MOD(ABS(position_two),100)&gt;10,MOD(ABS(position_two),100)&lt;14),"th", CHOOSE(MOD(ABS(position_two),10)+1,"th","st","nd","rd","th","th","th","th","th","th")),"")</f>
        <v>150th</v>
      </c>
      <c r="E154" s="62">
        <f>ROWS($B$4:$B154)</f>
        <v>151</v>
      </c>
      <c r="F154" s="62" t="str">
        <f>IF($B154=REPORT_CARD!$M$12,$E154,"")</f>
        <v/>
      </c>
      <c r="G154" s="62" t="str">
        <f t="shared" si="2"/>
        <v/>
      </c>
    </row>
    <row r="155" spans="1:7" ht="13" thickBot="1">
      <c r="A155" s="92">
        <v>152</v>
      </c>
      <c r="B155" s="93" t="s">
        <v>250</v>
      </c>
      <c r="C155" s="94">
        <v>469</v>
      </c>
      <c r="D155" s="67" t="str">
        <f>IFERROR(position_two&amp;IF(AND(MOD(ABS(position_two),100)&gt;10,MOD(ABS(position_two),100)&lt;14),"th", CHOOSE(MOD(ABS(position_two),10)+1,"th","st","nd","rd","th","th","th","th","th","th")),"")</f>
        <v>152nd</v>
      </c>
      <c r="E155" s="62">
        <f>ROWS($B$4:$B155)</f>
        <v>152</v>
      </c>
      <c r="F155" s="62" t="str">
        <f>IF($B155=REPORT_CARD!$M$12,$E155,"")</f>
        <v/>
      </c>
      <c r="G155" s="62" t="str">
        <f t="shared" si="2"/>
        <v/>
      </c>
    </row>
    <row r="156" spans="1:7" ht="13" thickBot="1">
      <c r="A156" s="92">
        <v>153</v>
      </c>
      <c r="B156" s="93" t="s">
        <v>251</v>
      </c>
      <c r="C156" s="94">
        <v>469</v>
      </c>
      <c r="D156" s="67" t="str">
        <f>IFERROR(position_two&amp;IF(AND(MOD(ABS(position_two),100)&gt;10,MOD(ABS(position_two),100)&lt;14),"th", CHOOSE(MOD(ABS(position_two),10)+1,"th","st","nd","rd","th","th","th","th","th","th")),"")</f>
        <v>152nd</v>
      </c>
      <c r="E156" s="62">
        <f>ROWS($B$4:$B156)</f>
        <v>153</v>
      </c>
      <c r="F156" s="62" t="str">
        <f>IF($B156=REPORT_CARD!$M$12,$E156,"")</f>
        <v/>
      </c>
      <c r="G156" s="62" t="str">
        <f t="shared" si="2"/>
        <v/>
      </c>
    </row>
    <row r="157" spans="1:7" ht="13" thickBot="1">
      <c r="A157" s="92">
        <v>154</v>
      </c>
      <c r="B157" s="93" t="s">
        <v>252</v>
      </c>
      <c r="C157" s="94">
        <v>467</v>
      </c>
      <c r="D157" s="67" t="str">
        <f>IFERROR(position_two&amp;IF(AND(MOD(ABS(position_two),100)&gt;10,MOD(ABS(position_two),100)&lt;14),"th", CHOOSE(MOD(ABS(position_two),10)+1,"th","st","nd","rd","th","th","th","th","th","th")),"")</f>
        <v>154th</v>
      </c>
      <c r="E157" s="62">
        <f>ROWS($B$4:$B157)</f>
        <v>154</v>
      </c>
      <c r="F157" s="62" t="str">
        <f>IF($B157=REPORT_CARD!$M$12,$E157,"")</f>
        <v/>
      </c>
      <c r="G157" s="62" t="str">
        <f t="shared" si="2"/>
        <v/>
      </c>
    </row>
    <row r="158" spans="1:7" ht="13" thickBot="1">
      <c r="A158" s="92">
        <v>155</v>
      </c>
      <c r="B158" s="93" t="s">
        <v>83</v>
      </c>
      <c r="C158" s="94">
        <v>463</v>
      </c>
      <c r="D158" s="67" t="str">
        <f>IFERROR(position_two&amp;IF(AND(MOD(ABS(position_two),100)&gt;10,MOD(ABS(position_two),100)&lt;14),"th", CHOOSE(MOD(ABS(position_two),10)+1,"th","st","nd","rd","th","th","th","th","th","th")),"")</f>
        <v>155th</v>
      </c>
      <c r="E158" s="62">
        <f>ROWS($B$4:$B158)</f>
        <v>155</v>
      </c>
      <c r="F158" s="62" t="str">
        <f>IF($B158=REPORT_CARD!$M$12,$E158,"")</f>
        <v/>
      </c>
      <c r="G158" s="62" t="str">
        <f t="shared" si="2"/>
        <v/>
      </c>
    </row>
    <row r="159" spans="1:7" ht="13" thickBot="1">
      <c r="A159" s="92">
        <v>156</v>
      </c>
      <c r="B159" s="93" t="s">
        <v>111</v>
      </c>
      <c r="C159" s="94">
        <v>462</v>
      </c>
      <c r="D159" s="67" t="str">
        <f>IFERROR(position_two&amp;IF(AND(MOD(ABS(position_two),100)&gt;10,MOD(ABS(position_two),100)&lt;14),"th", CHOOSE(MOD(ABS(position_two),10)+1,"th","st","nd","rd","th","th","th","th","th","th")),"")</f>
        <v>156th</v>
      </c>
      <c r="E159" s="62">
        <f>ROWS($B$4:$B159)</f>
        <v>156</v>
      </c>
      <c r="F159" s="62" t="str">
        <f>IF($B159=REPORT_CARD!$M$12,$E159,"")</f>
        <v/>
      </c>
      <c r="G159" s="62" t="str">
        <f t="shared" si="2"/>
        <v/>
      </c>
    </row>
    <row r="160" spans="1:7" ht="13" thickBot="1">
      <c r="A160" s="92">
        <v>157</v>
      </c>
      <c r="B160" s="93" t="s">
        <v>80</v>
      </c>
      <c r="C160" s="94">
        <v>462</v>
      </c>
      <c r="D160" s="67" t="str">
        <f>IFERROR(position_two&amp;IF(AND(MOD(ABS(position_two),100)&gt;10,MOD(ABS(position_two),100)&lt;14),"th", CHOOSE(MOD(ABS(position_two),10)+1,"th","st","nd","rd","th","th","th","th","th","th")),"")</f>
        <v>156th</v>
      </c>
      <c r="E160" s="62">
        <f>ROWS($B$4:$B160)</f>
        <v>157</v>
      </c>
      <c r="F160" s="62" t="str">
        <f>IF($B160=REPORT_CARD!$M$12,$E160,"")</f>
        <v/>
      </c>
      <c r="G160" s="62" t="str">
        <f t="shared" si="2"/>
        <v/>
      </c>
    </row>
    <row r="161" spans="1:7" ht="13" thickBot="1">
      <c r="A161" s="92">
        <v>158</v>
      </c>
      <c r="B161" s="93" t="s">
        <v>253</v>
      </c>
      <c r="C161" s="94">
        <v>461</v>
      </c>
      <c r="D161" s="67" t="str">
        <f>IFERROR(position_two&amp;IF(AND(MOD(ABS(position_two),100)&gt;10,MOD(ABS(position_two),100)&lt;14),"th", CHOOSE(MOD(ABS(position_two),10)+1,"th","st","nd","rd","th","th","th","th","th","th")),"")</f>
        <v>158th</v>
      </c>
      <c r="E161" s="62">
        <f>ROWS($B$4:$B161)</f>
        <v>158</v>
      </c>
      <c r="F161" s="62" t="str">
        <f>IF($B161=REPORT_CARD!$M$12,$E161,"")</f>
        <v/>
      </c>
      <c r="G161" s="62" t="str">
        <f t="shared" si="2"/>
        <v/>
      </c>
    </row>
    <row r="162" spans="1:7" ht="13" thickBot="1">
      <c r="A162" s="92">
        <v>159</v>
      </c>
      <c r="B162" s="93" t="s">
        <v>254</v>
      </c>
      <c r="C162" s="94">
        <v>459</v>
      </c>
      <c r="D162" s="67" t="str">
        <f>IFERROR(position_two&amp;IF(AND(MOD(ABS(position_two),100)&gt;10,MOD(ABS(position_two),100)&lt;14),"th", CHOOSE(MOD(ABS(position_two),10)+1,"th","st","nd","rd","th","th","th","th","th","th")),"")</f>
        <v>159th</v>
      </c>
      <c r="E162" s="62">
        <f>ROWS($B$4:$B162)</f>
        <v>159</v>
      </c>
      <c r="F162" s="62" t="str">
        <f>IF($B162=REPORT_CARD!$M$12,$E162,"")</f>
        <v/>
      </c>
      <c r="G162" s="62" t="str">
        <f t="shared" si="2"/>
        <v/>
      </c>
    </row>
    <row r="163" spans="1:7" ht="13" thickBot="1">
      <c r="A163" s="92">
        <v>160</v>
      </c>
      <c r="B163" s="93" t="s">
        <v>64</v>
      </c>
      <c r="C163" s="94">
        <v>458</v>
      </c>
      <c r="D163" s="67" t="str">
        <f>IFERROR(position_two&amp;IF(AND(MOD(ABS(position_two),100)&gt;10,MOD(ABS(position_two),100)&lt;14),"th", CHOOSE(MOD(ABS(position_two),10)+1,"th","st","nd","rd","th","th","th","th","th","th")),"")</f>
        <v>160th</v>
      </c>
      <c r="E163" s="62">
        <f>ROWS($B$4:$B163)</f>
        <v>160</v>
      </c>
      <c r="F163" s="62" t="str">
        <f>IF($B163=REPORT_CARD!$M$12,$E163,"")</f>
        <v/>
      </c>
      <c r="G163" s="62" t="str">
        <f t="shared" si="2"/>
        <v/>
      </c>
    </row>
    <row r="164" spans="1:7" ht="13" thickBot="1">
      <c r="A164" s="92">
        <v>161</v>
      </c>
      <c r="B164" s="93" t="s">
        <v>255</v>
      </c>
      <c r="C164" s="94">
        <v>458</v>
      </c>
      <c r="D164" s="67" t="str">
        <f>IFERROR(position_two&amp;IF(AND(MOD(ABS(position_two),100)&gt;10,MOD(ABS(position_two),100)&lt;14),"th", CHOOSE(MOD(ABS(position_two),10)+1,"th","st","nd","rd","th","th","th","th","th","th")),"")</f>
        <v>160th</v>
      </c>
      <c r="E164" s="62">
        <f>ROWS($B$4:$B164)</f>
        <v>161</v>
      </c>
      <c r="F164" s="62" t="str">
        <f>IF($B164=REPORT_CARD!$M$12,$E164,"")</f>
        <v/>
      </c>
      <c r="G164" s="62" t="str">
        <f t="shared" si="2"/>
        <v/>
      </c>
    </row>
    <row r="165" spans="1:7" ht="13" thickBot="1">
      <c r="A165" s="92">
        <v>162</v>
      </c>
      <c r="B165" s="93" t="s">
        <v>66</v>
      </c>
      <c r="C165" s="94">
        <v>457</v>
      </c>
      <c r="D165" s="67" t="str">
        <f>IFERROR(position_two&amp;IF(AND(MOD(ABS(position_two),100)&gt;10,MOD(ABS(position_two),100)&lt;14),"th", CHOOSE(MOD(ABS(position_two),10)+1,"th","st","nd","rd","th","th","th","th","th","th")),"")</f>
        <v>162nd</v>
      </c>
      <c r="E165" s="62">
        <f>ROWS($B$4:$B165)</f>
        <v>162</v>
      </c>
      <c r="F165" s="62" t="str">
        <f>IF($B165=REPORT_CARD!$M$12,$E165,"")</f>
        <v/>
      </c>
      <c r="G165" s="62" t="str">
        <f t="shared" si="2"/>
        <v/>
      </c>
    </row>
    <row r="166" spans="1:7" ht="13" thickBot="1">
      <c r="A166" s="92">
        <v>163</v>
      </c>
      <c r="B166" s="93" t="s">
        <v>256</v>
      </c>
      <c r="C166" s="94">
        <v>454</v>
      </c>
      <c r="D166" s="67" t="str">
        <f>IFERROR(position_two&amp;IF(AND(MOD(ABS(position_two),100)&gt;10,MOD(ABS(position_two),100)&lt;14),"th", CHOOSE(MOD(ABS(position_two),10)+1,"th","st","nd","rd","th","th","th","th","th","th")),"")</f>
        <v>163rd</v>
      </c>
      <c r="E166" s="62">
        <f>ROWS($B$4:$B166)</f>
        <v>163</v>
      </c>
      <c r="F166" s="62" t="str">
        <f>IF($B166=REPORT_CARD!$M$12,$E166,"")</f>
        <v/>
      </c>
      <c r="G166" s="62" t="str">
        <f t="shared" si="2"/>
        <v/>
      </c>
    </row>
    <row r="167" spans="1:7" ht="13" thickBot="1">
      <c r="A167" s="92">
        <v>164</v>
      </c>
      <c r="B167" s="93" t="s">
        <v>257</v>
      </c>
      <c r="C167" s="94">
        <v>454</v>
      </c>
      <c r="D167" s="67" t="str">
        <f>IFERROR(position_two&amp;IF(AND(MOD(ABS(position_two),100)&gt;10,MOD(ABS(position_two),100)&lt;14),"th", CHOOSE(MOD(ABS(position_two),10)+1,"th","st","nd","rd","th","th","th","th","th","th")),"")</f>
        <v>163rd</v>
      </c>
      <c r="E167" s="62">
        <f>ROWS($B$4:$B167)</f>
        <v>164</v>
      </c>
      <c r="F167" s="62" t="str">
        <f>IF($B167=REPORT_CARD!$M$12,$E167,"")</f>
        <v/>
      </c>
      <c r="G167" s="62" t="str">
        <f t="shared" si="2"/>
        <v/>
      </c>
    </row>
    <row r="168" spans="1:7" ht="13" thickBot="1">
      <c r="A168" s="92">
        <v>165</v>
      </c>
      <c r="B168" s="93" t="s">
        <v>258</v>
      </c>
      <c r="C168" s="94">
        <v>453</v>
      </c>
      <c r="D168" s="67" t="str">
        <f>IFERROR(position_two&amp;IF(AND(MOD(ABS(position_two),100)&gt;10,MOD(ABS(position_two),100)&lt;14),"th", CHOOSE(MOD(ABS(position_two),10)+1,"th","st","nd","rd","th","th","th","th","th","th")),"")</f>
        <v>165th</v>
      </c>
      <c r="E168" s="62">
        <f>ROWS($B$4:$B168)</f>
        <v>165</v>
      </c>
      <c r="F168" s="62" t="str">
        <f>IF($B168=REPORT_CARD!$M$12,$E168,"")</f>
        <v/>
      </c>
      <c r="G168" s="62" t="str">
        <f t="shared" si="2"/>
        <v/>
      </c>
    </row>
    <row r="169" spans="1:7" ht="13" thickBot="1">
      <c r="A169" s="92">
        <v>166</v>
      </c>
      <c r="B169" s="93" t="s">
        <v>259</v>
      </c>
      <c r="C169" s="94">
        <v>453</v>
      </c>
      <c r="D169" s="67" t="str">
        <f>IFERROR(position_two&amp;IF(AND(MOD(ABS(position_two),100)&gt;10,MOD(ABS(position_two),100)&lt;14),"th", CHOOSE(MOD(ABS(position_two),10)+1,"th","st","nd","rd","th","th","th","th","th","th")),"")</f>
        <v>165th</v>
      </c>
      <c r="E169" s="62">
        <f>ROWS($B$4:$B169)</f>
        <v>166</v>
      </c>
      <c r="F169" s="62" t="str">
        <f>IF($B169=REPORT_CARD!$M$12,$E169,"")</f>
        <v/>
      </c>
      <c r="G169" s="62" t="str">
        <f t="shared" si="2"/>
        <v/>
      </c>
    </row>
    <row r="170" spans="1:7" ht="13" thickBot="1">
      <c r="A170" s="92">
        <v>167</v>
      </c>
      <c r="B170" s="93" t="s">
        <v>260</v>
      </c>
      <c r="C170" s="94">
        <v>451</v>
      </c>
      <c r="D170" s="67" t="str">
        <f>IFERROR(position_two&amp;IF(AND(MOD(ABS(position_two),100)&gt;10,MOD(ABS(position_two),100)&lt;14),"th", CHOOSE(MOD(ABS(position_two),10)+1,"th","st","nd","rd","th","th","th","th","th","th")),"")</f>
        <v>167th</v>
      </c>
      <c r="E170" s="62">
        <f>ROWS($B$4:$B170)</f>
        <v>167</v>
      </c>
      <c r="F170" s="62" t="str">
        <f>IF($B170=REPORT_CARD!$M$12,$E170,"")</f>
        <v/>
      </c>
      <c r="G170" s="62" t="str">
        <f t="shared" si="2"/>
        <v/>
      </c>
    </row>
    <row r="171" spans="1:7" ht="13" thickBot="1">
      <c r="A171" s="92">
        <v>168</v>
      </c>
      <c r="B171" s="93" t="s">
        <v>115</v>
      </c>
      <c r="C171" s="94">
        <v>450</v>
      </c>
      <c r="D171" s="67" t="str">
        <f>IFERROR(position_two&amp;IF(AND(MOD(ABS(position_two),100)&gt;10,MOD(ABS(position_two),100)&lt;14),"th", CHOOSE(MOD(ABS(position_two),10)+1,"th","st","nd","rd","th","th","th","th","th","th")),"")</f>
        <v>168th</v>
      </c>
      <c r="E171" s="62">
        <f>ROWS($B$4:$B171)</f>
        <v>168</v>
      </c>
      <c r="F171" s="62" t="str">
        <f>IF($B171=REPORT_CARD!$M$12,$E171,"")</f>
        <v/>
      </c>
      <c r="G171" s="62" t="str">
        <f t="shared" si="2"/>
        <v/>
      </c>
    </row>
    <row r="172" spans="1:7" ht="13" thickBot="1">
      <c r="A172" s="92">
        <v>169</v>
      </c>
      <c r="B172" s="93" t="s">
        <v>261</v>
      </c>
      <c r="C172" s="94">
        <v>450</v>
      </c>
      <c r="D172" s="67" t="str">
        <f>IFERROR(position_two&amp;IF(AND(MOD(ABS(position_two),100)&gt;10,MOD(ABS(position_two),100)&lt;14),"th", CHOOSE(MOD(ABS(position_two),10)+1,"th","st","nd","rd","th","th","th","th","th","th")),"")</f>
        <v>168th</v>
      </c>
      <c r="E172" s="62">
        <f>ROWS($B$4:$B172)</f>
        <v>169</v>
      </c>
      <c r="F172" s="62" t="str">
        <f>IF($B172=REPORT_CARD!$M$12,$E172,"")</f>
        <v/>
      </c>
      <c r="G172" s="62" t="str">
        <f t="shared" si="2"/>
        <v/>
      </c>
    </row>
    <row r="173" spans="1:7" ht="13" thickBot="1">
      <c r="A173" s="92">
        <v>170</v>
      </c>
      <c r="B173" s="93" t="s">
        <v>118</v>
      </c>
      <c r="C173" s="94">
        <v>449</v>
      </c>
      <c r="D173" s="67" t="str">
        <f>IFERROR(position_two&amp;IF(AND(MOD(ABS(position_two),100)&gt;10,MOD(ABS(position_two),100)&lt;14),"th", CHOOSE(MOD(ABS(position_two),10)+1,"th","st","nd","rd","th","th","th","th","th","th")),"")</f>
        <v>170th</v>
      </c>
      <c r="E173" s="62">
        <f>ROWS($B$4:$B173)</f>
        <v>170</v>
      </c>
      <c r="F173" s="62" t="str">
        <f>IF($B173=REPORT_CARD!$M$12,$E173,"")</f>
        <v/>
      </c>
      <c r="G173" s="62" t="str">
        <f t="shared" si="2"/>
        <v/>
      </c>
    </row>
    <row r="174" spans="1:7" ht="13" thickBot="1">
      <c r="A174" s="92">
        <v>171</v>
      </c>
      <c r="B174" s="93" t="s">
        <v>262</v>
      </c>
      <c r="C174" s="94">
        <v>449</v>
      </c>
      <c r="D174" s="67" t="str">
        <f>IFERROR(position_two&amp;IF(AND(MOD(ABS(position_two),100)&gt;10,MOD(ABS(position_two),100)&lt;14),"th", CHOOSE(MOD(ABS(position_two),10)+1,"th","st","nd","rd","th","th","th","th","th","th")),"")</f>
        <v>170th</v>
      </c>
      <c r="E174" s="62">
        <f>ROWS($B$4:$B174)</f>
        <v>171</v>
      </c>
      <c r="F174" s="62" t="str">
        <f>IF($B174=REPORT_CARD!$M$12,$E174,"")</f>
        <v/>
      </c>
      <c r="G174" s="62" t="str">
        <f t="shared" si="2"/>
        <v/>
      </c>
    </row>
    <row r="175" spans="1:7" ht="13" thickBot="1">
      <c r="A175" s="96">
        <v>172</v>
      </c>
      <c r="B175" s="93" t="s">
        <v>263</v>
      </c>
      <c r="C175" s="94">
        <v>447</v>
      </c>
      <c r="D175" s="67" t="str">
        <f>IFERROR(position_two&amp;IF(AND(MOD(ABS(position_two),100)&gt;10,MOD(ABS(position_two),100)&lt;14),"th", CHOOSE(MOD(ABS(position_two),10)+1,"th","st","nd","rd","th","th","th","th","th","th")),"")</f>
        <v>172nd</v>
      </c>
      <c r="E175" s="62">
        <f>ROWS($B$4:$B175)</f>
        <v>172</v>
      </c>
      <c r="F175" s="62" t="str">
        <f>IF($B175=REPORT_CARD!$M$12,$E175,"")</f>
        <v/>
      </c>
      <c r="G175" s="62" t="str">
        <f t="shared" si="2"/>
        <v/>
      </c>
    </row>
    <row r="176" spans="1:7" ht="13" thickBot="1">
      <c r="A176" s="92">
        <v>173</v>
      </c>
      <c r="B176" s="93" t="s">
        <v>264</v>
      </c>
      <c r="C176" s="94">
        <v>447</v>
      </c>
      <c r="D176" s="67" t="str">
        <f>IFERROR(position_two&amp;IF(AND(MOD(ABS(position_two),100)&gt;10,MOD(ABS(position_two),100)&lt;14),"th", CHOOSE(MOD(ABS(position_two),10)+1,"th","st","nd","rd","th","th","th","th","th","th")),"")</f>
        <v>172nd</v>
      </c>
      <c r="E176" s="62">
        <f>ROWS($B$4:$B176)</f>
        <v>173</v>
      </c>
      <c r="F176" s="62" t="str">
        <f>IF($B176=REPORT_CARD!$M$12,$E176,"")</f>
        <v/>
      </c>
      <c r="G176" s="62" t="str">
        <f t="shared" si="2"/>
        <v/>
      </c>
    </row>
    <row r="177" spans="1:7" ht="13" thickBot="1">
      <c r="A177" s="92">
        <v>174</v>
      </c>
      <c r="B177" s="93" t="s">
        <v>265</v>
      </c>
      <c r="C177" s="94">
        <v>445</v>
      </c>
      <c r="D177" s="67" t="str">
        <f>IFERROR(position_two&amp;IF(AND(MOD(ABS(position_two),100)&gt;10,MOD(ABS(position_two),100)&lt;14),"th", CHOOSE(MOD(ABS(position_two),10)+1,"th","st","nd","rd","th","th","th","th","th","th")),"")</f>
        <v>174th</v>
      </c>
      <c r="E177" s="62">
        <f>ROWS($B$4:$B177)</f>
        <v>174</v>
      </c>
      <c r="F177" s="62" t="str">
        <f>IF($B177=REPORT_CARD!$M$12,$E177,"")</f>
        <v/>
      </c>
      <c r="G177" s="62" t="str">
        <f t="shared" si="2"/>
        <v/>
      </c>
    </row>
    <row r="178" spans="1:7" ht="13" thickBot="1">
      <c r="A178" s="92">
        <v>175</v>
      </c>
      <c r="B178" s="93" t="s">
        <v>266</v>
      </c>
      <c r="C178" s="94">
        <v>442</v>
      </c>
      <c r="D178" s="67" t="str">
        <f>IFERROR(position_two&amp;IF(AND(MOD(ABS(position_two),100)&gt;10,MOD(ABS(position_two),100)&lt;14),"th", CHOOSE(MOD(ABS(position_two),10)+1,"th","st","nd","rd","th","th","th","th","th","th")),"")</f>
        <v>175th</v>
      </c>
      <c r="E178" s="62">
        <f>ROWS($B$4:$B178)</f>
        <v>175</v>
      </c>
      <c r="F178" s="62" t="str">
        <f>IF($B178=REPORT_CARD!$M$12,$E178,"")</f>
        <v/>
      </c>
      <c r="G178" s="62" t="str">
        <f t="shared" si="2"/>
        <v/>
      </c>
    </row>
    <row r="179" spans="1:7" ht="13" thickBot="1">
      <c r="A179" s="92">
        <v>176</v>
      </c>
      <c r="B179" s="93" t="s">
        <v>82</v>
      </c>
      <c r="C179" s="94">
        <v>441</v>
      </c>
      <c r="D179" s="67" t="str">
        <f>IFERROR(position_two&amp;IF(AND(MOD(ABS(position_two),100)&gt;10,MOD(ABS(position_two),100)&lt;14),"th", CHOOSE(MOD(ABS(position_two),10)+1,"th","st","nd","rd","th","th","th","th","th","th")),"")</f>
        <v>176th</v>
      </c>
      <c r="E179" s="62">
        <f>ROWS($B$4:$B179)</f>
        <v>176</v>
      </c>
      <c r="F179" s="62" t="str">
        <f>IF($B179=REPORT_CARD!$M$12,$E179,"")</f>
        <v/>
      </c>
      <c r="G179" s="62" t="str">
        <f t="shared" si="2"/>
        <v/>
      </c>
    </row>
    <row r="180" spans="1:7" ht="13" thickBot="1">
      <c r="A180" s="92">
        <v>177</v>
      </c>
      <c r="B180" s="93" t="s">
        <v>267</v>
      </c>
      <c r="C180" s="94">
        <v>439</v>
      </c>
      <c r="D180" s="67" t="str">
        <f>IFERROR(position_two&amp;IF(AND(MOD(ABS(position_two),100)&gt;10,MOD(ABS(position_two),100)&lt;14),"th", CHOOSE(MOD(ABS(position_two),10)+1,"th","st","nd","rd","th","th","th","th","th","th")),"")</f>
        <v>177th</v>
      </c>
      <c r="E180" s="62">
        <f>ROWS($B$4:$B180)</f>
        <v>177</v>
      </c>
      <c r="F180" s="62" t="str">
        <f>IF($B180=REPORT_CARD!$M$12,$E180,"")</f>
        <v/>
      </c>
      <c r="G180" s="62" t="str">
        <f t="shared" si="2"/>
        <v/>
      </c>
    </row>
    <row r="181" spans="1:7" ht="13" thickBot="1">
      <c r="A181" s="92">
        <v>178</v>
      </c>
      <c r="B181" s="93" t="s">
        <v>268</v>
      </c>
      <c r="C181" s="94">
        <v>439</v>
      </c>
      <c r="D181" s="67" t="str">
        <f>IFERROR(position_two&amp;IF(AND(MOD(ABS(position_two),100)&gt;10,MOD(ABS(position_two),100)&lt;14),"th", CHOOSE(MOD(ABS(position_two),10)+1,"th","st","nd","rd","th","th","th","th","th","th")),"")</f>
        <v>177th</v>
      </c>
      <c r="E181" s="62">
        <f>ROWS($B$4:$B181)</f>
        <v>178</v>
      </c>
      <c r="F181" s="62" t="str">
        <f>IF($B181=REPORT_CARD!$M$12,$E181,"")</f>
        <v/>
      </c>
      <c r="G181" s="62" t="str">
        <f t="shared" si="2"/>
        <v/>
      </c>
    </row>
    <row r="182" spans="1:7" ht="13" thickBot="1">
      <c r="A182" s="92">
        <v>179</v>
      </c>
      <c r="B182" s="93" t="s">
        <v>269</v>
      </c>
      <c r="C182" s="94">
        <v>438</v>
      </c>
      <c r="D182" s="67" t="str">
        <f>IFERROR(position_two&amp;IF(AND(MOD(ABS(position_two),100)&gt;10,MOD(ABS(position_two),100)&lt;14),"th", CHOOSE(MOD(ABS(position_two),10)+1,"th","st","nd","rd","th","th","th","th","th","th")),"")</f>
        <v>179th</v>
      </c>
      <c r="E182" s="62">
        <f>ROWS($B$4:$B182)</f>
        <v>179</v>
      </c>
      <c r="F182" s="62" t="str">
        <f>IF($B182=REPORT_CARD!$M$12,$E182,"")</f>
        <v/>
      </c>
      <c r="G182" s="62" t="str">
        <f t="shared" si="2"/>
        <v/>
      </c>
    </row>
    <row r="183" spans="1:7" ht="13" thickBot="1">
      <c r="A183" s="92">
        <v>180</v>
      </c>
      <c r="B183" s="93" t="s">
        <v>270</v>
      </c>
      <c r="C183" s="94">
        <v>437</v>
      </c>
      <c r="D183" s="67" t="str">
        <f>IFERROR(position_two&amp;IF(AND(MOD(ABS(position_two),100)&gt;10,MOD(ABS(position_two),100)&lt;14),"th", CHOOSE(MOD(ABS(position_two),10)+1,"th","st","nd","rd","th","th","th","th","th","th")),"")</f>
        <v>180th</v>
      </c>
      <c r="E183" s="62">
        <f>ROWS($B$4:$B183)</f>
        <v>180</v>
      </c>
      <c r="F183" s="62" t="str">
        <f>IF($B183=REPORT_CARD!$M$12,$E183,"")</f>
        <v/>
      </c>
      <c r="G183" s="62" t="str">
        <f t="shared" si="2"/>
        <v/>
      </c>
    </row>
    <row r="184" spans="1:7" ht="13" thickBot="1">
      <c r="A184" s="92">
        <v>181</v>
      </c>
      <c r="B184" s="93" t="s">
        <v>271</v>
      </c>
      <c r="C184" s="94">
        <v>436</v>
      </c>
      <c r="D184" s="67" t="str">
        <f>IFERROR(position_two&amp;IF(AND(MOD(ABS(position_two),100)&gt;10,MOD(ABS(position_two),100)&lt;14),"th", CHOOSE(MOD(ABS(position_two),10)+1,"th","st","nd","rd","th","th","th","th","th","th")),"")</f>
        <v>181st</v>
      </c>
      <c r="E184" s="62">
        <f>ROWS($B$4:$B184)</f>
        <v>181</v>
      </c>
      <c r="F184" s="62" t="str">
        <f>IF($B184=REPORT_CARD!$M$12,$E184,"")</f>
        <v/>
      </c>
      <c r="G184" s="62" t="str">
        <f t="shared" si="2"/>
        <v/>
      </c>
    </row>
    <row r="185" spans="1:7" ht="13" thickBot="1">
      <c r="A185" s="92">
        <v>182</v>
      </c>
      <c r="B185" s="93" t="s">
        <v>272</v>
      </c>
      <c r="C185" s="94">
        <v>433</v>
      </c>
      <c r="D185" s="67" t="str">
        <f>IFERROR(position_two&amp;IF(AND(MOD(ABS(position_two),100)&gt;10,MOD(ABS(position_two),100)&lt;14),"th", CHOOSE(MOD(ABS(position_two),10)+1,"th","st","nd","rd","th","th","th","th","th","th")),"")</f>
        <v>182nd</v>
      </c>
      <c r="E185" s="62">
        <f>ROWS($B$4:$B185)</f>
        <v>182</v>
      </c>
      <c r="F185" s="62" t="str">
        <f>IF($B185=REPORT_CARD!$M$12,$E185,"")</f>
        <v/>
      </c>
      <c r="G185" s="62" t="str">
        <f t="shared" si="2"/>
        <v/>
      </c>
    </row>
    <row r="186" spans="1:7" ht="13" thickBot="1">
      <c r="A186" s="92">
        <v>183</v>
      </c>
      <c r="B186" s="93" t="s">
        <v>273</v>
      </c>
      <c r="C186" s="94">
        <v>432</v>
      </c>
      <c r="D186" s="67" t="str">
        <f>IFERROR(position_two&amp;IF(AND(MOD(ABS(position_two),100)&gt;10,MOD(ABS(position_two),100)&lt;14),"th", CHOOSE(MOD(ABS(position_two),10)+1,"th","st","nd","rd","th","th","th","th","th","th")),"")</f>
        <v>183rd</v>
      </c>
      <c r="E186" s="62">
        <f>ROWS($B$4:$B186)</f>
        <v>183</v>
      </c>
      <c r="F186" s="62" t="str">
        <f>IF($B186=REPORT_CARD!$M$12,$E186,"")</f>
        <v/>
      </c>
      <c r="G186" s="62" t="str">
        <f t="shared" si="2"/>
        <v/>
      </c>
    </row>
    <row r="187" spans="1:7" ht="13" thickBot="1">
      <c r="A187" s="92">
        <v>184</v>
      </c>
      <c r="B187" s="93" t="s">
        <v>274</v>
      </c>
      <c r="C187" s="94">
        <v>432</v>
      </c>
      <c r="D187" s="67" t="str">
        <f>IFERROR(position_two&amp;IF(AND(MOD(ABS(position_two),100)&gt;10,MOD(ABS(position_two),100)&lt;14),"th", CHOOSE(MOD(ABS(position_two),10)+1,"th","st","nd","rd","th","th","th","th","th","th")),"")</f>
        <v>183rd</v>
      </c>
      <c r="E187" s="62">
        <f>ROWS($B$4:$B187)</f>
        <v>184</v>
      </c>
      <c r="F187" s="62" t="str">
        <f>IF($B187=REPORT_CARD!$M$12,$E187,"")</f>
        <v/>
      </c>
      <c r="G187" s="62" t="str">
        <f t="shared" si="2"/>
        <v/>
      </c>
    </row>
    <row r="188" spans="1:7" ht="13" thickBot="1">
      <c r="A188" s="92">
        <v>185</v>
      </c>
      <c r="B188" s="93" t="s">
        <v>275</v>
      </c>
      <c r="C188" s="94">
        <v>431</v>
      </c>
      <c r="D188" s="67" t="str">
        <f>IFERROR(position_two&amp;IF(AND(MOD(ABS(position_two),100)&gt;10,MOD(ABS(position_two),100)&lt;14),"th", CHOOSE(MOD(ABS(position_two),10)+1,"th","st","nd","rd","th","th","th","th","th","th")),"")</f>
        <v>185th</v>
      </c>
      <c r="E188" s="62">
        <f>ROWS($B$4:$B188)</f>
        <v>185</v>
      </c>
      <c r="F188" s="62" t="str">
        <f>IF($B188=REPORT_CARD!$M$12,$E188,"")</f>
        <v/>
      </c>
      <c r="G188" s="62" t="str">
        <f t="shared" si="2"/>
        <v/>
      </c>
    </row>
    <row r="189" spans="1:7" ht="13" thickBot="1">
      <c r="A189" s="92">
        <v>186</v>
      </c>
      <c r="B189" s="93" t="s">
        <v>276</v>
      </c>
      <c r="C189" s="94">
        <v>428</v>
      </c>
      <c r="D189" s="67" t="str">
        <f>IFERROR(position_two&amp;IF(AND(MOD(ABS(position_two),100)&gt;10,MOD(ABS(position_two),100)&lt;14),"th", CHOOSE(MOD(ABS(position_two),10)+1,"th","st","nd","rd","th","th","th","th","th","th")),"")</f>
        <v>186th</v>
      </c>
      <c r="E189" s="62">
        <f>ROWS($B$4:$B189)</f>
        <v>186</v>
      </c>
      <c r="F189" s="62" t="str">
        <f>IF($B189=REPORT_CARD!$M$12,$E189,"")</f>
        <v/>
      </c>
      <c r="G189" s="62" t="str">
        <f t="shared" si="2"/>
        <v/>
      </c>
    </row>
    <row r="190" spans="1:7" ht="13" thickBot="1">
      <c r="A190" s="92">
        <v>187</v>
      </c>
      <c r="B190" s="93" t="s">
        <v>277</v>
      </c>
      <c r="C190" s="94">
        <v>428</v>
      </c>
      <c r="D190" s="67" t="str">
        <f>IFERROR(position_two&amp;IF(AND(MOD(ABS(position_two),100)&gt;10,MOD(ABS(position_two),100)&lt;14),"th", CHOOSE(MOD(ABS(position_two),10)+1,"th","st","nd","rd","th","th","th","th","th","th")),"")</f>
        <v>186th</v>
      </c>
      <c r="E190" s="62">
        <f>ROWS($B$4:$B190)</f>
        <v>187</v>
      </c>
      <c r="F190" s="62" t="str">
        <f>IF($B190=REPORT_CARD!$M$12,$E190,"")</f>
        <v/>
      </c>
      <c r="G190" s="62" t="str">
        <f t="shared" si="2"/>
        <v/>
      </c>
    </row>
    <row r="191" spans="1:7" ht="13" thickBot="1">
      <c r="A191" s="92">
        <v>188</v>
      </c>
      <c r="B191" s="93" t="s">
        <v>121</v>
      </c>
      <c r="C191" s="94">
        <v>425</v>
      </c>
      <c r="D191" s="67" t="str">
        <f>IFERROR(position_two&amp;IF(AND(MOD(ABS(position_two),100)&gt;10,MOD(ABS(position_two),100)&lt;14),"th", CHOOSE(MOD(ABS(position_two),10)+1,"th","st","nd","rd","th","th","th","th","th","th")),"")</f>
        <v>188th</v>
      </c>
      <c r="E191" s="62">
        <f>ROWS($B$4:$B191)</f>
        <v>188</v>
      </c>
      <c r="F191" s="62" t="str">
        <f>IF($B191=REPORT_CARD!$M$12,$E191,"")</f>
        <v/>
      </c>
      <c r="G191" s="62" t="str">
        <f t="shared" si="2"/>
        <v/>
      </c>
    </row>
    <row r="192" spans="1:7" ht="13" thickBot="1">
      <c r="A192" s="92">
        <v>189</v>
      </c>
      <c r="B192" s="93" t="s">
        <v>278</v>
      </c>
      <c r="C192" s="94">
        <v>425</v>
      </c>
      <c r="D192" s="67" t="str">
        <f>IFERROR(position_two&amp;IF(AND(MOD(ABS(position_two),100)&gt;10,MOD(ABS(position_two),100)&lt;14),"th", CHOOSE(MOD(ABS(position_two),10)+1,"th","st","nd","rd","th","th","th","th","th","th")),"")</f>
        <v>188th</v>
      </c>
      <c r="E192" s="62">
        <f>ROWS($B$4:$B192)</f>
        <v>189</v>
      </c>
      <c r="F192" s="62" t="str">
        <f>IF($B192=REPORT_CARD!$M$12,$E192,"")</f>
        <v/>
      </c>
      <c r="G192" s="62" t="str">
        <f t="shared" si="2"/>
        <v/>
      </c>
    </row>
    <row r="193" spans="1:7" ht="13" thickBot="1">
      <c r="A193" s="92">
        <v>190</v>
      </c>
      <c r="B193" s="93" t="s">
        <v>95</v>
      </c>
      <c r="C193" s="94">
        <v>424</v>
      </c>
      <c r="D193" s="67" t="str">
        <f>IFERROR(position_two&amp;IF(AND(MOD(ABS(position_two),100)&gt;10,MOD(ABS(position_two),100)&lt;14),"th", CHOOSE(MOD(ABS(position_two),10)+1,"th","st","nd","rd","th","th","th","th","th","th")),"")</f>
        <v>190th</v>
      </c>
      <c r="E193" s="62">
        <f>ROWS($B$4:$B193)</f>
        <v>190</v>
      </c>
      <c r="F193" s="62" t="str">
        <f>IF($B193=REPORT_CARD!$M$12,$E193,"")</f>
        <v/>
      </c>
      <c r="G193" s="62" t="str">
        <f t="shared" si="2"/>
        <v/>
      </c>
    </row>
    <row r="194" spans="1:7" ht="13" thickBot="1">
      <c r="A194" s="92">
        <v>191</v>
      </c>
      <c r="B194" s="93" t="s">
        <v>279</v>
      </c>
      <c r="C194" s="94">
        <v>424</v>
      </c>
      <c r="D194" s="67" t="str">
        <f>IFERROR(position_two&amp;IF(AND(MOD(ABS(position_two),100)&gt;10,MOD(ABS(position_two),100)&lt;14),"th", CHOOSE(MOD(ABS(position_two),10)+1,"th","st","nd","rd","th","th","th","th","th","th")),"")</f>
        <v>190th</v>
      </c>
      <c r="E194" s="62">
        <f>ROWS($B$4:$B194)</f>
        <v>191</v>
      </c>
      <c r="F194" s="62" t="str">
        <f>IF($B194=REPORT_CARD!$M$12,$E194,"")</f>
        <v/>
      </c>
      <c r="G194" s="62" t="str">
        <f t="shared" si="2"/>
        <v/>
      </c>
    </row>
    <row r="195" spans="1:7" ht="13" thickBot="1">
      <c r="A195" s="92">
        <v>192</v>
      </c>
      <c r="B195" s="93" t="s">
        <v>89</v>
      </c>
      <c r="C195" s="94">
        <v>422</v>
      </c>
      <c r="D195" s="67" t="str">
        <f>IFERROR(position_two&amp;IF(AND(MOD(ABS(position_two),100)&gt;10,MOD(ABS(position_two),100)&lt;14),"th", CHOOSE(MOD(ABS(position_two),10)+1,"th","st","nd","rd","th","th","th","th","th","th")),"")</f>
        <v>192nd</v>
      </c>
      <c r="E195" s="62">
        <f>ROWS($B$4:$B195)</f>
        <v>192</v>
      </c>
      <c r="F195" s="62" t="str">
        <f>IF($B195=REPORT_CARD!$M$12,$E195,"")</f>
        <v/>
      </c>
      <c r="G195" s="62" t="str">
        <f t="shared" si="2"/>
        <v/>
      </c>
    </row>
    <row r="196" spans="1:7" ht="13" thickBot="1">
      <c r="A196" s="92">
        <v>193</v>
      </c>
      <c r="B196" s="93" t="s">
        <v>280</v>
      </c>
      <c r="C196" s="94">
        <v>422</v>
      </c>
      <c r="D196" s="67" t="str">
        <f>IFERROR(position_two&amp;IF(AND(MOD(ABS(position_two),100)&gt;10,MOD(ABS(position_two),100)&lt;14),"th", CHOOSE(MOD(ABS(position_two),10)+1,"th","st","nd","rd","th","th","th","th","th","th")),"")</f>
        <v>192nd</v>
      </c>
      <c r="E196" s="62">
        <f>ROWS($B$4:$B196)</f>
        <v>193</v>
      </c>
      <c r="F196" s="62" t="str">
        <f>IF($B196=REPORT_CARD!$M$12,$E196,"")</f>
        <v/>
      </c>
      <c r="G196" s="62" t="str">
        <f t="shared" si="2"/>
        <v/>
      </c>
    </row>
    <row r="197" spans="1:7" ht="13" thickBot="1">
      <c r="A197" s="92">
        <v>194</v>
      </c>
      <c r="B197" s="93" t="s">
        <v>72</v>
      </c>
      <c r="C197" s="94">
        <v>421</v>
      </c>
      <c r="D197" s="67" t="str">
        <f>IFERROR(position_two&amp;IF(AND(MOD(ABS(position_two),100)&gt;10,MOD(ABS(position_two),100)&lt;14),"th", CHOOSE(MOD(ABS(position_two),10)+1,"th","st","nd","rd","th","th","th","th","th","th")),"")</f>
        <v>194th</v>
      </c>
      <c r="E197" s="62">
        <f>ROWS($B$4:$B197)</f>
        <v>194</v>
      </c>
      <c r="F197" s="62" t="str">
        <f>IF($B197=REPORT_CARD!$M$12,$E197,"")</f>
        <v/>
      </c>
      <c r="G197" s="62" t="str">
        <f t="shared" ref="G197:G231" si="3">IFERROR(SMALL($F$4:$F$231,$E197),"")</f>
        <v/>
      </c>
    </row>
    <row r="198" spans="1:7" ht="13" thickBot="1">
      <c r="A198" s="92">
        <v>195</v>
      </c>
      <c r="B198" s="93" t="s">
        <v>281</v>
      </c>
      <c r="C198" s="94">
        <v>421</v>
      </c>
      <c r="D198" s="67" t="str">
        <f>IFERROR(position_two&amp;IF(AND(MOD(ABS(position_two),100)&gt;10,MOD(ABS(position_two),100)&lt;14),"th", CHOOSE(MOD(ABS(position_two),10)+1,"th","st","nd","rd","th","th","th","th","th","th")),"")</f>
        <v>194th</v>
      </c>
      <c r="E198" s="62">
        <f>ROWS($B$4:$B198)</f>
        <v>195</v>
      </c>
      <c r="F198" s="62" t="str">
        <f>IF($B198=REPORT_CARD!$M$12,$E198,"")</f>
        <v/>
      </c>
      <c r="G198" s="62" t="str">
        <f t="shared" si="3"/>
        <v/>
      </c>
    </row>
    <row r="199" spans="1:7" ht="13" thickBot="1">
      <c r="A199" s="92">
        <v>196</v>
      </c>
      <c r="B199" s="93" t="s">
        <v>282</v>
      </c>
      <c r="C199" s="94">
        <v>419</v>
      </c>
      <c r="D199" s="67" t="str">
        <f>IFERROR(position_two&amp;IF(AND(MOD(ABS(position_two),100)&gt;10,MOD(ABS(position_two),100)&lt;14),"th", CHOOSE(MOD(ABS(position_two),10)+1,"th","st","nd","rd","th","th","th","th","th","th")),"")</f>
        <v>196th</v>
      </c>
      <c r="E199" s="62">
        <f>ROWS($B$4:$B199)</f>
        <v>196</v>
      </c>
      <c r="F199" s="62" t="str">
        <f>IF($B199=REPORT_CARD!$M$12,$E199,"")</f>
        <v/>
      </c>
      <c r="G199" s="62" t="str">
        <f t="shared" si="3"/>
        <v/>
      </c>
    </row>
    <row r="200" spans="1:7" ht="13" thickBot="1">
      <c r="A200" s="92">
        <v>197</v>
      </c>
      <c r="B200" s="93" t="s">
        <v>283</v>
      </c>
      <c r="C200" s="94">
        <v>418</v>
      </c>
      <c r="D200" s="67" t="str">
        <f>IFERROR(position_two&amp;IF(AND(MOD(ABS(position_two),100)&gt;10,MOD(ABS(position_two),100)&lt;14),"th", CHOOSE(MOD(ABS(position_two),10)+1,"th","st","nd","rd","th","th","th","th","th","th")),"")</f>
        <v>197th</v>
      </c>
      <c r="E200" s="62">
        <f>ROWS($B$4:$B200)</f>
        <v>197</v>
      </c>
      <c r="F200" s="62" t="str">
        <f>IF($B200=REPORT_CARD!$M$12,$E200,"")</f>
        <v/>
      </c>
      <c r="G200" s="62" t="str">
        <f t="shared" si="3"/>
        <v/>
      </c>
    </row>
    <row r="201" spans="1:7" ht="13" thickBot="1">
      <c r="A201" s="92">
        <v>198</v>
      </c>
      <c r="B201" s="93" t="s">
        <v>284</v>
      </c>
      <c r="C201" s="94">
        <v>416</v>
      </c>
      <c r="D201" s="67" t="str">
        <f>IFERROR(position_two&amp;IF(AND(MOD(ABS(position_two),100)&gt;10,MOD(ABS(position_two),100)&lt;14),"th", CHOOSE(MOD(ABS(position_two),10)+1,"th","st","nd","rd","th","th","th","th","th","th")),"")</f>
        <v>198th</v>
      </c>
      <c r="E201" s="62">
        <f>ROWS($B$4:$B201)</f>
        <v>198</v>
      </c>
      <c r="F201" s="62" t="str">
        <f>IF($B201=REPORT_CARD!$M$12,$E201,"")</f>
        <v/>
      </c>
      <c r="G201" s="62" t="str">
        <f t="shared" si="3"/>
        <v/>
      </c>
    </row>
    <row r="202" spans="1:7" ht="13" thickBot="1">
      <c r="A202" s="92">
        <v>199</v>
      </c>
      <c r="B202" s="93" t="s">
        <v>285</v>
      </c>
      <c r="C202" s="94">
        <v>416</v>
      </c>
      <c r="D202" s="67" t="str">
        <f>IFERROR(position_two&amp;IF(AND(MOD(ABS(position_two),100)&gt;10,MOD(ABS(position_two),100)&lt;14),"th", CHOOSE(MOD(ABS(position_two),10)+1,"th","st","nd","rd","th","th","th","th","th","th")),"")</f>
        <v>198th</v>
      </c>
      <c r="E202" s="62">
        <f>ROWS($B$4:$B202)</f>
        <v>199</v>
      </c>
      <c r="F202" s="62" t="str">
        <f>IF($B202=REPORT_CARD!$M$12,$E202,"")</f>
        <v/>
      </c>
      <c r="G202" s="62" t="str">
        <f t="shared" si="3"/>
        <v/>
      </c>
    </row>
    <row r="203" spans="1:7" ht="13" thickBot="1">
      <c r="A203" s="92">
        <v>200</v>
      </c>
      <c r="B203" s="93" t="s">
        <v>286</v>
      </c>
      <c r="C203" s="94">
        <v>415</v>
      </c>
      <c r="D203" s="67" t="str">
        <f>IFERROR(position_two&amp;IF(AND(MOD(ABS(position_two),100)&gt;10,MOD(ABS(position_two),100)&lt;14),"th", CHOOSE(MOD(ABS(position_two),10)+1,"th","st","nd","rd","th","th","th","th","th","th")),"")</f>
        <v>200th</v>
      </c>
      <c r="E203" s="62">
        <f>ROWS($B$4:$B203)</f>
        <v>200</v>
      </c>
      <c r="F203" s="62" t="str">
        <f>IF($B203=REPORT_CARD!$M$12,$E203,"")</f>
        <v/>
      </c>
      <c r="G203" s="62" t="str">
        <f t="shared" si="3"/>
        <v/>
      </c>
    </row>
    <row r="204" spans="1:7" ht="13" thickBot="1">
      <c r="A204" s="92">
        <v>201</v>
      </c>
      <c r="B204" s="93" t="s">
        <v>287</v>
      </c>
      <c r="C204" s="94">
        <v>414</v>
      </c>
      <c r="D204" s="67" t="str">
        <f>IFERROR(position_two&amp;IF(AND(MOD(ABS(position_two),100)&gt;10,MOD(ABS(position_two),100)&lt;14),"th", CHOOSE(MOD(ABS(position_two),10)+1,"th","st","nd","rd","th","th","th","th","th","th")),"")</f>
        <v>201st</v>
      </c>
      <c r="E204" s="62">
        <f>ROWS($B$4:$B204)</f>
        <v>201</v>
      </c>
      <c r="F204" s="62" t="str">
        <f>IF($B204=REPORT_CARD!$M$12,$E204,"")</f>
        <v/>
      </c>
      <c r="G204" s="62" t="str">
        <f t="shared" si="3"/>
        <v/>
      </c>
    </row>
    <row r="205" spans="1:7" ht="13" thickBot="1">
      <c r="A205" s="92">
        <v>202</v>
      </c>
      <c r="B205" s="93" t="s">
        <v>86</v>
      </c>
      <c r="C205" s="94">
        <v>413</v>
      </c>
      <c r="D205" s="67" t="str">
        <f>IFERROR(position_two&amp;IF(AND(MOD(ABS(position_two),100)&gt;10,MOD(ABS(position_two),100)&lt;14),"th", CHOOSE(MOD(ABS(position_two),10)+1,"th","st","nd","rd","th","th","th","th","th","th")),"")</f>
        <v>202nd</v>
      </c>
      <c r="E205" s="62">
        <f>ROWS($B$4:$B205)</f>
        <v>202</v>
      </c>
      <c r="F205" s="62" t="str">
        <f>IF($B205=REPORT_CARD!$M$12,$E205,"")</f>
        <v/>
      </c>
      <c r="G205" s="62" t="str">
        <f t="shared" si="3"/>
        <v/>
      </c>
    </row>
    <row r="206" spans="1:7" ht="13" thickBot="1">
      <c r="A206" s="92">
        <v>203</v>
      </c>
      <c r="B206" s="93" t="s">
        <v>288</v>
      </c>
      <c r="C206" s="94">
        <v>410</v>
      </c>
      <c r="D206" s="67" t="str">
        <f>IFERROR(position_two&amp;IF(AND(MOD(ABS(position_two),100)&gt;10,MOD(ABS(position_two),100)&lt;14),"th", CHOOSE(MOD(ABS(position_two),10)+1,"th","st","nd","rd","th","th","th","th","th","th")),"")</f>
        <v>203rd</v>
      </c>
      <c r="E206" s="62">
        <f>ROWS($B$4:$B206)</f>
        <v>203</v>
      </c>
      <c r="F206" s="62" t="str">
        <f>IF($B206=REPORT_CARD!$M$12,$E206,"")</f>
        <v/>
      </c>
      <c r="G206" s="62" t="str">
        <f t="shared" si="3"/>
        <v/>
      </c>
    </row>
    <row r="207" spans="1:7" ht="13" thickBot="1">
      <c r="A207" s="92">
        <v>204</v>
      </c>
      <c r="B207" s="93" t="s">
        <v>289</v>
      </c>
      <c r="C207" s="94">
        <v>404</v>
      </c>
      <c r="D207" s="67" t="str">
        <f>IFERROR(position_two&amp;IF(AND(MOD(ABS(position_two),100)&gt;10,MOD(ABS(position_two),100)&lt;14),"th", CHOOSE(MOD(ABS(position_two),10)+1,"th","st","nd","rd","th","th","th","th","th","th")),"")</f>
        <v>204th</v>
      </c>
      <c r="E207" s="62">
        <f>ROWS($B$4:$B207)</f>
        <v>204</v>
      </c>
      <c r="F207" s="62" t="str">
        <f>IF($B207=REPORT_CARD!$M$12,$E207,"")</f>
        <v/>
      </c>
      <c r="G207" s="62" t="str">
        <f t="shared" si="3"/>
        <v/>
      </c>
    </row>
    <row r="208" spans="1:7" ht="13" thickBot="1">
      <c r="A208" s="92">
        <v>205</v>
      </c>
      <c r="B208" s="93" t="s">
        <v>290</v>
      </c>
      <c r="C208" s="94">
        <v>396</v>
      </c>
      <c r="D208" s="67" t="str">
        <f>IFERROR(position_two&amp;IF(AND(MOD(ABS(position_two),100)&gt;10,MOD(ABS(position_two),100)&lt;14),"th", CHOOSE(MOD(ABS(position_two),10)+1,"th","st","nd","rd","th","th","th","th","th","th")),"")</f>
        <v>205th</v>
      </c>
      <c r="E208" s="62">
        <f>ROWS($B$4:$B208)</f>
        <v>205</v>
      </c>
      <c r="F208" s="62" t="str">
        <f>IF($B208=REPORT_CARD!$M$12,$E208,"")</f>
        <v/>
      </c>
      <c r="G208" s="62" t="str">
        <f t="shared" si="3"/>
        <v/>
      </c>
    </row>
    <row r="209" spans="1:7" ht="13" thickBot="1">
      <c r="A209" s="92">
        <v>206</v>
      </c>
      <c r="B209" s="93" t="s">
        <v>291</v>
      </c>
      <c r="C209" s="94">
        <v>395</v>
      </c>
      <c r="D209" s="67" t="str">
        <f>IFERROR(position_two&amp;IF(AND(MOD(ABS(position_two),100)&gt;10,MOD(ABS(position_two),100)&lt;14),"th", CHOOSE(MOD(ABS(position_two),10)+1,"th","st","nd","rd","th","th","th","th","th","th")),"")</f>
        <v>206th</v>
      </c>
      <c r="E209" s="62">
        <f>ROWS($B$4:$B209)</f>
        <v>206</v>
      </c>
      <c r="F209" s="62" t="str">
        <f>IF($B209=REPORT_CARD!$M$12,$E209,"")</f>
        <v/>
      </c>
      <c r="G209" s="62" t="str">
        <f t="shared" si="3"/>
        <v/>
      </c>
    </row>
    <row r="210" spans="1:7" ht="13" thickBot="1">
      <c r="A210" s="92">
        <v>207</v>
      </c>
      <c r="B210" s="93" t="s">
        <v>292</v>
      </c>
      <c r="C210" s="94">
        <v>393</v>
      </c>
      <c r="D210" s="67" t="str">
        <f>IFERROR(position_two&amp;IF(AND(MOD(ABS(position_two),100)&gt;10,MOD(ABS(position_two),100)&lt;14),"th", CHOOSE(MOD(ABS(position_two),10)+1,"th","st","nd","rd","th","th","th","th","th","th")),"")</f>
        <v>207th</v>
      </c>
      <c r="E210" s="62">
        <f>ROWS($B$4:$B210)</f>
        <v>207</v>
      </c>
      <c r="F210" s="62" t="str">
        <f>IF($B210=REPORT_CARD!$M$12,$E210,"")</f>
        <v/>
      </c>
      <c r="G210" s="62" t="str">
        <f t="shared" si="3"/>
        <v/>
      </c>
    </row>
    <row r="211" spans="1:7" ht="13" thickBot="1">
      <c r="A211" s="92">
        <v>208</v>
      </c>
      <c r="B211" s="93" t="s">
        <v>68</v>
      </c>
      <c r="C211" s="94">
        <v>392</v>
      </c>
      <c r="D211" s="67" t="str">
        <f>IFERROR(position_two&amp;IF(AND(MOD(ABS(position_two),100)&gt;10,MOD(ABS(position_two),100)&lt;14),"th", CHOOSE(MOD(ABS(position_two),10)+1,"th","st","nd","rd","th","th","th","th","th","th")),"")</f>
        <v>208th</v>
      </c>
      <c r="E211" s="62">
        <f>ROWS($B$4:$B211)</f>
        <v>208</v>
      </c>
      <c r="F211" s="62" t="str">
        <f>IF($B211=REPORT_CARD!$M$12,$E211,"")</f>
        <v/>
      </c>
      <c r="G211" s="62" t="str">
        <f t="shared" si="3"/>
        <v/>
      </c>
    </row>
    <row r="212" spans="1:7" ht="13" thickBot="1">
      <c r="A212" s="92">
        <v>209</v>
      </c>
      <c r="B212" s="93" t="s">
        <v>123</v>
      </c>
      <c r="C212" s="94">
        <v>391</v>
      </c>
      <c r="D212" s="67" t="str">
        <f>IFERROR(position_two&amp;IF(AND(MOD(ABS(position_two),100)&gt;10,MOD(ABS(position_two),100)&lt;14),"th", CHOOSE(MOD(ABS(position_two),10)+1,"th","st","nd","rd","th","th","th","th","th","th")),"")</f>
        <v>209th</v>
      </c>
      <c r="E212" s="62">
        <f>ROWS($B$4:$B212)</f>
        <v>209</v>
      </c>
      <c r="F212" s="62" t="str">
        <f>IF($B212=REPORT_CARD!$M$12,$E212,"")</f>
        <v/>
      </c>
      <c r="G212" s="62" t="str">
        <f t="shared" si="3"/>
        <v/>
      </c>
    </row>
    <row r="213" spans="1:7" ht="13" thickBot="1">
      <c r="A213" s="92">
        <v>210</v>
      </c>
      <c r="B213" s="93" t="s">
        <v>293</v>
      </c>
      <c r="C213" s="94">
        <v>385</v>
      </c>
      <c r="D213" s="67" t="str">
        <f>IFERROR(position_two&amp;IF(AND(MOD(ABS(position_two),100)&gt;10,MOD(ABS(position_two),100)&lt;14),"th", CHOOSE(MOD(ABS(position_two),10)+1,"th","st","nd","rd","th","th","th","th","th","th")),"")</f>
        <v>210th</v>
      </c>
      <c r="E213" s="62">
        <f>ROWS($B$4:$B213)</f>
        <v>210</v>
      </c>
      <c r="F213" s="62" t="str">
        <f>IF($B213=REPORT_CARD!$M$12,$E213,"")</f>
        <v/>
      </c>
      <c r="G213" s="62" t="str">
        <f t="shared" si="3"/>
        <v/>
      </c>
    </row>
    <row r="214" spans="1:7" ht="13" thickBot="1">
      <c r="A214" s="92">
        <v>211</v>
      </c>
      <c r="B214" s="93" t="s">
        <v>294</v>
      </c>
      <c r="C214" s="94">
        <v>383</v>
      </c>
      <c r="D214" s="67" t="str">
        <f>IFERROR(position_two&amp;IF(AND(MOD(ABS(position_two),100)&gt;10,MOD(ABS(position_two),100)&lt;14),"th", CHOOSE(MOD(ABS(position_two),10)+1,"th","st","nd","rd","th","th","th","th","th","th")),"")</f>
        <v>211th</v>
      </c>
      <c r="E214" s="62">
        <f>ROWS($B$4:$B214)</f>
        <v>211</v>
      </c>
      <c r="F214" s="62" t="str">
        <f>IF($B214=REPORT_CARD!$M$12,$E214,"")</f>
        <v/>
      </c>
      <c r="G214" s="62" t="str">
        <f t="shared" si="3"/>
        <v/>
      </c>
    </row>
    <row r="215" spans="1:7" ht="13" thickBot="1">
      <c r="A215" s="92">
        <v>212</v>
      </c>
      <c r="B215" s="93" t="s">
        <v>103</v>
      </c>
      <c r="C215" s="94">
        <v>381</v>
      </c>
      <c r="D215" s="67" t="str">
        <f>IFERROR(position_two&amp;IF(AND(MOD(ABS(position_two),100)&gt;10,MOD(ABS(position_two),100)&lt;14),"th", CHOOSE(MOD(ABS(position_two),10)+1,"th","st","nd","rd","th","th","th","th","th","th")),"")</f>
        <v>212th</v>
      </c>
      <c r="E215" s="62">
        <f>ROWS($B$4:$B215)</f>
        <v>212</v>
      </c>
      <c r="F215" s="62" t="str">
        <f>IF($B215=REPORT_CARD!$M$12,$E215,"")</f>
        <v/>
      </c>
      <c r="G215" s="62" t="str">
        <f t="shared" si="3"/>
        <v/>
      </c>
    </row>
    <row r="216" spans="1:7" ht="13" thickBot="1">
      <c r="A216" s="92">
        <v>213</v>
      </c>
      <c r="B216" s="93" t="s">
        <v>295</v>
      </c>
      <c r="C216" s="94">
        <v>379</v>
      </c>
      <c r="D216" s="67" t="str">
        <f>IFERROR(position_two&amp;IF(AND(MOD(ABS(position_two),100)&gt;10,MOD(ABS(position_two),100)&lt;14),"th", CHOOSE(MOD(ABS(position_two),10)+1,"th","st","nd","rd","th","th","th","th","th","th")),"")</f>
        <v>213th</v>
      </c>
      <c r="E216" s="62">
        <f>ROWS($B$4:$B216)</f>
        <v>213</v>
      </c>
      <c r="F216" s="62" t="str">
        <f>IF($B216=REPORT_CARD!$M$12,$E216,"")</f>
        <v/>
      </c>
      <c r="G216" s="62" t="str">
        <f t="shared" si="3"/>
        <v/>
      </c>
    </row>
    <row r="217" spans="1:7" ht="13" thickBot="1">
      <c r="A217" s="92">
        <v>214</v>
      </c>
      <c r="B217" s="93" t="s">
        <v>296</v>
      </c>
      <c r="C217" s="94">
        <v>379</v>
      </c>
      <c r="D217" s="67" t="str">
        <f>IFERROR(position_two&amp;IF(AND(MOD(ABS(position_two),100)&gt;10,MOD(ABS(position_two),100)&lt;14),"th", CHOOSE(MOD(ABS(position_two),10)+1,"th","st","nd","rd","th","th","th","th","th","th")),"")</f>
        <v>213th</v>
      </c>
      <c r="E217" s="62">
        <f>ROWS($B$4:$B217)</f>
        <v>214</v>
      </c>
      <c r="F217" s="62" t="str">
        <f>IF($B217=REPORT_CARD!$M$12,$E217,"")</f>
        <v/>
      </c>
      <c r="G217" s="62" t="str">
        <f t="shared" si="3"/>
        <v/>
      </c>
    </row>
    <row r="218" spans="1:7" ht="13" thickBot="1">
      <c r="A218" s="92">
        <v>215</v>
      </c>
      <c r="B218" s="93" t="s">
        <v>297</v>
      </c>
      <c r="C218" s="94">
        <v>374</v>
      </c>
      <c r="D218" s="67" t="str">
        <f>IFERROR(position_two&amp;IF(AND(MOD(ABS(position_two),100)&gt;10,MOD(ABS(position_two),100)&lt;14),"th", CHOOSE(MOD(ABS(position_two),10)+1,"th","st","nd","rd","th","th","th","th","th","th")),"")</f>
        <v>215th</v>
      </c>
      <c r="E218" s="62">
        <f>ROWS($B$4:$B218)</f>
        <v>215</v>
      </c>
      <c r="F218" s="62" t="str">
        <f>IF($B218=REPORT_CARD!$M$12,$E218,"")</f>
        <v/>
      </c>
      <c r="G218" s="62" t="str">
        <f t="shared" si="3"/>
        <v/>
      </c>
    </row>
    <row r="219" spans="1:7" ht="13" thickBot="1">
      <c r="A219" s="92">
        <v>216</v>
      </c>
      <c r="B219" s="93" t="s">
        <v>96</v>
      </c>
      <c r="C219" s="94">
        <v>373</v>
      </c>
      <c r="D219" s="67" t="str">
        <f>IFERROR(position_two&amp;IF(AND(MOD(ABS(position_two),100)&gt;10,MOD(ABS(position_two),100)&lt;14),"th", CHOOSE(MOD(ABS(position_two),10)+1,"th","st","nd","rd","th","th","th","th","th","th")),"")</f>
        <v>216th</v>
      </c>
      <c r="E219" s="62">
        <f>ROWS($B$4:$B219)</f>
        <v>216</v>
      </c>
      <c r="F219" s="62" t="str">
        <f>IF($B219=REPORT_CARD!$M$12,$E219,"")</f>
        <v/>
      </c>
      <c r="G219" s="62" t="str">
        <f t="shared" si="3"/>
        <v/>
      </c>
    </row>
    <row r="220" spans="1:7" ht="13" thickBot="1">
      <c r="A220" s="92">
        <v>217</v>
      </c>
      <c r="B220" s="93" t="s">
        <v>298</v>
      </c>
      <c r="C220" s="94">
        <v>372</v>
      </c>
      <c r="D220" s="67" t="str">
        <f>IFERROR(position_two&amp;IF(AND(MOD(ABS(position_two),100)&gt;10,MOD(ABS(position_two),100)&lt;14),"th", CHOOSE(MOD(ABS(position_two),10)+1,"th","st","nd","rd","th","th","th","th","th","th")),"")</f>
        <v>217th</v>
      </c>
      <c r="E220" s="62">
        <f>ROWS($B$4:$B220)</f>
        <v>217</v>
      </c>
      <c r="F220" s="62" t="str">
        <f>IF($B220=REPORT_CARD!$M$12,$E220,"")</f>
        <v/>
      </c>
      <c r="G220" s="62" t="str">
        <f t="shared" si="3"/>
        <v/>
      </c>
    </row>
    <row r="221" spans="1:7" ht="13" thickBot="1">
      <c r="A221" s="92">
        <v>218</v>
      </c>
      <c r="B221" s="93" t="s">
        <v>65</v>
      </c>
      <c r="C221" s="94">
        <v>362</v>
      </c>
      <c r="D221" s="67" t="str">
        <f>IFERROR(position_two&amp;IF(AND(MOD(ABS(position_two),100)&gt;10,MOD(ABS(position_two),100)&lt;14),"th", CHOOSE(MOD(ABS(position_two),10)+1,"th","st","nd","rd","th","th","th","th","th","th")),"")</f>
        <v>218th</v>
      </c>
      <c r="E221" s="62">
        <f>ROWS($B$4:$B221)</f>
        <v>218</v>
      </c>
      <c r="F221" s="62" t="str">
        <f>IF($B221=REPORT_CARD!$M$12,$E221,"")</f>
        <v/>
      </c>
      <c r="G221" s="62" t="str">
        <f t="shared" si="3"/>
        <v/>
      </c>
    </row>
    <row r="222" spans="1:7" ht="13" thickBot="1">
      <c r="A222" s="92">
        <v>219</v>
      </c>
      <c r="B222" s="93" t="s">
        <v>299</v>
      </c>
      <c r="C222" s="94">
        <v>361</v>
      </c>
      <c r="D222" s="67" t="str">
        <f>IFERROR(position_two&amp;IF(AND(MOD(ABS(position_two),100)&gt;10,MOD(ABS(position_two),100)&lt;14),"th", CHOOSE(MOD(ABS(position_two),10)+1,"th","st","nd","rd","th","th","th","th","th","th")),"")</f>
        <v>219th</v>
      </c>
      <c r="E222" s="62">
        <f>ROWS($B$4:$B222)</f>
        <v>219</v>
      </c>
      <c r="F222" s="62" t="str">
        <f>IF($B222=REPORT_CARD!$M$12,$E222,"")</f>
        <v/>
      </c>
      <c r="G222" s="62" t="str">
        <f t="shared" si="3"/>
        <v/>
      </c>
    </row>
    <row r="223" spans="1:7" ht="13" thickBot="1">
      <c r="A223" s="92">
        <v>220</v>
      </c>
      <c r="B223" s="93" t="s">
        <v>73</v>
      </c>
      <c r="C223" s="94">
        <v>356</v>
      </c>
      <c r="D223" s="67" t="str">
        <f>IFERROR(position_two&amp;IF(AND(MOD(ABS(position_two),100)&gt;10,MOD(ABS(position_two),100)&lt;14),"th", CHOOSE(MOD(ABS(position_two),10)+1,"th","st","nd","rd","th","th","th","th","th","th")),"")</f>
        <v>220th</v>
      </c>
      <c r="E223" s="62">
        <f>ROWS($B$4:$B223)</f>
        <v>220</v>
      </c>
      <c r="F223" s="62" t="str">
        <f>IF($B223=REPORT_CARD!$M$12,$E223,"")</f>
        <v/>
      </c>
      <c r="G223" s="62" t="str">
        <f t="shared" si="3"/>
        <v/>
      </c>
    </row>
    <row r="224" spans="1:7" ht="13" thickBot="1">
      <c r="A224" s="92">
        <v>221</v>
      </c>
      <c r="B224" s="93" t="s">
        <v>11</v>
      </c>
      <c r="C224" s="94">
        <v>356</v>
      </c>
      <c r="D224" s="67" t="str">
        <f>IFERROR(position_two&amp;IF(AND(MOD(ABS(position_two),100)&gt;10,MOD(ABS(position_two),100)&lt;14),"th", CHOOSE(MOD(ABS(position_two),10)+1,"th","st","nd","rd","th","th","th","th","th","th")),"")</f>
        <v>220th</v>
      </c>
      <c r="E224" s="62">
        <f>ROWS($B$4:$B224)</f>
        <v>221</v>
      </c>
      <c r="F224" s="62" t="str">
        <f>IF($B224=REPORT_CARD!$M$12,$E224,"")</f>
        <v/>
      </c>
      <c r="G224" s="62" t="str">
        <f t="shared" si="3"/>
        <v/>
      </c>
    </row>
    <row r="225" spans="1:7" ht="13" thickBot="1">
      <c r="A225" s="92">
        <v>222</v>
      </c>
      <c r="B225" s="93" t="s">
        <v>300</v>
      </c>
      <c r="C225" s="94">
        <v>354</v>
      </c>
      <c r="D225" s="67" t="str">
        <f>IFERROR(position_two&amp;IF(AND(MOD(ABS(position_two),100)&gt;10,MOD(ABS(position_two),100)&lt;14),"th", CHOOSE(MOD(ABS(position_two),10)+1,"th","st","nd","rd","th","th","th","th","th","th")),"")</f>
        <v>222nd</v>
      </c>
      <c r="E225" s="62">
        <f>ROWS($B$4:$B225)</f>
        <v>222</v>
      </c>
      <c r="F225" s="62" t="str">
        <f>IF($B225=REPORT_CARD!$M$12,$E225,"")</f>
        <v/>
      </c>
      <c r="G225" s="62" t="str">
        <f t="shared" si="3"/>
        <v/>
      </c>
    </row>
    <row r="226" spans="1:7" ht="13" thickBot="1">
      <c r="A226" s="92">
        <v>223</v>
      </c>
      <c r="B226" s="93" t="s">
        <v>301</v>
      </c>
      <c r="C226" s="94">
        <v>345</v>
      </c>
      <c r="D226" s="67" t="str">
        <f>IFERROR(position_two&amp;IF(AND(MOD(ABS(position_two),100)&gt;10,MOD(ABS(position_two),100)&lt;14),"th", CHOOSE(MOD(ABS(position_two),10)+1,"th","st","nd","rd","th","th","th","th","th","th")),"")</f>
        <v>223rd</v>
      </c>
      <c r="E226" s="62">
        <f>ROWS($B$4:$B226)</f>
        <v>223</v>
      </c>
      <c r="F226" s="62" t="str">
        <f>IF($B226=REPORT_CARD!$M$12,$E226,"")</f>
        <v/>
      </c>
      <c r="G226" s="62" t="str">
        <f t="shared" si="3"/>
        <v/>
      </c>
    </row>
    <row r="227" spans="1:7" ht="13" thickBot="1">
      <c r="A227" s="92">
        <v>224</v>
      </c>
      <c r="B227" s="93" t="s">
        <v>122</v>
      </c>
      <c r="C227" s="94">
        <v>343</v>
      </c>
      <c r="D227" s="67" t="str">
        <f>IFERROR(position_two&amp;IF(AND(MOD(ABS(position_two),100)&gt;10,MOD(ABS(position_two),100)&lt;14),"th", CHOOSE(MOD(ABS(position_two),10)+1,"th","st","nd","rd","th","th","th","th","th","th")),"")</f>
        <v>224th</v>
      </c>
      <c r="E227" s="62">
        <f>ROWS($B$4:$B227)</f>
        <v>224</v>
      </c>
      <c r="F227" s="62" t="str">
        <f>IF($B227=REPORT_CARD!$M$12,$E227,"")</f>
        <v/>
      </c>
      <c r="G227" s="62" t="str">
        <f t="shared" si="3"/>
        <v/>
      </c>
    </row>
    <row r="228" spans="1:7" ht="13" thickBot="1">
      <c r="A228" s="92">
        <v>225</v>
      </c>
      <c r="B228" s="93" t="s">
        <v>302</v>
      </c>
      <c r="C228" s="94">
        <v>343</v>
      </c>
      <c r="D228" s="67" t="str">
        <f>IFERROR(position_two&amp;IF(AND(MOD(ABS(position_two),100)&gt;10,MOD(ABS(position_two),100)&lt;14),"th", CHOOSE(MOD(ABS(position_two),10)+1,"th","st","nd","rd","th","th","th","th","th","th")),"")</f>
        <v>224th</v>
      </c>
      <c r="E228" s="62">
        <f>ROWS($B$4:$B228)</f>
        <v>225</v>
      </c>
      <c r="F228" s="62" t="str">
        <f>IF($B228=REPORT_CARD!$M$12,$E228,"")</f>
        <v/>
      </c>
      <c r="G228" s="62" t="str">
        <f t="shared" si="3"/>
        <v/>
      </c>
    </row>
    <row r="229" spans="1:7" ht="13" thickBot="1">
      <c r="A229" s="92">
        <v>226</v>
      </c>
      <c r="B229" s="93" t="s">
        <v>81</v>
      </c>
      <c r="C229" s="94">
        <v>332</v>
      </c>
      <c r="D229" s="67" t="str">
        <f>IFERROR(position_two&amp;IF(AND(MOD(ABS(position_two),100)&gt;10,MOD(ABS(position_two),100)&lt;14),"th", CHOOSE(MOD(ABS(position_two),10)+1,"th","st","nd","rd","th","th","th","th","th","th")),"")</f>
        <v>226th</v>
      </c>
      <c r="E229" s="62">
        <f>ROWS($B$4:$B229)</f>
        <v>226</v>
      </c>
      <c r="F229" s="62" t="str">
        <f>IF($B229=REPORT_CARD!$M$12,$E229,"")</f>
        <v/>
      </c>
      <c r="G229" s="62" t="str">
        <f t="shared" si="3"/>
        <v/>
      </c>
    </row>
    <row r="230" spans="1:7" ht="13" thickBot="1">
      <c r="A230" s="92">
        <v>227</v>
      </c>
      <c r="B230" s="93" t="s">
        <v>303</v>
      </c>
      <c r="C230" s="94">
        <v>321</v>
      </c>
      <c r="D230" s="67" t="str">
        <f>IFERROR(position_two&amp;IF(AND(MOD(ABS(position_two),100)&gt;10,MOD(ABS(position_two),100)&lt;14),"th", CHOOSE(MOD(ABS(position_two),10)+1,"th","st","nd","rd","th","th","th","th","th","th")),"")</f>
        <v>227th</v>
      </c>
      <c r="E230" s="62">
        <f>ROWS($B$4:$B230)</f>
        <v>227</v>
      </c>
      <c r="F230" s="62" t="str">
        <f>IF($B230=REPORT_CARD!$M$12,$E230,"")</f>
        <v/>
      </c>
      <c r="G230" s="62" t="str">
        <f t="shared" si="3"/>
        <v/>
      </c>
    </row>
    <row r="231" spans="1:7" ht="13" thickBot="1">
      <c r="A231" s="92">
        <v>228</v>
      </c>
      <c r="B231" s="93" t="s">
        <v>77</v>
      </c>
      <c r="C231" s="94">
        <v>315</v>
      </c>
      <c r="D231" s="67" t="str">
        <f>IFERROR(position_two&amp;IF(AND(MOD(ABS(position_two),100)&gt;10,MOD(ABS(position_two),100)&lt;14),"th", CHOOSE(MOD(ABS(position_two),10)+1,"th","st","nd","rd","th","th","th","th","th","th")),"")</f>
        <v>228th</v>
      </c>
      <c r="E231" s="62">
        <f>ROWS($B$4:$B231)</f>
        <v>228</v>
      </c>
      <c r="F231" s="62" t="str">
        <f>IF($B231=REPORT_CARD!$M$12,$E231,"")</f>
        <v/>
      </c>
      <c r="G231" s="62" t="str">
        <f t="shared" si="3"/>
        <v/>
      </c>
    </row>
  </sheetData>
  <mergeCells count="2">
    <mergeCell ref="B1:D1"/>
    <mergeCell ref="B2:D2"/>
  </mergeCells>
  <conditionalFormatting sqref="B4:B63">
    <cfRule type="expression" dxfId="41" priority="42">
      <formula>MOD(ROW(),5)=0</formula>
    </cfRule>
  </conditionalFormatting>
  <conditionalFormatting sqref="B64:B114">
    <cfRule type="expression" dxfId="40" priority="41">
      <formula>MOD(ROW(),5)=0</formula>
    </cfRule>
  </conditionalFormatting>
  <conditionalFormatting sqref="B115:B171">
    <cfRule type="expression" dxfId="39" priority="40">
      <formula>MOD(ROW(),5)=0</formula>
    </cfRule>
  </conditionalFormatting>
  <conditionalFormatting sqref="B172:B223">
    <cfRule type="expression" dxfId="38" priority="39">
      <formula>MOD(ROW(),5)=0</formula>
    </cfRule>
  </conditionalFormatting>
  <conditionalFormatting sqref="B4:B61">
    <cfRule type="expression" dxfId="37" priority="38">
      <formula>MOD(ROW(),5)=0</formula>
    </cfRule>
  </conditionalFormatting>
  <conditionalFormatting sqref="C4:C61">
    <cfRule type="expression" dxfId="36" priority="36">
      <formula>MOD(ROW(),5)=0</formula>
    </cfRule>
    <cfRule type="expression" dxfId="35" priority="37">
      <formula>MOD(ROW(),2)=0</formula>
    </cfRule>
  </conditionalFormatting>
  <conditionalFormatting sqref="B62:B118">
    <cfRule type="expression" dxfId="34" priority="35">
      <formula>MOD(ROW(),5)=0</formula>
    </cfRule>
  </conditionalFormatting>
  <conditionalFormatting sqref="C62:C118">
    <cfRule type="expression" dxfId="33" priority="33">
      <formula>MOD(ROW(),5)=0</formula>
    </cfRule>
    <cfRule type="expression" dxfId="32" priority="34">
      <formula>MOD(ROW(),2)=0</formula>
    </cfRule>
  </conditionalFormatting>
  <conditionalFormatting sqref="B119:B175">
    <cfRule type="expression" dxfId="31" priority="32">
      <formula>MOD(ROW(),5)=0</formula>
    </cfRule>
  </conditionalFormatting>
  <conditionalFormatting sqref="C119:C175">
    <cfRule type="expression" dxfId="30" priority="30">
      <formula>MOD(ROW(),5)=0</formula>
    </cfRule>
    <cfRule type="expression" dxfId="29" priority="31">
      <formula>MOD(ROW(),2)=0</formula>
    </cfRule>
  </conditionalFormatting>
  <conditionalFormatting sqref="B176:B231">
    <cfRule type="expression" dxfId="28" priority="29">
      <formula>MOD(ROW(),5)=0</formula>
    </cfRule>
  </conditionalFormatting>
  <conditionalFormatting sqref="C176:C231">
    <cfRule type="expression" dxfId="27" priority="27">
      <formula>MOD(ROW(),5)=0</formula>
    </cfRule>
    <cfRule type="expression" dxfId="26" priority="28">
      <formula>MOD(ROW(),2)=0</formula>
    </cfRule>
  </conditionalFormatting>
  <conditionalFormatting sqref="B4:B61">
    <cfRule type="expression" dxfId="25" priority="26">
      <formula>MOD(ROW(),5)=0</formula>
    </cfRule>
  </conditionalFormatting>
  <conditionalFormatting sqref="C4:C61">
    <cfRule type="expression" dxfId="24" priority="24">
      <formula>MOD(ROW(),5)=0</formula>
    </cfRule>
    <cfRule type="expression" dxfId="23" priority="25">
      <formula>MOD(ROW(),2)=0</formula>
    </cfRule>
  </conditionalFormatting>
  <conditionalFormatting sqref="B62:B118">
    <cfRule type="expression" dxfId="22" priority="23">
      <formula>MOD(ROW(),5)=0</formula>
    </cfRule>
  </conditionalFormatting>
  <conditionalFormatting sqref="C62:C118">
    <cfRule type="expression" dxfId="21" priority="21">
      <formula>MOD(ROW(),5)=0</formula>
    </cfRule>
    <cfRule type="expression" dxfId="20" priority="22">
      <formula>MOD(ROW(),2)=0</formula>
    </cfRule>
  </conditionalFormatting>
  <conditionalFormatting sqref="B119:B175">
    <cfRule type="expression" dxfId="19" priority="20">
      <formula>MOD(ROW(),5)=0</formula>
    </cfRule>
  </conditionalFormatting>
  <conditionalFormatting sqref="C119:C175">
    <cfRule type="expression" dxfId="18" priority="18">
      <formula>MOD(ROW(),5)=0</formula>
    </cfRule>
    <cfRule type="expression" dxfId="17" priority="19">
      <formula>MOD(ROW(),2)=0</formula>
    </cfRule>
  </conditionalFormatting>
  <conditionalFormatting sqref="B176:B231">
    <cfRule type="expression" dxfId="16" priority="17">
      <formula>MOD(ROW(),5)=0</formula>
    </cfRule>
  </conditionalFormatting>
  <conditionalFormatting sqref="C176:C231">
    <cfRule type="expression" dxfId="15" priority="15">
      <formula>MOD(ROW(),5)=0</formula>
    </cfRule>
    <cfRule type="expression" dxfId="14" priority="16">
      <formula>MOD(ROW(),2)=0</formula>
    </cfRule>
  </conditionalFormatting>
  <conditionalFormatting sqref="B4:B61">
    <cfRule type="expression" dxfId="13" priority="14">
      <formula>MOD(ROW(),5)=0</formula>
    </cfRule>
  </conditionalFormatting>
  <conditionalFormatting sqref="C4:C61">
    <cfRule type="expression" dxfId="12" priority="12">
      <formula>MOD(ROW(),5)=0</formula>
    </cfRule>
    <cfRule type="expression" dxfId="11" priority="13">
      <formula>MOD(ROW(),2)=0</formula>
    </cfRule>
  </conditionalFormatting>
  <conditionalFormatting sqref="B62:B118">
    <cfRule type="expression" dxfId="10" priority="11">
      <formula>MOD(ROW(),5)=0</formula>
    </cfRule>
  </conditionalFormatting>
  <conditionalFormatting sqref="C62:C118">
    <cfRule type="expression" dxfId="9" priority="9">
      <formula>MOD(ROW(),5)=0</formula>
    </cfRule>
    <cfRule type="expression" dxfId="8" priority="10">
      <formula>MOD(ROW(),2)=0</formula>
    </cfRule>
  </conditionalFormatting>
  <conditionalFormatting sqref="B119:B175">
    <cfRule type="expression" dxfId="7" priority="8">
      <formula>MOD(ROW(),5)=0</formula>
    </cfRule>
  </conditionalFormatting>
  <conditionalFormatting sqref="C119:C175">
    <cfRule type="expression" dxfId="6" priority="6">
      <formula>MOD(ROW(),5)=0</formula>
    </cfRule>
    <cfRule type="expression" dxfId="5" priority="7">
      <formula>MOD(ROW(),2)=0</formula>
    </cfRule>
  </conditionalFormatting>
  <conditionalFormatting sqref="B176:B231">
    <cfRule type="expression" dxfId="4" priority="5">
      <formula>MOD(ROW(),5)=0</formula>
    </cfRule>
  </conditionalFormatting>
  <conditionalFormatting sqref="C176:C231">
    <cfRule type="expression" dxfId="3" priority="3">
      <formula>MOD(ROW(),5)=0</formula>
    </cfRule>
    <cfRule type="expression" dxfId="2" priority="4">
      <formula>MOD(ROW(),2)=0</formula>
    </cfRule>
  </conditionalFormatting>
  <conditionalFormatting sqref="C176:C231">
    <cfRule type="expression" dxfId="1" priority="1">
      <formula>MOD(ROW(),5)=0</formula>
    </cfRule>
    <cfRule type="expression" dxfId="0" priority="2">
      <formula>MOD(ROW(),2)=0</formula>
    </cfRule>
  </conditionalFormatting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3740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SETTINGS</vt:lpstr>
      <vt:lpstr>DATA</vt:lpstr>
      <vt:lpstr>ASSESSMENT_</vt:lpstr>
      <vt:lpstr>ASSESSMENT</vt:lpstr>
      <vt:lpstr>REPORT_CARD</vt:lpstr>
      <vt:lpstr>POS</vt:lpstr>
      <vt:lpstr>REPORT_CARD!Print_Area</vt:lpstr>
      <vt:lpstr>SubjectList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</dc:creator>
  <cp:lastModifiedBy>Anas Musah</cp:lastModifiedBy>
  <cp:revision>318</cp:revision>
  <cp:lastPrinted>2026-04-27T20:38:43Z</cp:lastPrinted>
  <dcterms:created xsi:type="dcterms:W3CDTF">2019-01-31T06:38:16Z</dcterms:created>
  <dcterms:modified xsi:type="dcterms:W3CDTF">2026-04-27T22:53:02Z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